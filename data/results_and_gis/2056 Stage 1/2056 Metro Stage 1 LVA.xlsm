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2056 Stage 1\"/>
    </mc:Choice>
  </mc:AlternateContent>
  <xr:revisionPtr revIDLastSave="0" documentId="13_ncr:1_{BF9B17B7-6115-42ED-9A3B-BA367B746F25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T16" i="1" l="1"/>
  <c r="U12" i="1"/>
  <c r="V12" i="1"/>
  <c r="T12" i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X12" i="1" l="1"/>
  <c r="T14" i="1"/>
  <c r="T18" i="1" s="1" a="1"/>
  <c r="T18" i="1" s="1"/>
  <c r="X13" i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<sst xmlns="http://schemas.openxmlformats.org/spreadsheetml/2006/main" count="2595" uniqueCount="2587">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</sst>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X23" sqref="X23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2" width="12.5703125" bestFit="1" customWidth="1"/>
    <col min="23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>
        <v>594.94635749999998</v>
      </c>
      <c r="D2">
        <v>637053.04879999999</v>
      </c>
      <c r="E2">
        <v>16698.61852</v>
      </c>
      <c r="F2">
        <v>1099931.1640000001</v>
      </c>
      <c r="G2">
        <v>22264.08323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1254583.6738358124</v>
      </c>
      <c r="M2" s="1">
        <f>$U$3*$K2*E2</f>
        <v>11809880.469861314</v>
      </c>
      <c r="N2" s="1">
        <f>$U$4*$K2*G2</f>
        <v>7367386.4958347669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>
        <v>10833.30486</v>
      </c>
      <c r="D3">
        <v>754544.03890000004</v>
      </c>
      <c r="E3">
        <v>38496.156560000003</v>
      </c>
      <c r="F3">
        <v>1188749.6769999999</v>
      </c>
      <c r="G3">
        <v>30061.440409999999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26226141.817631885</v>
      </c>
      <c r="M3" s="1">
        <f t="shared" ref="M3:M66" si="2">$U$3*$K3*E3</f>
        <v>31256039.667181242</v>
      </c>
      <c r="N3" s="1">
        <f t="shared" ref="N3:N66" si="3">$U$4*$K3*G3</f>
        <v>11420103.55055641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>
        <v>15799.422479999999</v>
      </c>
      <c r="D4">
        <v>912192.62890000001</v>
      </c>
      <c r="E4">
        <v>33995.364139999998</v>
      </c>
      <c r="F4">
        <v>1336597.4709999999</v>
      </c>
      <c r="G4">
        <v>14318.539919999999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15812538.446385302</v>
      </c>
      <c r="M4" s="1">
        <f t="shared" si="2"/>
        <v>11410987.155257739</v>
      </c>
      <c r="N4" s="1">
        <f t="shared" si="3"/>
        <v>2248774.6238637762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>
        <v>12725.270200000001</v>
      </c>
      <c r="D5">
        <v>1001489.622</v>
      </c>
      <c r="E5">
        <v>35248.658380000001</v>
      </c>
      <c r="F5">
        <v>1434338.5179999999</v>
      </c>
      <c r="G5">
        <v>11451.55717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5775295.5363272987</v>
      </c>
      <c r="M5" s="1">
        <f t="shared" si="2"/>
        <v>5365286.6404327061</v>
      </c>
      <c r="N5" s="1">
        <f t="shared" si="3"/>
        <v>815564.96504528006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>
        <v>17156.743839999999</v>
      </c>
      <c r="D6">
        <v>987289.85869999998</v>
      </c>
      <c r="E6">
        <v>35248.658409999996</v>
      </c>
      <c r="F6">
        <v>1425828.1129999999</v>
      </c>
      <c r="G6">
        <v>11451.55717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18848964.355426718</v>
      </c>
      <c r="M6" s="1">
        <f t="shared" si="2"/>
        <v>12987882.625238379</v>
      </c>
      <c r="N6" s="1">
        <f t="shared" si="3"/>
        <v>1974258.3649538734</v>
      </c>
      <c r="O6" s="1"/>
    </row>
    <row r="7" spans="1:25" x14ac:dyDescent="0.25">
      <c r="A7">
        <v>6</v>
      </c>
      <c r="B7">
        <v>342568.37469999999</v>
      </c>
      <c r="C7">
        <v>4627.9616649999998</v>
      </c>
      <c r="D7">
        <v>676491.53819999995</v>
      </c>
      <c r="E7">
        <v>28607.669819999999</v>
      </c>
      <c r="F7">
        <v>1144015.318</v>
      </c>
      <c r="G7">
        <v>24892.353950000001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3520384.3994832998</v>
      </c>
      <c r="M7" s="1">
        <f t="shared" si="2"/>
        <v>7298371.3412306625</v>
      </c>
      <c r="N7" s="1">
        <f t="shared" si="3"/>
        <v>2971345.25612057</v>
      </c>
      <c r="O7" s="1"/>
    </row>
    <row r="8" spans="1:25" x14ac:dyDescent="0.25">
      <c r="A8">
        <v>7</v>
      </c>
      <c r="B8">
        <v>447450.14120000001</v>
      </c>
      <c r="C8">
        <v>4711.0863239999999</v>
      </c>
      <c r="D8">
        <v>797901.67200000002</v>
      </c>
      <c r="E8">
        <v>22213.66749</v>
      </c>
      <c r="F8">
        <v>1224440.2320000001</v>
      </c>
      <c r="G8">
        <v>18291.059829999998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4091867.1340278457</v>
      </c>
      <c r="M8" s="1">
        <f t="shared" si="2"/>
        <v>6470887.7315061595</v>
      </c>
      <c r="N8" s="1">
        <f t="shared" si="3"/>
        <v>2493022.2048722287</v>
      </c>
      <c r="O8" s="1"/>
    </row>
    <row r="9" spans="1:25" x14ac:dyDescent="0.25">
      <c r="A9">
        <v>8</v>
      </c>
      <c r="B9">
        <v>395243.76449999999</v>
      </c>
      <c r="C9">
        <v>5486.3973210000004</v>
      </c>
      <c r="D9">
        <v>770947.84470000002</v>
      </c>
      <c r="E9">
        <v>25026.101009999998</v>
      </c>
      <c r="F9">
        <v>1203647.425</v>
      </c>
      <c r="G9">
        <v>20052.49322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4523031.6708911536</v>
      </c>
      <c r="M9" s="1">
        <f t="shared" si="2"/>
        <v>6919563.5633905772</v>
      </c>
      <c r="N9" s="1">
        <f t="shared" si="3"/>
        <v>2594164.8250826411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 s="1">
        <v>7.6000000000000003E-7</v>
      </c>
      <c r="D10">
        <v>609813.4915</v>
      </c>
      <c r="E10">
        <v>13804.849099999999</v>
      </c>
      <c r="F10">
        <v>1089044.08</v>
      </c>
      <c r="G10">
        <v>17532.53514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1.6511368906021603E-3</v>
      </c>
      <c r="M10" s="1">
        <f t="shared" si="2"/>
        <v>10058756.365928976</v>
      </c>
      <c r="N10" s="1">
        <f t="shared" si="3"/>
        <v>5977244.507397037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>
        <v>4627.9616850000002</v>
      </c>
      <c r="D11">
        <v>718636.73510000005</v>
      </c>
      <c r="E11">
        <v>25345.65739</v>
      </c>
      <c r="F11">
        <v>1177436.6510000001</v>
      </c>
      <c r="G11">
        <v>16678.66547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4931130.8408007585</v>
      </c>
      <c r="M11" s="1">
        <f t="shared" si="2"/>
        <v>9057398.3413777836</v>
      </c>
      <c r="N11" s="1">
        <f t="shared" si="3"/>
        <v>2788719.8271347368</v>
      </c>
      <c r="O11" s="1"/>
      <c r="S11" s="2" t="str" cm="1">
        <f t="array" ref="S11:S16">TRANSPOSE(L1:Q1)</f>
        <v xml:space="preserve">30 Min Lin </v>
      </c>
      <c r="T11" s="6">
        <f>SUM(L2:L2563)/1000000</f>
        <v>73276.14072505878</v>
      </c>
      <c r="U11" s="3">
        <f>SUM(L$374:L$390,L$395:L$399,L$409:L$418)/1000000</f>
        <v>1595.7774024557707</v>
      </c>
      <c r="V11" s="3">
        <f>SUM(L$352:L$377,L$391:L$394)/1000000</f>
        <v>105.87399798661768</v>
      </c>
      <c r="W11" s="3">
        <f>SUM(L$419:L$479)/1000000</f>
        <v>32578.960586409921</v>
      </c>
      <c r="X11" s="3">
        <f>T11-W11-U11-V11</f>
        <v>38995.528738206471</v>
      </c>
      <c r="Y11" t="s">
        <v>12</v>
      </c>
    </row>
    <row r="12" spans="1:25" x14ac:dyDescent="0.25">
      <c r="A12">
        <v>11</v>
      </c>
      <c r="B12">
        <v>337462.87430000002</v>
      </c>
      <c r="C12">
        <v>5606.0123670000003</v>
      </c>
      <c r="D12">
        <v>675140.07010000001</v>
      </c>
      <c r="E12">
        <v>26362.549180000002</v>
      </c>
      <c r="F12">
        <v>1103143.1740000001</v>
      </c>
      <c r="G12">
        <v>24691.142830000001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7606267.0669982666</v>
      </c>
      <c r="M12" s="1">
        <f t="shared" si="2"/>
        <v>11996320.4550917</v>
      </c>
      <c r="N12" s="1">
        <f t="shared" si="3"/>
        <v>5257091.371649839</v>
      </c>
      <c r="O12" s="1"/>
      <c r="S12" s="2" t="str">
        <v>45 Min Lin</v>
      </c>
      <c r="T12" s="6">
        <f>SUM(M2:M2563)/1000000</f>
        <v>92748.20812522489</v>
      </c>
      <c r="U12" s="3">
        <f>SUM(M$374:M$390,M$395:M$399,M$409:M$418)/1000000</f>
        <v>1358.4065917077594</v>
      </c>
      <c r="V12" s="3">
        <f>SUM(M$352:M$377,M$391:M$394)/1000000</f>
        <v>710.38814592625465</v>
      </c>
      <c r="W12" s="3">
        <f>SUM(M$419:M$479)/1000000</f>
        <v>50305.620615263244</v>
      </c>
      <c r="X12" s="3">
        <f t="shared" ref="X12:X13" si="4">T12-W12-U12-V12</f>
        <v>40373.79277232763</v>
      </c>
      <c r="Y12" s="3"/>
    </row>
    <row r="13" spans="1:25" x14ac:dyDescent="0.25">
      <c r="A13">
        <v>12</v>
      </c>
      <c r="B13">
        <v>357991.37280000001</v>
      </c>
      <c r="C13">
        <v>7666.9351580000002</v>
      </c>
      <c r="D13">
        <v>692904.25670000003</v>
      </c>
      <c r="E13">
        <v>26885.846959999999</v>
      </c>
      <c r="F13">
        <v>1139271.5209999999</v>
      </c>
      <c r="G13">
        <v>23253.25879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7583504.3923877906</v>
      </c>
      <c r="M13" s="1">
        <f t="shared" si="2"/>
        <v>8918976.3335117474</v>
      </c>
      <c r="N13" s="1">
        <f t="shared" si="3"/>
        <v>3609265.1861132463</v>
      </c>
      <c r="O13" s="1"/>
      <c r="S13" s="2" t="str">
        <v>60 Min Lin</v>
      </c>
      <c r="T13" s="6">
        <f>SUM(N2:N2563)/1000000</f>
        <v>62208.249469358532</v>
      </c>
      <c r="U13" s="3">
        <f>SUM(N$374:N$390,N$395:N$399,N$409:N$418)/1000000</f>
        <v>1013.3959101206646</v>
      </c>
      <c r="V13" s="3">
        <f>SUM(N$352:N$377,N$391:N$394)/1000000</f>
        <v>626.15358610681369</v>
      </c>
      <c r="W13" s="3">
        <f>SUM(N$419:N$479)/1000000</f>
        <v>25612.87839831517</v>
      </c>
      <c r="X13" s="3">
        <f t="shared" si="4"/>
        <v>34955.821574815891</v>
      </c>
      <c r="Y13" s="4"/>
    </row>
    <row r="14" spans="1:25" x14ac:dyDescent="0.25">
      <c r="A14">
        <v>13</v>
      </c>
      <c r="B14">
        <v>436547.72960000002</v>
      </c>
      <c r="C14">
        <v>9339.5164719999993</v>
      </c>
      <c r="D14">
        <v>839867.22930000001</v>
      </c>
      <c r="E14">
        <v>13798.221289999999</v>
      </c>
      <c r="F14">
        <v>1260453.6569999999</v>
      </c>
      <c r="G14">
        <v>10326.955679999999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3879140.0644697533</v>
      </c>
      <c r="M14" s="1">
        <f t="shared" si="2"/>
        <v>1922105.8975696336</v>
      </c>
      <c r="N14" s="1">
        <f t="shared" si="3"/>
        <v>673085.44118776405</v>
      </c>
      <c r="O14" s="1"/>
      <c r="S14" s="2" t="str">
        <v>30 Min Log</v>
      </c>
      <c r="T14" s="6">
        <f>SUM(U14:X14)</f>
        <v>31110.687936100934</v>
      </c>
      <c r="U14" s="7">
        <f>$V2*$Y$2*(SUM(C$374:C$390,C$395:C$399,C$409:C$418))/(SUM(B$374:B$390,B$395:B$399,B$409:B$418))</f>
        <v>806.69260393282445</v>
      </c>
      <c r="V14" s="7">
        <f>$V2*$Y$3*(SUM(C$352:C$377,C$391:C$394))/(SUM(B$352:B$377,B$391:B$394))</f>
        <v>87.926786977184079</v>
      </c>
      <c r="W14" s="8">
        <f>V2*$Y$4*(SUM(C$419:C$479))/(SUM(B$419:B$479))</f>
        <v>11622.841882161631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18593.226663029294</v>
      </c>
    </row>
    <row r="15" spans="1:25" x14ac:dyDescent="0.25">
      <c r="A15">
        <v>14</v>
      </c>
      <c r="B15">
        <v>477278.10139999999</v>
      </c>
      <c r="C15">
        <v>13666.994339999999</v>
      </c>
      <c r="D15">
        <v>886862.5466</v>
      </c>
      <c r="E15">
        <v>26171.727269999999</v>
      </c>
      <c r="F15">
        <v>1280429.3540000001</v>
      </c>
      <c r="G15">
        <v>10326.955679999999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9132087.6450934149</v>
      </c>
      <c r="M15" s="1">
        <f t="shared" si="2"/>
        <v>5865061.6204943024</v>
      </c>
      <c r="N15" s="1">
        <f t="shared" si="3"/>
        <v>1082819.790525527</v>
      </c>
      <c r="O15" s="1"/>
      <c r="S15" s="2" t="str">
        <v>45 Min Log</v>
      </c>
      <c r="T15" s="6">
        <f>SUM(U15:X15)</f>
        <v>19951.600783534243</v>
      </c>
      <c r="U15" s="7">
        <f>$V3*$Y$2*(SUM(E$374:E$390,E$395:E$399,E$409:E$418))/(SUM(D$374:D$390,D$395:D$399,D$409:D$418))</f>
        <v>474.01869713886197</v>
      </c>
      <c r="V15" s="7">
        <f>$V3*$Y$3*(SUM(E$352:E$377,E$391:E$394))/(SUM(D$352:D$377,D$391:D$394))</f>
        <v>119.19466107390703</v>
      </c>
      <c r="W15" s="8">
        <f>V3*$Y$4*(SUM(E$419:E$479))/(SUM(D$419:D$479))</f>
        <v>7000.8598844936732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12357.527540827799</v>
      </c>
    </row>
    <row r="16" spans="1:25" x14ac:dyDescent="0.25">
      <c r="A16">
        <v>15</v>
      </c>
      <c r="B16">
        <v>380423.7929</v>
      </c>
      <c r="C16">
        <v>5998.4223959999999</v>
      </c>
      <c r="D16">
        <v>729459.53590000002</v>
      </c>
      <c r="E16">
        <v>30811.107360000002</v>
      </c>
      <c r="F16">
        <v>1190614.932</v>
      </c>
      <c r="G16">
        <v>23178.715779999999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4010635.0517574772</v>
      </c>
      <c r="M16" s="1">
        <f t="shared" si="2"/>
        <v>6909180.5972610004</v>
      </c>
      <c r="N16" s="1">
        <f t="shared" si="3"/>
        <v>2431936.8071091585</v>
      </c>
      <c r="O16" s="1"/>
      <c r="S16" s="2" t="str">
        <v>60 Min Log</v>
      </c>
      <c r="T16" s="6">
        <f>SUM(U16:X16)</f>
        <v>10397.737301736839</v>
      </c>
      <c r="U16" s="7">
        <f>$V4*$Y$2*(SUM(G$374:G$390,G$395:G$399,G$409:G$418))/(SUM(F$374:F$390,F$395:F$399,F$409:F$418))</f>
        <v>367.38180104751882</v>
      </c>
      <c r="V16" s="7">
        <f>$V4*$Y$3*(SUM(G$352:G$377,G$391:G$394))/(SUM(F$352:F$377,F$391:F$394))</f>
        <v>129.72492558699037</v>
      </c>
      <c r="W16" s="8">
        <f>V4*$Y$4*(SUM(G$419:G$479))/(SUM(F$419:F$479))</f>
        <v>2796.2837014679694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7104.3468736343602</v>
      </c>
    </row>
    <row r="17" spans="1:25" x14ac:dyDescent="0.25">
      <c r="A17">
        <v>16</v>
      </c>
      <c r="B17">
        <v>500344.1017</v>
      </c>
      <c r="C17">
        <v>9195.1564629999993</v>
      </c>
      <c r="D17">
        <v>888591.84479999996</v>
      </c>
      <c r="E17">
        <v>23595.688249999999</v>
      </c>
      <c r="F17">
        <v>1299324.5079999999</v>
      </c>
      <c r="G17">
        <v>11079.941279999999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7868018.2775861826</v>
      </c>
      <c r="M17" s="1">
        <f t="shared" si="2"/>
        <v>6771455.4125260105</v>
      </c>
      <c r="N17" s="1">
        <f t="shared" si="3"/>
        <v>1487751.8895374374</v>
      </c>
      <c r="O17" s="1"/>
    </row>
    <row r="18" spans="1:25" x14ac:dyDescent="0.25">
      <c r="A18">
        <v>17</v>
      </c>
      <c r="B18">
        <v>405817.66460000002</v>
      </c>
      <c r="C18">
        <v>2552.8697360000001</v>
      </c>
      <c r="D18">
        <v>779015.06539999996</v>
      </c>
      <c r="E18">
        <v>15767.29585</v>
      </c>
      <c r="F18">
        <v>1207419.095</v>
      </c>
      <c r="G18">
        <v>18580.260730000002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3387147.9846800817</v>
      </c>
      <c r="M18" s="1">
        <f t="shared" si="2"/>
        <v>7016263.1650148565</v>
      </c>
      <c r="N18" s="1">
        <f t="shared" si="3"/>
        <v>3868513.6685406817</v>
      </c>
      <c r="O18" s="1"/>
      <c r="T18" cm="1">
        <f t="array" ref="T18:Y18">TRANSPOSE(T11:T16)</f>
        <v>73276.14072505878</v>
      </c>
      <c r="U18">
        <v>92748.20812522489</v>
      </c>
      <c r="V18">
        <v>62208.249469358532</v>
      </c>
      <c r="W18">
        <v>31110.687936100934</v>
      </c>
      <c r="X18">
        <v>19951.600783534243</v>
      </c>
      <c r="Y18">
        <v>10397.737301736839</v>
      </c>
    </row>
    <row r="19" spans="1:25" x14ac:dyDescent="0.25">
      <c r="A19">
        <v>18</v>
      </c>
      <c r="B19">
        <v>445777.7329</v>
      </c>
      <c r="C19">
        <v>29796.626420000001</v>
      </c>
      <c r="D19">
        <v>828799.30909999995</v>
      </c>
      <c r="E19">
        <v>36136.528279999999</v>
      </c>
      <c r="F19">
        <v>1258727.352</v>
      </c>
      <c r="G19">
        <v>22125.630730000001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30600667.01036917</v>
      </c>
      <c r="M19" s="1">
        <f t="shared" si="2"/>
        <v>12446675.312629152</v>
      </c>
      <c r="N19" s="1">
        <f t="shared" si="3"/>
        <v>3565712.0775816385</v>
      </c>
      <c r="O19" s="1"/>
    </row>
    <row r="20" spans="1:25" x14ac:dyDescent="0.25">
      <c r="A20">
        <v>19</v>
      </c>
      <c r="B20">
        <v>450878.02289999998</v>
      </c>
      <c r="C20">
        <v>24186.467670000002</v>
      </c>
      <c r="D20">
        <v>832070.60530000005</v>
      </c>
      <c r="E20">
        <v>35583.429530000001</v>
      </c>
      <c r="F20">
        <v>1261316.0549999999</v>
      </c>
      <c r="G20">
        <v>22125.630730000001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93003864.926368266</v>
      </c>
      <c r="M20" s="1">
        <f t="shared" si="2"/>
        <v>45890151.410519898</v>
      </c>
      <c r="N20" s="1">
        <f t="shared" si="3"/>
        <v>13350914.83575926</v>
      </c>
      <c r="O20" s="1"/>
    </row>
    <row r="21" spans="1:25" x14ac:dyDescent="0.25">
      <c r="A21">
        <v>20</v>
      </c>
      <c r="B21">
        <v>502288.82179999998</v>
      </c>
      <c r="C21">
        <v>4824.4155170000004</v>
      </c>
      <c r="D21">
        <v>932607.06099999999</v>
      </c>
      <c r="E21">
        <v>28124.049050000001</v>
      </c>
      <c r="F21">
        <v>1315359.115</v>
      </c>
      <c r="G21">
        <v>8491.2646519999998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4354108.438905553</v>
      </c>
      <c r="M21" s="1">
        <f t="shared" si="2"/>
        <v>8512860.5445743799</v>
      </c>
      <c r="N21" s="1">
        <f t="shared" si="3"/>
        <v>1202579.3092506765</v>
      </c>
      <c r="O21" s="1"/>
    </row>
    <row r="22" spans="1:25" x14ac:dyDescent="0.25">
      <c r="A22">
        <v>21</v>
      </c>
      <c r="B22">
        <v>541738.39029999997</v>
      </c>
      <c r="C22">
        <v>5158.4538860000002</v>
      </c>
      <c r="D22">
        <v>967780.33840000001</v>
      </c>
      <c r="E22">
        <v>25554.00923</v>
      </c>
      <c r="F22">
        <v>1346300.28</v>
      </c>
      <c r="G22">
        <v>10273.107830000001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2679553.3923429917</v>
      </c>
      <c r="M22" s="1">
        <f t="shared" si="2"/>
        <v>4451896.3753008274</v>
      </c>
      <c r="N22" s="1">
        <f t="shared" si="3"/>
        <v>837397.23851695587</v>
      </c>
      <c r="O22" s="1"/>
    </row>
    <row r="23" spans="1:25" x14ac:dyDescent="0.25">
      <c r="A23">
        <v>22</v>
      </c>
      <c r="B23">
        <v>562585.60560000001</v>
      </c>
      <c r="C23">
        <v>4796.8313939999998</v>
      </c>
      <c r="D23">
        <v>1004964.159</v>
      </c>
      <c r="E23">
        <v>26054.792300000001</v>
      </c>
      <c r="F23">
        <v>1408220.392</v>
      </c>
      <c r="G23">
        <v>9996.1323530000009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3198862.9033923014</v>
      </c>
      <c r="M23" s="1">
        <f t="shared" si="2"/>
        <v>5827361.0448289765</v>
      </c>
      <c r="N23" s="1">
        <f t="shared" si="3"/>
        <v>1046068.1684880625</v>
      </c>
      <c r="O23" s="1"/>
    </row>
    <row r="24" spans="1:25" x14ac:dyDescent="0.25">
      <c r="A24">
        <v>23</v>
      </c>
      <c r="B24">
        <v>564141.62809999997</v>
      </c>
      <c r="C24">
        <v>1716.8400360000001</v>
      </c>
      <c r="D24">
        <v>999994.98849999998</v>
      </c>
      <c r="E24">
        <v>14196.85175</v>
      </c>
      <c r="F24">
        <v>1391814.067</v>
      </c>
      <c r="G24">
        <v>6442.8840090000003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1339307.3133734982</v>
      </c>
      <c r="M24" s="1">
        <f t="shared" si="2"/>
        <v>3714373.6712854411</v>
      </c>
      <c r="N24" s="1">
        <f t="shared" si="3"/>
        <v>788710.34273719881</v>
      </c>
      <c r="O24" s="1"/>
    </row>
    <row r="25" spans="1:25" x14ac:dyDescent="0.25">
      <c r="A25">
        <v>24</v>
      </c>
      <c r="B25">
        <v>498597.93070000003</v>
      </c>
      <c r="C25">
        <v>15308.18015</v>
      </c>
      <c r="D25">
        <v>914110.74549999996</v>
      </c>
      <c r="E25">
        <v>41082.419260000002</v>
      </c>
      <c r="F25">
        <v>1321500.5060000001</v>
      </c>
      <c r="G25">
        <v>10326.955679999999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6292647.7964533251</v>
      </c>
      <c r="M25" s="1">
        <f t="shared" si="2"/>
        <v>5663814.3251305083</v>
      </c>
      <c r="N25" s="1">
        <f t="shared" si="3"/>
        <v>666145.33137394418</v>
      </c>
      <c r="O25" s="1"/>
    </row>
    <row r="26" spans="1:25" x14ac:dyDescent="0.25">
      <c r="A26">
        <v>25</v>
      </c>
      <c r="B26">
        <v>560605.33940000006</v>
      </c>
      <c r="C26">
        <v>28398.828409999998</v>
      </c>
      <c r="D26">
        <v>1019757.0060000001</v>
      </c>
      <c r="E26">
        <v>32093.050780000001</v>
      </c>
      <c r="F26">
        <v>1429100.459</v>
      </c>
      <c r="G26">
        <v>16540.23473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9222096.8101609834</v>
      </c>
      <c r="M26" s="1">
        <f t="shared" si="2"/>
        <v>3495291.4414364961</v>
      </c>
      <c r="N26" s="1">
        <f t="shared" si="3"/>
        <v>842864.45047049713</v>
      </c>
      <c r="O26" s="1"/>
    </row>
    <row r="27" spans="1:25" x14ac:dyDescent="0.25">
      <c r="A27">
        <v>26</v>
      </c>
      <c r="B27">
        <v>634663.14879999997</v>
      </c>
      <c r="C27">
        <v>11662.16303</v>
      </c>
      <c r="D27">
        <v>1095423.182</v>
      </c>
      <c r="E27">
        <v>17248.161120000001</v>
      </c>
      <c r="F27">
        <v>1509892.3740000001</v>
      </c>
      <c r="G27">
        <v>10473.807059999999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10346623.47318312</v>
      </c>
      <c r="M27" s="1">
        <f t="shared" si="2"/>
        <v>5132222.471469461</v>
      </c>
      <c r="N27" s="1">
        <f t="shared" si="3"/>
        <v>1458179.2741040981</v>
      </c>
      <c r="O27" s="1"/>
    </row>
    <row r="28" spans="1:25" x14ac:dyDescent="0.25">
      <c r="A28">
        <v>27</v>
      </c>
      <c r="B28">
        <v>555934.62650000001</v>
      </c>
      <c r="C28">
        <v>25417.973259999999</v>
      </c>
      <c r="D28">
        <v>1002145.927</v>
      </c>
      <c r="E28">
        <v>31009.318790000001</v>
      </c>
      <c r="F28">
        <v>1439892.5109999999</v>
      </c>
      <c r="G28">
        <v>13597.69456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5972288.9564057514</v>
      </c>
      <c r="M28" s="1">
        <f t="shared" si="2"/>
        <v>2443628.9196961578</v>
      </c>
      <c r="N28" s="1">
        <f t="shared" si="3"/>
        <v>501362.66495685489</v>
      </c>
      <c r="O28" s="1"/>
    </row>
    <row r="29" spans="1:25" x14ac:dyDescent="0.25">
      <c r="A29">
        <v>28</v>
      </c>
      <c r="B29">
        <v>568716.83239999996</v>
      </c>
      <c r="C29">
        <v>23443.462800000001</v>
      </c>
      <c r="D29">
        <v>1028686.291</v>
      </c>
      <c r="E29">
        <v>37964.334640000001</v>
      </c>
      <c r="F29">
        <v>1452619.673</v>
      </c>
      <c r="G29">
        <v>15080.177610000001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7148010.5749391066</v>
      </c>
      <c r="M29" s="1">
        <f t="shared" si="2"/>
        <v>3882239.7775730956</v>
      </c>
      <c r="N29" s="1">
        <f t="shared" si="3"/>
        <v>721533.8276523049</v>
      </c>
      <c r="O29" s="1"/>
    </row>
    <row r="30" spans="1:25" x14ac:dyDescent="0.25">
      <c r="A30">
        <v>29</v>
      </c>
      <c r="B30">
        <v>603337.15549999999</v>
      </c>
      <c r="C30">
        <v>39757.320780000002</v>
      </c>
      <c r="D30">
        <v>1089846.081</v>
      </c>
      <c r="E30">
        <v>32705.330430000002</v>
      </c>
      <c r="F30">
        <v>1497092.192</v>
      </c>
      <c r="G30">
        <v>16508.64314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15473504.857443962</v>
      </c>
      <c r="M30" s="1">
        <f t="shared" si="2"/>
        <v>4269069.8814738635</v>
      </c>
      <c r="N30" s="1">
        <f t="shared" si="3"/>
        <v>1008253.5980450516</v>
      </c>
      <c r="O30" s="1"/>
    </row>
    <row r="31" spans="1:25" x14ac:dyDescent="0.25">
      <c r="A31">
        <v>30</v>
      </c>
      <c r="B31">
        <v>575646.05630000005</v>
      </c>
      <c r="C31">
        <v>39056.126900000003</v>
      </c>
      <c r="D31">
        <v>1050928.7930000001</v>
      </c>
      <c r="E31">
        <v>40310.873650000001</v>
      </c>
      <c r="F31">
        <v>1459115.736</v>
      </c>
      <c r="G31">
        <v>16126.359039999999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40733015.512087725</v>
      </c>
      <c r="M31" s="1">
        <f t="shared" si="2"/>
        <v>14100117.670898128</v>
      </c>
      <c r="N31" s="1">
        <f t="shared" si="3"/>
        <v>2639249.994497268</v>
      </c>
      <c r="O31" s="1"/>
    </row>
    <row r="32" spans="1:25" x14ac:dyDescent="0.25">
      <c r="A32">
        <v>31</v>
      </c>
      <c r="B32">
        <v>586446.74959999998</v>
      </c>
      <c r="C32">
        <v>20290.847269999998</v>
      </c>
      <c r="D32">
        <v>1064238.3489999999</v>
      </c>
      <c r="E32">
        <v>28608.044760000001</v>
      </c>
      <c r="F32">
        <v>1451409.389</v>
      </c>
      <c r="G32">
        <v>13128.58999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19134601.142456174</v>
      </c>
      <c r="M32" s="1">
        <f t="shared" si="2"/>
        <v>9047957.3655721992</v>
      </c>
      <c r="N32" s="1">
        <f t="shared" si="3"/>
        <v>1942782.2745917044</v>
      </c>
      <c r="O32" s="1"/>
    </row>
    <row r="33" spans="1:15" x14ac:dyDescent="0.25">
      <c r="A33">
        <v>32</v>
      </c>
      <c r="B33">
        <v>598863.00379999995</v>
      </c>
      <c r="C33">
        <v>15174.343860000001</v>
      </c>
      <c r="D33">
        <v>1070569.9509999999</v>
      </c>
      <c r="E33">
        <v>19559.407380000001</v>
      </c>
      <c r="F33">
        <v>1475724.1059999999</v>
      </c>
      <c r="G33">
        <v>11425.238240000001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6261011.5727975145</v>
      </c>
      <c r="M33" s="1">
        <f t="shared" si="2"/>
        <v>2706658.1903783889</v>
      </c>
      <c r="N33" s="1">
        <f t="shared" si="3"/>
        <v>739752.88099273143</v>
      </c>
      <c r="O33" s="1"/>
    </row>
    <row r="34" spans="1:15" x14ac:dyDescent="0.25">
      <c r="A34">
        <v>33</v>
      </c>
      <c r="B34">
        <v>601496.34459999995</v>
      </c>
      <c r="C34">
        <v>13995.850329999999</v>
      </c>
      <c r="D34">
        <v>1058122.304</v>
      </c>
      <c r="E34">
        <v>16318.374529999999</v>
      </c>
      <c r="F34">
        <v>1434478.459</v>
      </c>
      <c r="G34">
        <v>10473.807059999999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5964187.5268580364</v>
      </c>
      <c r="M34" s="1">
        <f t="shared" si="2"/>
        <v>2332233.5264511993</v>
      </c>
      <c r="N34" s="1">
        <f t="shared" si="3"/>
        <v>700395.56134514115</v>
      </c>
      <c r="O34" s="1"/>
    </row>
    <row r="35" spans="1:15" x14ac:dyDescent="0.25">
      <c r="A35">
        <v>34</v>
      </c>
      <c r="B35">
        <v>599859.0514</v>
      </c>
      <c r="C35">
        <v>13866.56559</v>
      </c>
      <c r="D35">
        <v>1055031.0719999999</v>
      </c>
      <c r="E35">
        <v>16318.374529999999</v>
      </c>
      <c r="F35">
        <v>1425782.25</v>
      </c>
      <c r="G35">
        <v>7209.610968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6338410.3180031041</v>
      </c>
      <c r="M35" s="1">
        <f t="shared" si="2"/>
        <v>2501678.3677746151</v>
      </c>
      <c r="N35" s="1">
        <f t="shared" si="3"/>
        <v>517142.32722973917</v>
      </c>
      <c r="O35" s="1"/>
    </row>
    <row r="36" spans="1:15" x14ac:dyDescent="0.25">
      <c r="A36">
        <v>35</v>
      </c>
      <c r="B36">
        <v>468243.08049999998</v>
      </c>
      <c r="C36">
        <v>4099.6673179999998</v>
      </c>
      <c r="D36">
        <v>851644.01229999994</v>
      </c>
      <c r="E36">
        <v>32448.578699999998</v>
      </c>
      <c r="F36">
        <v>1265153.023</v>
      </c>
      <c r="G36">
        <v>10401.62638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57512769.979634315</v>
      </c>
      <c r="M36" s="1">
        <f t="shared" si="2"/>
        <v>152670273.95294136</v>
      </c>
      <c r="N36" s="1">
        <f t="shared" si="3"/>
        <v>22898326.019174699</v>
      </c>
      <c r="O36" s="1"/>
    </row>
    <row r="37" spans="1:15" x14ac:dyDescent="0.25">
      <c r="A37">
        <v>36</v>
      </c>
      <c r="B37">
        <v>601905.54110000003</v>
      </c>
      <c r="C37">
        <v>21846.454440000001</v>
      </c>
      <c r="D37">
        <v>1065052.3870000001</v>
      </c>
      <c r="E37">
        <v>23416.12168</v>
      </c>
      <c r="F37">
        <v>1484167.2609999999</v>
      </c>
      <c r="G37">
        <v>13260.328439999999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14164863.859198811</v>
      </c>
      <c r="M37" s="1">
        <f t="shared" si="2"/>
        <v>5092013.4785999032</v>
      </c>
      <c r="N37" s="1">
        <f t="shared" si="3"/>
        <v>1349188.2105464952</v>
      </c>
      <c r="O37" s="1"/>
    </row>
    <row r="38" spans="1:15" x14ac:dyDescent="0.25">
      <c r="A38">
        <v>37</v>
      </c>
      <c r="B38">
        <v>632414.45990000002</v>
      </c>
      <c r="C38">
        <v>32143.191279999999</v>
      </c>
      <c r="D38">
        <v>1115824.4069999999</v>
      </c>
      <c r="E38">
        <v>26908.366470000001</v>
      </c>
      <c r="F38">
        <v>1533520.737</v>
      </c>
      <c r="G38">
        <v>14548.433419999999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13399523.075168027</v>
      </c>
      <c r="M38" s="1">
        <f t="shared" si="2"/>
        <v>3762104.1896796566</v>
      </c>
      <c r="N38" s="1">
        <f t="shared" si="3"/>
        <v>951707.28608697909</v>
      </c>
      <c r="O38" s="1"/>
    </row>
    <row r="39" spans="1:15" x14ac:dyDescent="0.25">
      <c r="A39">
        <v>38</v>
      </c>
      <c r="B39">
        <v>631246.86849999998</v>
      </c>
      <c r="C39">
        <v>28927.182410000001</v>
      </c>
      <c r="D39">
        <v>1093682.8230000001</v>
      </c>
      <c r="E39">
        <v>26745.53224</v>
      </c>
      <c r="F39">
        <v>1543904.906</v>
      </c>
      <c r="G39">
        <v>14168.16721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7172806.5815831926</v>
      </c>
      <c r="M39" s="1">
        <f t="shared" si="2"/>
        <v>2224218.084901901</v>
      </c>
      <c r="N39" s="1">
        <f t="shared" si="3"/>
        <v>551294.26499491639</v>
      </c>
      <c r="O39" s="1"/>
    </row>
    <row r="40" spans="1:15" x14ac:dyDescent="0.25">
      <c r="A40">
        <v>39</v>
      </c>
      <c r="B40">
        <v>634500.60600000003</v>
      </c>
      <c r="C40">
        <v>36201.99553</v>
      </c>
      <c r="D40">
        <v>1110085.9909999999</v>
      </c>
      <c r="E40">
        <v>30321.685420000002</v>
      </c>
      <c r="F40">
        <v>1546883.1910000001</v>
      </c>
      <c r="G40">
        <v>15945.092430000001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22932341.755669862</v>
      </c>
      <c r="M40" s="1">
        <f t="shared" si="2"/>
        <v>6441876.1307964223</v>
      </c>
      <c r="N40" s="1">
        <f t="shared" si="3"/>
        <v>1585001.7685437733</v>
      </c>
      <c r="O40" s="1"/>
    </row>
    <row r="41" spans="1:15" x14ac:dyDescent="0.25">
      <c r="A41">
        <v>40</v>
      </c>
      <c r="B41">
        <v>654875.77229999995</v>
      </c>
      <c r="C41">
        <v>50009.571519999998</v>
      </c>
      <c r="D41">
        <v>1143140.983</v>
      </c>
      <c r="E41">
        <v>36784.183770000003</v>
      </c>
      <c r="F41">
        <v>1548153.882</v>
      </c>
      <c r="G41">
        <v>16418.530549999999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23685089.231204927</v>
      </c>
      <c r="M41" s="1">
        <f t="shared" si="2"/>
        <v>5842869.0395782627</v>
      </c>
      <c r="N41" s="1">
        <f t="shared" si="3"/>
        <v>1220233.6358622378</v>
      </c>
      <c r="O41" s="1"/>
    </row>
    <row r="42" spans="1:15" x14ac:dyDescent="0.25">
      <c r="A42">
        <v>41</v>
      </c>
      <c r="B42">
        <v>625705.83499999996</v>
      </c>
      <c r="C42">
        <v>41896.377310000003</v>
      </c>
      <c r="D42">
        <v>1120140.4790000001</v>
      </c>
      <c r="E42">
        <v>37071.317519999997</v>
      </c>
      <c r="F42">
        <v>1520121.632</v>
      </c>
      <c r="G42">
        <v>18785.01369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9731336.5008863602</v>
      </c>
      <c r="M42" s="1">
        <f t="shared" si="2"/>
        <v>2887866.9226986985</v>
      </c>
      <c r="N42" s="1">
        <f t="shared" si="3"/>
        <v>684690.57433449128</v>
      </c>
      <c r="O42" s="1"/>
    </row>
    <row r="43" spans="1:15" x14ac:dyDescent="0.25">
      <c r="A43">
        <v>42</v>
      </c>
      <c r="B43">
        <v>623032.63529999997</v>
      </c>
      <c r="C43">
        <v>37770.69541</v>
      </c>
      <c r="D43">
        <v>1103878.1680000001</v>
      </c>
      <c r="E43">
        <v>43054.741009999998</v>
      </c>
      <c r="F43">
        <v>1498892.7919999999</v>
      </c>
      <c r="G43">
        <v>18458.812590000001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7804427.754260351</v>
      </c>
      <c r="M43" s="1">
        <f t="shared" si="2"/>
        <v>2983665.9764311141</v>
      </c>
      <c r="N43" s="1">
        <f t="shared" si="3"/>
        <v>598517.23295737291</v>
      </c>
      <c r="O43" s="1"/>
    </row>
    <row r="44" spans="1:15" x14ac:dyDescent="0.25">
      <c r="A44">
        <v>43</v>
      </c>
      <c r="B44">
        <v>613221.04539999994</v>
      </c>
      <c r="C44">
        <v>20458.540430000001</v>
      </c>
      <c r="D44">
        <v>1094689.42</v>
      </c>
      <c r="E44">
        <v>23490.54665</v>
      </c>
      <c r="F44">
        <v>1477008.7290000001</v>
      </c>
      <c r="G44">
        <v>12463.10174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4254548.3097930709</v>
      </c>
      <c r="M44" s="1">
        <f t="shared" si="2"/>
        <v>1638381.6418716246</v>
      </c>
      <c r="N44" s="1">
        <f t="shared" si="3"/>
        <v>406716.47803710063</v>
      </c>
      <c r="O44" s="1"/>
    </row>
    <row r="45" spans="1:15" x14ac:dyDescent="0.25">
      <c r="A45">
        <v>44</v>
      </c>
      <c r="B45">
        <v>623289.37150000001</v>
      </c>
      <c r="C45">
        <v>15863.392889999999</v>
      </c>
      <c r="D45">
        <v>1093018.0379999999</v>
      </c>
      <c r="E45">
        <v>16318.374529999999</v>
      </c>
      <c r="F45">
        <v>1473073.023</v>
      </c>
      <c r="G45">
        <v>10473.807059999999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5992178.7893677587</v>
      </c>
      <c r="M45" s="1">
        <f t="shared" si="2"/>
        <v>2067324.8067402234</v>
      </c>
      <c r="N45" s="1">
        <f t="shared" si="3"/>
        <v>620840.53851279349</v>
      </c>
      <c r="O45" s="1"/>
    </row>
    <row r="46" spans="1:15" x14ac:dyDescent="0.25">
      <c r="A46">
        <v>45</v>
      </c>
      <c r="B46">
        <v>623978.84829999995</v>
      </c>
      <c r="C46">
        <v>14972.164210000001</v>
      </c>
      <c r="D46">
        <v>1081143.4010000001</v>
      </c>
      <c r="E46">
        <v>17030.848610000001</v>
      </c>
      <c r="F46">
        <v>1448935.466</v>
      </c>
      <c r="G46">
        <v>10966.592070000001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10794669.150784273</v>
      </c>
      <c r="M46" s="1">
        <f t="shared" si="2"/>
        <v>4118169.139448538</v>
      </c>
      <c r="N46" s="1">
        <f t="shared" si="3"/>
        <v>1240747.0708338898</v>
      </c>
      <c r="O46" s="1"/>
    </row>
    <row r="47" spans="1:15" x14ac:dyDescent="0.25">
      <c r="A47">
        <v>46</v>
      </c>
      <c r="B47">
        <v>683647.95279999997</v>
      </c>
      <c r="C47">
        <v>42495.173340000001</v>
      </c>
      <c r="D47">
        <v>1142893.0830000001</v>
      </c>
      <c r="E47">
        <v>28403.088039999999</v>
      </c>
      <c r="F47">
        <v>1571932.2890000001</v>
      </c>
      <c r="G47">
        <v>12507.685659999999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8465564.3085963968</v>
      </c>
      <c r="M47" s="1">
        <f t="shared" si="2"/>
        <v>1897688.8462586636</v>
      </c>
      <c r="N47" s="1">
        <f t="shared" si="3"/>
        <v>391002.99258948455</v>
      </c>
      <c r="O47" s="1"/>
    </row>
    <row r="48" spans="1:15" x14ac:dyDescent="0.25">
      <c r="A48">
        <v>47</v>
      </c>
      <c r="B48">
        <v>706893.60699999996</v>
      </c>
      <c r="C48">
        <v>43203.019509999998</v>
      </c>
      <c r="D48">
        <v>1181617.9180000001</v>
      </c>
      <c r="E48">
        <v>36230.034229999997</v>
      </c>
      <c r="F48">
        <v>1576696.86</v>
      </c>
      <c r="G48">
        <v>15271.938529999999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19500114.128803477</v>
      </c>
      <c r="M48" s="1">
        <f t="shared" si="2"/>
        <v>5484473.3847364699</v>
      </c>
      <c r="N48" s="1">
        <f t="shared" si="3"/>
        <v>1081693.0377492663</v>
      </c>
      <c r="O48" s="1"/>
    </row>
    <row r="49" spans="1:15" x14ac:dyDescent="0.25">
      <c r="A49">
        <v>48</v>
      </c>
      <c r="B49">
        <v>683325.00210000004</v>
      </c>
      <c r="C49">
        <v>52027.225810000004</v>
      </c>
      <c r="D49">
        <v>1178616.9280000001</v>
      </c>
      <c r="E49">
        <v>39520.908349999998</v>
      </c>
      <c r="F49">
        <v>1583613.334</v>
      </c>
      <c r="G49">
        <v>21169.004639999999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22657735.537529372</v>
      </c>
      <c r="M49" s="1">
        <f t="shared" si="2"/>
        <v>5772392.9699390037</v>
      </c>
      <c r="N49" s="1">
        <f t="shared" si="3"/>
        <v>1446682.0319955659</v>
      </c>
      <c r="O49" s="1"/>
    </row>
    <row r="50" spans="1:15" x14ac:dyDescent="0.25">
      <c r="A50">
        <v>49</v>
      </c>
      <c r="B50">
        <v>640322.72990000003</v>
      </c>
      <c r="C50">
        <v>51674.226979999999</v>
      </c>
      <c r="D50">
        <v>1134765.5319999999</v>
      </c>
      <c r="E50">
        <v>37868.395669999998</v>
      </c>
      <c r="F50">
        <v>1534006.2720000001</v>
      </c>
      <c r="G50">
        <v>19091.150160000001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21794866.552449524</v>
      </c>
      <c r="M50" s="1">
        <f t="shared" si="2"/>
        <v>5356736.316227763</v>
      </c>
      <c r="N50" s="1">
        <f t="shared" si="3"/>
        <v>1263569.5000278126</v>
      </c>
      <c r="O50" s="1"/>
    </row>
    <row r="51" spans="1:15" x14ac:dyDescent="0.25">
      <c r="A51">
        <v>50</v>
      </c>
      <c r="B51">
        <v>646642.72640000004</v>
      </c>
      <c r="C51">
        <v>34867.348720000002</v>
      </c>
      <c r="D51">
        <v>1141586.9539999999</v>
      </c>
      <c r="E51">
        <v>25779.054049999999</v>
      </c>
      <c r="F51">
        <v>1537749.9469999999</v>
      </c>
      <c r="G51">
        <v>13722.12175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18980239.088539463</v>
      </c>
      <c r="M51" s="1">
        <f t="shared" si="2"/>
        <v>4706443.6964691477</v>
      </c>
      <c r="N51" s="1">
        <f t="shared" si="3"/>
        <v>1172170.6339635928</v>
      </c>
      <c r="O51" s="1"/>
    </row>
    <row r="52" spans="1:15" x14ac:dyDescent="0.25">
      <c r="A52">
        <v>51</v>
      </c>
      <c r="B52">
        <v>636716.86620000005</v>
      </c>
      <c r="C52">
        <v>29220.771390000002</v>
      </c>
      <c r="D52">
        <v>1129001.483</v>
      </c>
      <c r="E52">
        <v>20983.28155</v>
      </c>
      <c r="F52">
        <v>1523933.8089999999</v>
      </c>
      <c r="G52">
        <v>11761.91203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12105017.441120567</v>
      </c>
      <c r="M52" s="1">
        <f t="shared" si="2"/>
        <v>2915347.226139117</v>
      </c>
      <c r="N52" s="1">
        <f t="shared" si="3"/>
        <v>764607.3790406863</v>
      </c>
      <c r="O52" s="1"/>
    </row>
    <row r="53" spans="1:15" x14ac:dyDescent="0.25">
      <c r="A53">
        <v>52</v>
      </c>
      <c r="B53">
        <v>654341.81259999995</v>
      </c>
      <c r="C53">
        <v>30674.099300000002</v>
      </c>
      <c r="D53">
        <v>1145072.1640000001</v>
      </c>
      <c r="E53">
        <v>24184.21211</v>
      </c>
      <c r="F53">
        <v>1535235.7139999999</v>
      </c>
      <c r="G53">
        <v>10252.83639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15187638.91747142</v>
      </c>
      <c r="M53" s="1">
        <f t="shared" si="2"/>
        <v>4015998.3374531758</v>
      </c>
      <c r="N53" s="1">
        <f t="shared" si="3"/>
        <v>796616.4796773463</v>
      </c>
      <c r="O53" s="1"/>
    </row>
    <row r="54" spans="1:15" x14ac:dyDescent="0.25">
      <c r="A54">
        <v>53</v>
      </c>
      <c r="B54">
        <v>558219.8077</v>
      </c>
      <c r="C54">
        <v>17822.33714</v>
      </c>
      <c r="D54">
        <v>989736.83609999996</v>
      </c>
      <c r="E54">
        <v>35248.658349999998</v>
      </c>
      <c r="F54">
        <v>1433753.9809999999</v>
      </c>
      <c r="G54">
        <v>11451.55717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16816412.034832872</v>
      </c>
      <c r="M54" s="1">
        <f t="shared" si="2"/>
        <v>11154610.584153391</v>
      </c>
      <c r="N54" s="1">
        <f t="shared" si="3"/>
        <v>1695586.8732798528</v>
      </c>
      <c r="O54" s="1"/>
    </row>
    <row r="55" spans="1:15" x14ac:dyDescent="0.25">
      <c r="A55">
        <v>54</v>
      </c>
      <c r="B55">
        <v>657888.67310000001</v>
      </c>
      <c r="C55">
        <v>19243.811389999999</v>
      </c>
      <c r="D55">
        <v>1119389.7080000001</v>
      </c>
      <c r="E55">
        <v>21571.18478</v>
      </c>
      <c r="F55">
        <v>1545799.1869999999</v>
      </c>
      <c r="G55">
        <v>13372.847239999999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10706759.41364768</v>
      </c>
      <c r="M55" s="1">
        <f t="shared" si="2"/>
        <v>4025168.7123801326</v>
      </c>
      <c r="N55" s="1">
        <f t="shared" si="3"/>
        <v>1167555.8145451082</v>
      </c>
      <c r="O55" s="1"/>
    </row>
    <row r="56" spans="1:15" x14ac:dyDescent="0.25">
      <c r="A56">
        <v>55</v>
      </c>
      <c r="B56">
        <v>667430.5675</v>
      </c>
      <c r="C56">
        <v>27287.256700000002</v>
      </c>
      <c r="D56">
        <v>1144125.638</v>
      </c>
      <c r="E56">
        <v>23974.979469999998</v>
      </c>
      <c r="F56">
        <v>1567041.3</v>
      </c>
      <c r="G56">
        <v>10547.47594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9708220.0522412136</v>
      </c>
      <c r="M56" s="1">
        <f t="shared" si="2"/>
        <v>2860757.9677413823</v>
      </c>
      <c r="N56" s="1">
        <f t="shared" si="3"/>
        <v>588864.12081512879</v>
      </c>
      <c r="O56" s="1"/>
    </row>
    <row r="57" spans="1:15" x14ac:dyDescent="0.25">
      <c r="A57">
        <v>56</v>
      </c>
      <c r="B57">
        <v>703969.06350000005</v>
      </c>
      <c r="C57">
        <v>37251.919349999996</v>
      </c>
      <c r="D57">
        <v>1151677.375</v>
      </c>
      <c r="E57">
        <v>26694.381119999998</v>
      </c>
      <c r="F57">
        <v>1574381.389</v>
      </c>
      <c r="G57">
        <v>14427.97928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15026208.928272657</v>
      </c>
      <c r="M57" s="1">
        <f t="shared" si="2"/>
        <v>3611301.6197388102</v>
      </c>
      <c r="N57" s="1">
        <f t="shared" si="3"/>
        <v>913257.17750949529</v>
      </c>
      <c r="O57" s="1"/>
    </row>
    <row r="58" spans="1:15" x14ac:dyDescent="0.25">
      <c r="A58">
        <v>57</v>
      </c>
      <c r="B58">
        <v>716864.38890000002</v>
      </c>
      <c r="C58">
        <v>42248.947740000003</v>
      </c>
      <c r="D58">
        <v>1185634.0719999999</v>
      </c>
      <c r="E58">
        <v>36066.051910000002</v>
      </c>
      <c r="F58">
        <v>1577632.6470000001</v>
      </c>
      <c r="G58">
        <v>13582.94281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41333625.516108043</v>
      </c>
      <c r="M58" s="1">
        <f t="shared" si="2"/>
        <v>11833939.482898826</v>
      </c>
      <c r="N58" s="1">
        <f t="shared" si="3"/>
        <v>2085298.7883216271</v>
      </c>
      <c r="O58" s="1"/>
    </row>
    <row r="59" spans="1:15" x14ac:dyDescent="0.25">
      <c r="A59">
        <v>58</v>
      </c>
      <c r="B59">
        <v>686818.17420000001</v>
      </c>
      <c r="C59">
        <v>44298.858359999998</v>
      </c>
      <c r="D59">
        <v>1169405.317</v>
      </c>
      <c r="E59">
        <v>36886.49065</v>
      </c>
      <c r="F59">
        <v>1569909.8959999999</v>
      </c>
      <c r="G59">
        <v>16054.13587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31233050.068352815</v>
      </c>
      <c r="M59" s="1">
        <f t="shared" si="2"/>
        <v>8722326.4932487626</v>
      </c>
      <c r="N59" s="1">
        <f t="shared" si="3"/>
        <v>1776215.3245719615</v>
      </c>
      <c r="O59" s="1"/>
    </row>
    <row r="60" spans="1:15" x14ac:dyDescent="0.25">
      <c r="A60">
        <v>59</v>
      </c>
      <c r="B60">
        <v>656568.69330000004</v>
      </c>
      <c r="C60">
        <v>34609.629999999997</v>
      </c>
      <c r="D60">
        <v>1144579.612</v>
      </c>
      <c r="E60">
        <v>22419.244879999998</v>
      </c>
      <c r="F60">
        <v>1547928.307</v>
      </c>
      <c r="G60">
        <v>11977.162259999999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11659833.256549047</v>
      </c>
      <c r="M60" s="1">
        <f t="shared" si="2"/>
        <v>2533141.7978354101</v>
      </c>
      <c r="N60" s="1">
        <f t="shared" si="3"/>
        <v>633193.03875827359</v>
      </c>
      <c r="O60" s="1"/>
    </row>
    <row r="61" spans="1:15" x14ac:dyDescent="0.25">
      <c r="A61">
        <v>60</v>
      </c>
      <c r="B61">
        <v>659034.6986</v>
      </c>
      <c r="C61" s="1">
        <v>-2.4700000000000001E-5</v>
      </c>
      <c r="D61">
        <v>1077264.7660000001</v>
      </c>
      <c r="E61">
        <v>12936.38247</v>
      </c>
      <c r="F61">
        <v>1464171.1089999999</v>
      </c>
      <c r="G61">
        <v>4340.0499799999998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-8.6826517268825763E-3</v>
      </c>
      <c r="M61" s="1">
        <f t="shared" si="2"/>
        <v>1525145.9721719997</v>
      </c>
      <c r="N61" s="1">
        <f t="shared" si="3"/>
        <v>239407.07133401281</v>
      </c>
      <c r="O61" s="1"/>
    </row>
    <row r="62" spans="1:15" x14ac:dyDescent="0.25">
      <c r="A62">
        <v>61</v>
      </c>
      <c r="B62">
        <v>680583.82539999997</v>
      </c>
      <c r="C62">
        <v>29301.601190000001</v>
      </c>
      <c r="D62">
        <v>1147397.125</v>
      </c>
      <c r="E62">
        <v>15717.368700000001</v>
      </c>
      <c r="F62">
        <v>1531584.226</v>
      </c>
      <c r="G62">
        <v>8712.9661720000004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9116796.906559987</v>
      </c>
      <c r="M62" s="1">
        <f t="shared" si="2"/>
        <v>1640113.506547207</v>
      </c>
      <c r="N62" s="1">
        <f t="shared" si="3"/>
        <v>425406.15589493583</v>
      </c>
      <c r="O62" s="1"/>
    </row>
    <row r="63" spans="1:15" x14ac:dyDescent="0.25">
      <c r="A63">
        <v>62</v>
      </c>
      <c r="B63">
        <v>655803.60019999999</v>
      </c>
      <c r="C63">
        <v>23612.97683</v>
      </c>
      <c r="D63">
        <v>1136514.3940000001</v>
      </c>
      <c r="E63">
        <v>21935.321510000002</v>
      </c>
      <c r="F63">
        <v>1523551.2109999999</v>
      </c>
      <c r="G63">
        <v>8712.9661720000004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10795643.898453156</v>
      </c>
      <c r="M63" s="1">
        <f t="shared" si="2"/>
        <v>3363449.8060719143</v>
      </c>
      <c r="N63" s="1">
        <f t="shared" si="3"/>
        <v>625101.660672314</v>
      </c>
      <c r="O63" s="1"/>
    </row>
    <row r="64" spans="1:15" x14ac:dyDescent="0.25">
      <c r="A64">
        <v>63</v>
      </c>
      <c r="B64">
        <v>665915.45920000004</v>
      </c>
      <c r="C64">
        <v>76840.134330000001</v>
      </c>
      <c r="D64">
        <v>1111753.7879999999</v>
      </c>
      <c r="E64">
        <v>69754.389909999998</v>
      </c>
      <c r="F64">
        <v>1494529.0360000001</v>
      </c>
      <c r="G64">
        <v>62691.286679999997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171764726.34725392</v>
      </c>
      <c r="M64" s="1">
        <f t="shared" si="2"/>
        <v>52295045.834817104</v>
      </c>
      <c r="N64" s="1">
        <f t="shared" si="3"/>
        <v>21990741.068075091</v>
      </c>
      <c r="O64" s="1"/>
    </row>
    <row r="65" spans="1:15" x14ac:dyDescent="0.25">
      <c r="A65">
        <v>64</v>
      </c>
      <c r="B65">
        <v>279396.8028</v>
      </c>
      <c r="C65">
        <v>25674.988069999999</v>
      </c>
      <c r="D65">
        <v>633036.03060000006</v>
      </c>
      <c r="E65">
        <v>102365.8149</v>
      </c>
      <c r="F65">
        <v>1100057.0819999999</v>
      </c>
      <c r="G65">
        <v>80564.186480000004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119768346.37911898</v>
      </c>
      <c r="M65" s="1">
        <f t="shared" si="2"/>
        <v>160151085.96690726</v>
      </c>
      <c r="N65" s="1">
        <f t="shared" si="3"/>
        <v>58974007.957874581</v>
      </c>
      <c r="O65" s="1"/>
    </row>
    <row r="66" spans="1:15" x14ac:dyDescent="0.25">
      <c r="A66">
        <v>65</v>
      </c>
      <c r="B66">
        <v>532611.43290000001</v>
      </c>
      <c r="C66">
        <v>16286.51352</v>
      </c>
      <c r="D66">
        <v>938933.34239999996</v>
      </c>
      <c r="E66">
        <v>33718.517809999998</v>
      </c>
      <c r="F66">
        <v>1367756.4140000001</v>
      </c>
      <c r="G66">
        <v>11835.676460000001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7619677.2000301871</v>
      </c>
      <c r="M66" s="1">
        <f t="shared" si="2"/>
        <v>5290784.3697335692</v>
      </c>
      <c r="N66" s="1">
        <f t="shared" si="3"/>
        <v>868937.11770140938</v>
      </c>
      <c r="O66" s="1"/>
    </row>
    <row r="67" spans="1:15" x14ac:dyDescent="0.25">
      <c r="A67">
        <v>66</v>
      </c>
      <c r="B67">
        <v>553286.84589999996</v>
      </c>
      <c r="C67">
        <v>10885.157950000001</v>
      </c>
      <c r="D67">
        <v>975253.5638</v>
      </c>
      <c r="E67">
        <v>33666.417090000003</v>
      </c>
      <c r="F67">
        <v>1406559.6259999999</v>
      </c>
      <c r="G67">
        <v>10373.346240000001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5828531.1705164732</v>
      </c>
      <c r="M67" s="1">
        <f t="shared" ref="M67:M130" si="7">$U$3*$K67*E67</f>
        <v>6045948.2371223895</v>
      </c>
      <c r="N67" s="1">
        <f t="shared" ref="N67:N130" si="8">$U$4*$K67*G67</f>
        <v>871625.80070003064</v>
      </c>
      <c r="O67" s="1"/>
    </row>
    <row r="68" spans="1:15" x14ac:dyDescent="0.25">
      <c r="A68">
        <v>67</v>
      </c>
      <c r="B68">
        <v>595570.29410000006</v>
      </c>
      <c r="C68">
        <v>16165.502829999999</v>
      </c>
      <c r="D68">
        <v>1045099.18</v>
      </c>
      <c r="E68">
        <v>30242.784960000001</v>
      </c>
      <c r="F68">
        <v>1474977.254</v>
      </c>
      <c r="G68">
        <v>13260.328439999999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10468698.857363969</v>
      </c>
      <c r="M68" s="1">
        <f t="shared" si="7"/>
        <v>6568533.3236651476</v>
      </c>
      <c r="N68" s="1">
        <f t="shared" si="8"/>
        <v>1347549.0596421722</v>
      </c>
      <c r="O68" s="1"/>
    </row>
    <row r="69" spans="1:15" x14ac:dyDescent="0.25">
      <c r="A69">
        <v>68</v>
      </c>
      <c r="B69">
        <v>624702.1311</v>
      </c>
      <c r="C69">
        <v>23943.949769999999</v>
      </c>
      <c r="D69">
        <v>1095124.871</v>
      </c>
      <c r="E69">
        <v>23061.904009999998</v>
      </c>
      <c r="F69">
        <v>1511831.5460000001</v>
      </c>
      <c r="G69">
        <v>13372.847239999999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10995565.426416729</v>
      </c>
      <c r="M69" s="1">
        <f t="shared" si="7"/>
        <v>3551894.6122180703</v>
      </c>
      <c r="N69" s="1">
        <f t="shared" si="8"/>
        <v>963679.17279180803</v>
      </c>
      <c r="O69" s="1"/>
    </row>
    <row r="70" spans="1:15" x14ac:dyDescent="0.25">
      <c r="A70">
        <v>69</v>
      </c>
      <c r="B70">
        <v>649439.59880000004</v>
      </c>
      <c r="C70">
        <v>28601.539840000001</v>
      </c>
      <c r="D70">
        <v>1110700.0260000001</v>
      </c>
      <c r="E70">
        <v>25752.957450000002</v>
      </c>
      <c r="F70">
        <v>1540817.6769999999</v>
      </c>
      <c r="G70">
        <v>13811.67202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7595199.7029882874</v>
      </c>
      <c r="M70" s="1">
        <f t="shared" si="7"/>
        <v>2293612.4084740393</v>
      </c>
      <c r="N70" s="1">
        <f t="shared" si="8"/>
        <v>575549.72950154147</v>
      </c>
      <c r="O70" s="1"/>
    </row>
    <row r="71" spans="1:15" x14ac:dyDescent="0.25">
      <c r="A71">
        <v>70</v>
      </c>
      <c r="B71">
        <v>618703.35389999999</v>
      </c>
      <c r="C71">
        <v>21869.432079999999</v>
      </c>
      <c r="D71">
        <v>1085522.959</v>
      </c>
      <c r="E71">
        <v>22877.19441</v>
      </c>
      <c r="F71">
        <v>1497735.8289999999</v>
      </c>
      <c r="G71">
        <v>13016.352059999999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5529836.4474962596</v>
      </c>
      <c r="M71" s="1">
        <f t="shared" si="7"/>
        <v>1940084.6578533417</v>
      </c>
      <c r="N71" s="1">
        <f t="shared" si="8"/>
        <v>516476.87777139322</v>
      </c>
      <c r="O71" s="1"/>
    </row>
    <row r="72" spans="1:15" x14ac:dyDescent="0.25">
      <c r="A72">
        <v>71</v>
      </c>
      <c r="B72">
        <v>662425.14839999995</v>
      </c>
      <c r="C72">
        <v>40218.718589999997</v>
      </c>
      <c r="D72">
        <v>1146003.0649999999</v>
      </c>
      <c r="E72">
        <v>28112.477760000002</v>
      </c>
      <c r="F72">
        <v>1563460.0390000001</v>
      </c>
      <c r="G72">
        <v>14035.39734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9830448.79546142</v>
      </c>
      <c r="M72" s="1">
        <f t="shared" si="7"/>
        <v>2304556.5943562835</v>
      </c>
      <c r="N72" s="1">
        <f t="shared" si="8"/>
        <v>538339.99118285812</v>
      </c>
      <c r="O72" s="1"/>
    </row>
    <row r="73" spans="1:15" x14ac:dyDescent="0.25">
      <c r="A73">
        <v>72</v>
      </c>
      <c r="B73">
        <v>624109.89859999996</v>
      </c>
      <c r="C73">
        <v>29328.88337</v>
      </c>
      <c r="D73">
        <v>1119524.284</v>
      </c>
      <c r="E73">
        <v>24032.940989999999</v>
      </c>
      <c r="F73">
        <v>1513477.7</v>
      </c>
      <c r="G73">
        <v>11859.004080000001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10402873.722571841</v>
      </c>
      <c r="M73" s="1">
        <f t="shared" si="7"/>
        <v>2858958.5263119657</v>
      </c>
      <c r="N73" s="1">
        <f t="shared" si="8"/>
        <v>660074.31215171132</v>
      </c>
      <c r="O73" s="1"/>
    </row>
    <row r="74" spans="1:15" x14ac:dyDescent="0.25">
      <c r="A74">
        <v>73</v>
      </c>
      <c r="B74">
        <v>643838.20460000006</v>
      </c>
      <c r="C74">
        <v>34609.629939999999</v>
      </c>
      <c r="D74">
        <v>1140932.058</v>
      </c>
      <c r="E74">
        <v>24805.580089999999</v>
      </c>
      <c r="F74">
        <v>1544322.327</v>
      </c>
      <c r="G74">
        <v>13722.12175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27102969.131159753</v>
      </c>
      <c r="M74" s="1">
        <f t="shared" si="7"/>
        <v>6514970.287941251</v>
      </c>
      <c r="N74" s="1">
        <f t="shared" si="8"/>
        <v>1686273.4345058468</v>
      </c>
      <c r="O74" s="1"/>
    </row>
    <row r="75" spans="1:15" x14ac:dyDescent="0.25">
      <c r="A75">
        <v>74</v>
      </c>
      <c r="B75">
        <v>653928.64280000003</v>
      </c>
      <c r="C75">
        <v>24435.348020000001</v>
      </c>
      <c r="D75">
        <v>1127760.9809999999</v>
      </c>
      <c r="E75">
        <v>17599.285960000001</v>
      </c>
      <c r="F75">
        <v>1530798.898</v>
      </c>
      <c r="G75">
        <v>10016.95254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15262745.390949946</v>
      </c>
      <c r="M75" s="1">
        <f t="shared" si="7"/>
        <v>3686823.2326716781</v>
      </c>
      <c r="N75" s="1">
        <f t="shared" si="8"/>
        <v>981830.59676080337</v>
      </c>
      <c r="O75" s="1"/>
    </row>
    <row r="76" spans="1:15" x14ac:dyDescent="0.25">
      <c r="A76">
        <v>75</v>
      </c>
      <c r="B76">
        <v>661320.95479999995</v>
      </c>
      <c r="C76">
        <v>28795.202949999999</v>
      </c>
      <c r="D76">
        <v>1129542.2379999999</v>
      </c>
      <c r="E76">
        <v>20067.178489999998</v>
      </c>
      <c r="F76">
        <v>1519406.298</v>
      </c>
      <c r="G76">
        <v>11472.8765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10102094.461686058</v>
      </c>
      <c r="M76" s="1">
        <f t="shared" si="7"/>
        <v>2361134.5265857535</v>
      </c>
      <c r="N76" s="1">
        <f t="shared" si="8"/>
        <v>631612.06185059692</v>
      </c>
      <c r="O76" s="1"/>
    </row>
    <row r="77" spans="1:15" x14ac:dyDescent="0.25">
      <c r="A77">
        <v>76</v>
      </c>
      <c r="B77">
        <v>675412.00450000004</v>
      </c>
      <c r="C77">
        <v>25314.668559999998</v>
      </c>
      <c r="D77">
        <v>1141519.4240000001</v>
      </c>
      <c r="E77">
        <v>12062.505709999999</v>
      </c>
      <c r="F77">
        <v>1523316.943</v>
      </c>
      <c r="G77">
        <v>10508.458930000001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7766951.0068523623</v>
      </c>
      <c r="M77" s="1">
        <f t="shared" si="7"/>
        <v>1241249.2210034544</v>
      </c>
      <c r="N77" s="1">
        <f t="shared" si="8"/>
        <v>505945.99960491963</v>
      </c>
      <c r="O77" s="1"/>
    </row>
    <row r="78" spans="1:15" x14ac:dyDescent="0.25">
      <c r="A78">
        <v>77</v>
      </c>
      <c r="B78">
        <v>696186.70669999998</v>
      </c>
      <c r="C78">
        <v>28703.925429999999</v>
      </c>
      <c r="D78">
        <v>1136004.969</v>
      </c>
      <c r="E78">
        <v>37012.314019999998</v>
      </c>
      <c r="F78">
        <v>1508295.5970000001</v>
      </c>
      <c r="G78">
        <v>38899.010329999997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13223762.788610512</v>
      </c>
      <c r="M78" s="1">
        <f t="shared" si="7"/>
        <v>5718776.608943006</v>
      </c>
      <c r="N78" s="1">
        <f t="shared" si="8"/>
        <v>2812154.157486083</v>
      </c>
      <c r="O78" s="1"/>
    </row>
    <row r="79" spans="1:15" x14ac:dyDescent="0.25">
      <c r="A79">
        <v>78</v>
      </c>
      <c r="B79">
        <v>559522.71499999997</v>
      </c>
      <c r="C79">
        <v>74186.11103</v>
      </c>
      <c r="D79">
        <v>994268.05130000005</v>
      </c>
      <c r="E79">
        <v>91986.313699999999</v>
      </c>
      <c r="F79">
        <v>1407068.567</v>
      </c>
      <c r="G79">
        <v>49152.080840000002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53866132.808508784</v>
      </c>
      <c r="M79" s="1">
        <f t="shared" si="7"/>
        <v>22400594.49848704</v>
      </c>
      <c r="N79" s="1">
        <f t="shared" si="8"/>
        <v>5600436.9947916018</v>
      </c>
      <c r="O79" s="1"/>
    </row>
    <row r="80" spans="1:15" x14ac:dyDescent="0.25">
      <c r="A80">
        <v>79</v>
      </c>
      <c r="B80">
        <v>539763.70719999995</v>
      </c>
      <c r="C80">
        <v>8962.8374189999995</v>
      </c>
      <c r="D80">
        <v>972729.84400000004</v>
      </c>
      <c r="E80">
        <v>30541.878250000002</v>
      </c>
      <c r="F80">
        <v>1384357.105</v>
      </c>
      <c r="G80">
        <v>10326.955679999999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12378899.886911025</v>
      </c>
      <c r="M80" s="1">
        <f t="shared" si="7"/>
        <v>14147360.183428027</v>
      </c>
      <c r="N80" s="1">
        <f t="shared" si="8"/>
        <v>2238183.3481035349</v>
      </c>
      <c r="O80" s="1"/>
    </row>
    <row r="81" spans="1:15" x14ac:dyDescent="0.25">
      <c r="A81">
        <v>80</v>
      </c>
      <c r="B81">
        <v>574092.85419999994</v>
      </c>
      <c r="C81">
        <v>1028.9765190000001</v>
      </c>
      <c r="D81">
        <v>1013672.069</v>
      </c>
      <c r="E81">
        <v>16873.95088</v>
      </c>
      <c r="F81">
        <v>1412382.041</v>
      </c>
      <c r="G81">
        <v>8871.5308590000004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747967.83367534226</v>
      </c>
      <c r="M81" s="1">
        <f t="shared" si="7"/>
        <v>4113745.0675597535</v>
      </c>
      <c r="N81" s="1">
        <f t="shared" si="8"/>
        <v>1011958.8194786189</v>
      </c>
      <c r="O81" s="1"/>
    </row>
    <row r="82" spans="1:15" x14ac:dyDescent="0.25">
      <c r="A82">
        <v>81</v>
      </c>
      <c r="B82">
        <v>601412.6483</v>
      </c>
      <c r="C82">
        <v>5614.1905539999998</v>
      </c>
      <c r="D82">
        <v>1047764.909</v>
      </c>
      <c r="E82">
        <v>17185.490819999999</v>
      </c>
      <c r="F82">
        <v>1457872.2919999999</v>
      </c>
      <c r="G82">
        <v>8734.6369200000008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2753168.3973338935</v>
      </c>
      <c r="M82" s="1">
        <f t="shared" si="7"/>
        <v>2826511.1549790809</v>
      </c>
      <c r="N82" s="1">
        <f t="shared" si="8"/>
        <v>672167.17300166644</v>
      </c>
      <c r="O82" s="1"/>
    </row>
    <row r="83" spans="1:15" x14ac:dyDescent="0.25">
      <c r="A83">
        <v>82</v>
      </c>
      <c r="B83">
        <v>628226.8848</v>
      </c>
      <c r="C83">
        <v>10661.63912</v>
      </c>
      <c r="D83">
        <v>1084681.236</v>
      </c>
      <c r="E83">
        <v>18622.716039999999</v>
      </c>
      <c r="F83">
        <v>1514196.9439999999</v>
      </c>
      <c r="G83">
        <v>7946.6502200000004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5837309.412814144</v>
      </c>
      <c r="M83" s="1">
        <f t="shared" si="7"/>
        <v>3419596.7374459272</v>
      </c>
      <c r="N83" s="1">
        <f t="shared" si="8"/>
        <v>682746.76110516151</v>
      </c>
      <c r="O83" s="1"/>
    </row>
    <row r="84" spans="1:15" x14ac:dyDescent="0.25">
      <c r="A84">
        <v>83</v>
      </c>
      <c r="B84">
        <v>622301.30759999994</v>
      </c>
      <c r="C84">
        <v>16189.03549</v>
      </c>
      <c r="D84">
        <v>1091641.6299999999</v>
      </c>
      <c r="E84">
        <v>20054.271990000001</v>
      </c>
      <c r="F84">
        <v>1493463.81</v>
      </c>
      <c r="G84">
        <v>11425.238240000001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8976686.693067342</v>
      </c>
      <c r="M84" s="1">
        <f t="shared" si="7"/>
        <v>3729452.9302122956</v>
      </c>
      <c r="N84" s="1">
        <f t="shared" si="8"/>
        <v>994139.13932658394</v>
      </c>
      <c r="O84" s="1"/>
    </row>
    <row r="85" spans="1:15" x14ac:dyDescent="0.25">
      <c r="A85">
        <v>84</v>
      </c>
      <c r="B85">
        <v>635368.84180000005</v>
      </c>
      <c r="C85">
        <v>15351.5849</v>
      </c>
      <c r="D85">
        <v>1119773.2690000001</v>
      </c>
      <c r="E85">
        <v>16244.253710000001</v>
      </c>
      <c r="F85">
        <v>1522926.388</v>
      </c>
      <c r="G85">
        <v>8933.936839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8270560.7621284304</v>
      </c>
      <c r="M85" s="1">
        <f t="shared" si="7"/>
        <v>2935111.7346936977</v>
      </c>
      <c r="N85" s="1">
        <f t="shared" si="8"/>
        <v>755285.99326882174</v>
      </c>
      <c r="O85" s="1"/>
    </row>
    <row r="86" spans="1:15" x14ac:dyDescent="0.25">
      <c r="A86">
        <v>85</v>
      </c>
      <c r="B86">
        <v>643156.78170000005</v>
      </c>
      <c r="C86">
        <v>13372.56518</v>
      </c>
      <c r="D86">
        <v>1110231.675</v>
      </c>
      <c r="E86">
        <v>17651.699720000001</v>
      </c>
      <c r="F86">
        <v>1501429.264</v>
      </c>
      <c r="G86">
        <v>6752.7564519999996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6638823.523667559</v>
      </c>
      <c r="M86" s="1">
        <f t="shared" si="7"/>
        <v>2939043.8697450995</v>
      </c>
      <c r="N86" s="1">
        <f t="shared" si="8"/>
        <v>526070.92822903523</v>
      </c>
      <c r="O86" s="1"/>
    </row>
    <row r="87" spans="1:15" x14ac:dyDescent="0.25">
      <c r="A87">
        <v>86</v>
      </c>
      <c r="B87">
        <v>664435.13749999995</v>
      </c>
      <c r="C87">
        <v>30472.617300000002</v>
      </c>
      <c r="D87">
        <v>1086262.635</v>
      </c>
      <c r="E87">
        <v>42345.241419999998</v>
      </c>
      <c r="F87">
        <v>1481142.2990000001</v>
      </c>
      <c r="G87">
        <v>26621.134839999999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12005698.941685731</v>
      </c>
      <c r="M87" s="1">
        <f t="shared" si="7"/>
        <v>5595326.5992139177</v>
      </c>
      <c r="N87" s="1">
        <f t="shared" si="8"/>
        <v>1645853.1064041923</v>
      </c>
      <c r="O87" s="1"/>
    </row>
    <row r="88" spans="1:15" x14ac:dyDescent="0.25">
      <c r="A88">
        <v>87</v>
      </c>
      <c r="B88">
        <v>681737.19609999994</v>
      </c>
      <c r="C88">
        <v>28610.36522</v>
      </c>
      <c r="D88">
        <v>1109749.132</v>
      </c>
      <c r="E88">
        <v>51302.653599999998</v>
      </c>
      <c r="F88">
        <v>1487923.7250000001</v>
      </c>
      <c r="G88">
        <v>41085.931600000004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11021485.757013887</v>
      </c>
      <c r="M88" s="1">
        <f t="shared" si="7"/>
        <v>6628262.6340344399</v>
      </c>
      <c r="N88" s="1">
        <f t="shared" si="8"/>
        <v>2483686.037937847</v>
      </c>
      <c r="O88" s="1"/>
    </row>
    <row r="89" spans="1:15" x14ac:dyDescent="0.25">
      <c r="A89">
        <v>88</v>
      </c>
      <c r="B89">
        <v>540322.37150000001</v>
      </c>
      <c r="C89">
        <v>49163.244879999998</v>
      </c>
      <c r="D89">
        <v>948476.53899999999</v>
      </c>
      <c r="E89">
        <v>88051.67383</v>
      </c>
      <c r="F89">
        <v>1376484.825</v>
      </c>
      <c r="G89">
        <v>49459.545480000001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63815399.350037947</v>
      </c>
      <c r="M89" s="1">
        <f t="shared" si="7"/>
        <v>38332372.952764437</v>
      </c>
      <c r="N89" s="1">
        <f t="shared" si="8"/>
        <v>10074462.576401403</v>
      </c>
      <c r="O89" s="1"/>
    </row>
    <row r="90" spans="1:15" x14ac:dyDescent="0.25">
      <c r="A90">
        <v>89</v>
      </c>
      <c r="B90">
        <v>500885.06209999998</v>
      </c>
      <c r="C90">
        <v>28103.08856</v>
      </c>
      <c r="D90">
        <v>935810.10770000005</v>
      </c>
      <c r="E90">
        <v>34987.746149999999</v>
      </c>
      <c r="F90">
        <v>1341063.328</v>
      </c>
      <c r="G90">
        <v>17519.915209999999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85693892.969756454</v>
      </c>
      <c r="M90" s="1">
        <f t="shared" si="7"/>
        <v>35781201.907602258</v>
      </c>
      <c r="N90" s="1">
        <f t="shared" si="8"/>
        <v>8383292.8204389233</v>
      </c>
      <c r="O90" s="1"/>
    </row>
    <row r="91" spans="1:15" x14ac:dyDescent="0.25">
      <c r="A91">
        <v>90</v>
      </c>
      <c r="B91">
        <v>536905.21440000006</v>
      </c>
      <c r="C91">
        <v>4948.4041180000004</v>
      </c>
      <c r="D91">
        <v>978755.58089999994</v>
      </c>
      <c r="E91">
        <v>18623.54349</v>
      </c>
      <c r="F91">
        <v>1357029.52</v>
      </c>
      <c r="G91">
        <v>10089.827960000001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2047265.2944181575</v>
      </c>
      <c r="M91" s="1">
        <f t="shared" si="7"/>
        <v>2584130.3634188063</v>
      </c>
      <c r="N91" s="1">
        <f t="shared" si="8"/>
        <v>655057.67730400094</v>
      </c>
      <c r="O91" s="1"/>
    </row>
    <row r="92" spans="1:15" x14ac:dyDescent="0.25">
      <c r="A92">
        <v>91</v>
      </c>
      <c r="B92">
        <v>507687.76699999999</v>
      </c>
      <c r="C92">
        <v>11603.725060000001</v>
      </c>
      <c r="D92">
        <v>941994.58479999995</v>
      </c>
      <c r="E92">
        <v>23691.609059999999</v>
      </c>
      <c r="F92">
        <v>1336454.125</v>
      </c>
      <c r="G92">
        <v>11653.558139999999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10704940.142717706</v>
      </c>
      <c r="M92" s="1">
        <f t="shared" si="7"/>
        <v>7330346.5663901512</v>
      </c>
      <c r="N92" s="1">
        <f t="shared" si="8"/>
        <v>1687066.3983026985</v>
      </c>
      <c r="O92" s="1"/>
    </row>
    <row r="93" spans="1:15" x14ac:dyDescent="0.25">
      <c r="A93">
        <v>92</v>
      </c>
      <c r="B93">
        <v>627792.07209999999</v>
      </c>
      <c r="C93" s="1">
        <v>1.9599999999999999E-5</v>
      </c>
      <c r="D93">
        <v>1066481.791</v>
      </c>
      <c r="E93">
        <v>13704.698350000001</v>
      </c>
      <c r="F93">
        <v>1439412.078</v>
      </c>
      <c r="G93">
        <v>6822.048726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1.2069440253525202E-2</v>
      </c>
      <c r="M93" s="1">
        <f t="shared" si="7"/>
        <v>2830373.0194885768</v>
      </c>
      <c r="N93" s="1">
        <f t="shared" si="8"/>
        <v>659223.51409102522</v>
      </c>
      <c r="O93" s="1"/>
    </row>
    <row r="94" spans="1:15" x14ac:dyDescent="0.25">
      <c r="A94">
        <v>93</v>
      </c>
      <c r="B94">
        <v>670392.42839999998</v>
      </c>
      <c r="C94" s="1">
        <v>3.5800000000000003E-5</v>
      </c>
      <c r="D94">
        <v>1110217.6100000001</v>
      </c>
      <c r="E94">
        <v>12848.154210000001</v>
      </c>
      <c r="F94">
        <v>1503735.4680000001</v>
      </c>
      <c r="G94">
        <v>4386.4405379999998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1.45871480606319E-2</v>
      </c>
      <c r="M94" s="1">
        <f t="shared" si="7"/>
        <v>1755784.6262667829</v>
      </c>
      <c r="N94" s="1">
        <f t="shared" si="8"/>
        <v>280470.00747186563</v>
      </c>
      <c r="O94" s="1"/>
    </row>
    <row r="95" spans="1:15" x14ac:dyDescent="0.25">
      <c r="A95">
        <v>94</v>
      </c>
      <c r="B95">
        <v>694974.45360000001</v>
      </c>
      <c r="C95" s="1">
        <v>-2.0299999999999999E-5</v>
      </c>
      <c r="D95">
        <v>1127144.4029999999</v>
      </c>
      <c r="E95">
        <v>7591.5868609999998</v>
      </c>
      <c r="F95">
        <v>1508664.743</v>
      </c>
      <c r="G95">
        <v>5464.6514740000002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-1.01887236331608E-2</v>
      </c>
      <c r="M95" s="1">
        <f t="shared" si="7"/>
        <v>1277907.5817447738</v>
      </c>
      <c r="N95" s="1">
        <f t="shared" si="8"/>
        <v>430400.75856410328</v>
      </c>
      <c r="O95" s="1"/>
    </row>
    <row r="96" spans="1:15" x14ac:dyDescent="0.25">
      <c r="A96">
        <v>95</v>
      </c>
      <c r="B96">
        <v>709154.72730000003</v>
      </c>
      <c r="C96">
        <v>9218.9551840000004</v>
      </c>
      <c r="D96">
        <v>1158650.7520000001</v>
      </c>
      <c r="E96">
        <v>9200.340811</v>
      </c>
      <c r="F96">
        <v>1536501.4669999999</v>
      </c>
      <c r="G96">
        <v>8697.665841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3591276.1703145979</v>
      </c>
      <c r="M96" s="1">
        <f t="shared" si="7"/>
        <v>1202026.8046800965</v>
      </c>
      <c r="N96" s="1">
        <f t="shared" si="8"/>
        <v>531687.72445445135</v>
      </c>
      <c r="O96" s="1"/>
    </row>
    <row r="97" spans="1:15" x14ac:dyDescent="0.25">
      <c r="A97">
        <v>96</v>
      </c>
      <c r="B97">
        <v>703359.34409999999</v>
      </c>
      <c r="C97">
        <v>8665.8564609999994</v>
      </c>
      <c r="D97">
        <v>1127704.2960000001</v>
      </c>
      <c r="E97">
        <v>8787.7925350000005</v>
      </c>
      <c r="F97">
        <v>1500351.817</v>
      </c>
      <c r="G97">
        <v>5464.6514740000002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7904121.2631518571</v>
      </c>
      <c r="M97" s="1">
        <f t="shared" si="7"/>
        <v>2688221.4098222302</v>
      </c>
      <c r="N97" s="1">
        <f t="shared" si="8"/>
        <v>782152.40853768738</v>
      </c>
      <c r="O97" s="1"/>
    </row>
    <row r="98" spans="1:15" x14ac:dyDescent="0.25">
      <c r="A98">
        <v>97</v>
      </c>
      <c r="B98">
        <v>659982.86919999996</v>
      </c>
      <c r="C98">
        <v>20001.02691</v>
      </c>
      <c r="D98">
        <v>1110761.828</v>
      </c>
      <c r="E98">
        <v>20929.869760000001</v>
      </c>
      <c r="F98">
        <v>1479301.534</v>
      </c>
      <c r="G98">
        <v>6590.1420889999999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18700984.040911071</v>
      </c>
      <c r="M98" s="1">
        <f t="shared" si="7"/>
        <v>6563293.5396810491</v>
      </c>
      <c r="N98" s="1">
        <f t="shared" si="8"/>
        <v>966927.15936769138</v>
      </c>
      <c r="O98" s="1"/>
    </row>
    <row r="99" spans="1:15" x14ac:dyDescent="0.25">
      <c r="A99">
        <v>98</v>
      </c>
      <c r="B99">
        <v>672796.68579999998</v>
      </c>
      <c r="C99">
        <v>14279.771189999999</v>
      </c>
      <c r="D99">
        <v>1135278.43</v>
      </c>
      <c r="E99">
        <v>15381.265740000001</v>
      </c>
      <c r="F99">
        <v>1479775.085</v>
      </c>
      <c r="G99">
        <v>19089.371050000002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8903419.4112897683</v>
      </c>
      <c r="M99" s="1">
        <f t="shared" si="7"/>
        <v>3216405.4983787779</v>
      </c>
      <c r="N99" s="1">
        <f t="shared" si="8"/>
        <v>1867729.6714067054</v>
      </c>
      <c r="O99" s="1"/>
    </row>
    <row r="100" spans="1:15" x14ac:dyDescent="0.25">
      <c r="A100">
        <v>99</v>
      </c>
      <c r="B100">
        <v>579723.35549999995</v>
      </c>
      <c r="C100">
        <v>114954.8455</v>
      </c>
      <c r="D100">
        <v>975062.16680000001</v>
      </c>
      <c r="E100">
        <v>149169.88870000001</v>
      </c>
      <c r="F100">
        <v>1368198.202</v>
      </c>
      <c r="G100">
        <v>121942.27559999999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75543497.551458135</v>
      </c>
      <c r="M100" s="1">
        <f t="shared" si="7"/>
        <v>32877145.882917356</v>
      </c>
      <c r="N100" s="1">
        <f t="shared" si="8"/>
        <v>12575084.627363518</v>
      </c>
      <c r="O100" s="1"/>
    </row>
    <row r="101" spans="1:15" x14ac:dyDescent="0.25">
      <c r="A101">
        <v>100</v>
      </c>
      <c r="B101">
        <v>539643.71189999999</v>
      </c>
      <c r="C101">
        <v>145020.07269999999</v>
      </c>
      <c r="D101">
        <v>936152.21799999999</v>
      </c>
      <c r="E101">
        <v>167304.0503</v>
      </c>
      <c r="F101">
        <v>1327589.4369999999</v>
      </c>
      <c r="G101">
        <v>142241.4467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880362370.31192911</v>
      </c>
      <c r="M101" s="1">
        <f t="shared" si="7"/>
        <v>340630039.20556778</v>
      </c>
      <c r="N101" s="1">
        <f t="shared" si="8"/>
        <v>135502194.37670791</v>
      </c>
      <c r="O101" s="1"/>
    </row>
    <row r="102" spans="1:15" x14ac:dyDescent="0.25">
      <c r="A102">
        <v>101</v>
      </c>
      <c r="B102">
        <v>629217.79200000002</v>
      </c>
      <c r="C102" s="1">
        <v>2.8500000000000002E-5</v>
      </c>
      <c r="D102">
        <v>1046674.302</v>
      </c>
      <c r="E102">
        <v>13704.698350000001</v>
      </c>
      <c r="F102">
        <v>1429219.1310000001</v>
      </c>
      <c r="G102">
        <v>6822.048726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1.4667051054376502E-2</v>
      </c>
      <c r="M102" s="1">
        <f t="shared" si="7"/>
        <v>2365432.5108649344</v>
      </c>
      <c r="N102" s="1">
        <f t="shared" si="8"/>
        <v>550934.0010735757</v>
      </c>
      <c r="O102" s="1"/>
    </row>
    <row r="103" spans="1:15" x14ac:dyDescent="0.25">
      <c r="A103">
        <v>102</v>
      </c>
      <c r="B103">
        <v>642977.14159999997</v>
      </c>
      <c r="C103">
        <v>510.7633763</v>
      </c>
      <c r="D103">
        <v>1093102.5490000001</v>
      </c>
      <c r="E103">
        <v>12848.154210000001</v>
      </c>
      <c r="F103">
        <v>1464864.8829999999</v>
      </c>
      <c r="G103">
        <v>4386.4405379999998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229514.4818281781</v>
      </c>
      <c r="M103" s="1">
        <f t="shared" si="7"/>
        <v>1936307.0296114674</v>
      </c>
      <c r="N103" s="1">
        <f t="shared" si="8"/>
        <v>309306.75604425557</v>
      </c>
      <c r="O103" s="1"/>
    </row>
    <row r="104" spans="1:15" x14ac:dyDescent="0.25">
      <c r="A104">
        <v>103</v>
      </c>
      <c r="B104">
        <v>738848.34259999997</v>
      </c>
      <c r="C104">
        <v>8665.8564900000001</v>
      </c>
      <c r="D104">
        <v>1185230.487</v>
      </c>
      <c r="E104">
        <v>7608.5522739999997</v>
      </c>
      <c r="F104">
        <v>1552085.429</v>
      </c>
      <c r="G104">
        <v>5464.6514740000002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7518345.4465589812</v>
      </c>
      <c r="M104" s="1">
        <f t="shared" si="7"/>
        <v>2213889.5456973924</v>
      </c>
      <c r="N104" s="1">
        <f t="shared" si="8"/>
        <v>743977.95577603253</v>
      </c>
      <c r="O104" s="1"/>
    </row>
    <row r="105" spans="1:15" x14ac:dyDescent="0.25">
      <c r="A105">
        <v>104</v>
      </c>
      <c r="B105">
        <v>774605.9852</v>
      </c>
      <c r="C105">
        <v>1127.1620499999999</v>
      </c>
      <c r="D105">
        <v>1185163.237</v>
      </c>
      <c r="E105">
        <v>8687.4034800000009</v>
      </c>
      <c r="F105">
        <v>1567817.226</v>
      </c>
      <c r="G105">
        <v>2538.8704910000001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588792.26275834802</v>
      </c>
      <c r="M105" s="1">
        <f t="shared" si="7"/>
        <v>1521979.7197633863</v>
      </c>
      <c r="N105" s="1">
        <f t="shared" si="8"/>
        <v>208114.86378845322</v>
      </c>
      <c r="O105" s="1"/>
    </row>
    <row r="106" spans="1:15" x14ac:dyDescent="0.25">
      <c r="A106">
        <v>105</v>
      </c>
      <c r="B106">
        <v>748468.65359999996</v>
      </c>
      <c r="C106">
        <v>1978.0794739999999</v>
      </c>
      <c r="D106">
        <v>1201405.094</v>
      </c>
      <c r="E106">
        <v>10958.85758</v>
      </c>
      <c r="F106">
        <v>1543798.993</v>
      </c>
      <c r="G106">
        <v>4473.4481400000004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931391.71864621085</v>
      </c>
      <c r="M106" s="1">
        <f t="shared" si="7"/>
        <v>1730601.4195464686</v>
      </c>
      <c r="N106" s="1">
        <f t="shared" si="8"/>
        <v>330535.30793786823</v>
      </c>
      <c r="O106" s="1"/>
    </row>
    <row r="107" spans="1:15" x14ac:dyDescent="0.25">
      <c r="A107">
        <v>106</v>
      </c>
      <c r="B107">
        <v>709353.16830000002</v>
      </c>
      <c r="C107">
        <v>1127.1620800000001</v>
      </c>
      <c r="D107">
        <v>1132742.7590000001</v>
      </c>
      <c r="E107">
        <v>8548.9936479999997</v>
      </c>
      <c r="F107">
        <v>1490605.067</v>
      </c>
      <c r="G107">
        <v>4027.1298689999999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364203.44907604507</v>
      </c>
      <c r="M107" s="1">
        <f t="shared" si="7"/>
        <v>926436.83855231642</v>
      </c>
      <c r="N107" s="1">
        <f t="shared" si="8"/>
        <v>204192.66382842185</v>
      </c>
      <c r="O107" s="1"/>
    </row>
    <row r="108" spans="1:15" x14ac:dyDescent="0.25">
      <c r="A108">
        <v>107</v>
      </c>
      <c r="B108">
        <v>681985.84909999999</v>
      </c>
      <c r="C108">
        <v>19770.76715</v>
      </c>
      <c r="D108">
        <v>1070963.4609999999</v>
      </c>
      <c r="E108">
        <v>35016.027620000001</v>
      </c>
      <c r="F108">
        <v>1450881.4029999999</v>
      </c>
      <c r="G108">
        <v>23471.855360000001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124060617.00664674</v>
      </c>
      <c r="M108" s="1">
        <f t="shared" si="7"/>
        <v>73692014.461917982</v>
      </c>
      <c r="N108" s="1">
        <f t="shared" si="8"/>
        <v>23112379.021183893</v>
      </c>
      <c r="O108" s="1"/>
    </row>
    <row r="109" spans="1:15" x14ac:dyDescent="0.25">
      <c r="A109">
        <v>108</v>
      </c>
      <c r="B109">
        <v>479547.31530000002</v>
      </c>
      <c r="C109">
        <v>4800.8602879999999</v>
      </c>
      <c r="D109">
        <v>854858.90399999998</v>
      </c>
      <c r="E109">
        <v>11998.512189999999</v>
      </c>
      <c r="F109">
        <v>1276790.477</v>
      </c>
      <c r="G109">
        <v>11079.941279999999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23483042.342114404</v>
      </c>
      <c r="M109" s="1">
        <f t="shared" si="7"/>
        <v>19683658.771281321</v>
      </c>
      <c r="N109" s="1">
        <f t="shared" si="8"/>
        <v>8504711.1402184553</v>
      </c>
      <c r="O109" s="1"/>
    </row>
    <row r="110" spans="1:15" x14ac:dyDescent="0.25">
      <c r="A110">
        <v>109</v>
      </c>
      <c r="B110">
        <v>606152.33869999996</v>
      </c>
      <c r="C110">
        <v>104.7317685</v>
      </c>
      <c r="D110">
        <v>1019048.326</v>
      </c>
      <c r="E110">
        <v>12326.69024</v>
      </c>
      <c r="F110">
        <v>1396045.5549999999</v>
      </c>
      <c r="G110">
        <v>6182.1015230000003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78195.971729074721</v>
      </c>
      <c r="M110" s="1">
        <f t="shared" si="7"/>
        <v>3086708.1130708032</v>
      </c>
      <c r="N110" s="1">
        <f t="shared" si="8"/>
        <v>724317.35587932076</v>
      </c>
      <c r="O110" s="1"/>
    </row>
    <row r="111" spans="1:15" x14ac:dyDescent="0.25">
      <c r="A111">
        <v>110</v>
      </c>
      <c r="B111">
        <v>635787.79680000001</v>
      </c>
      <c r="C111">
        <v>510.76335189999998</v>
      </c>
      <c r="D111">
        <v>1079069.145</v>
      </c>
      <c r="E111">
        <v>12435.60593</v>
      </c>
      <c r="F111">
        <v>1462937.973</v>
      </c>
      <c r="G111">
        <v>4340.0499799999998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344458.58512385603</v>
      </c>
      <c r="M111" s="1">
        <f t="shared" si="7"/>
        <v>2812725.6474689743</v>
      </c>
      <c r="N111" s="1">
        <f t="shared" si="8"/>
        <v>459302.52293786913</v>
      </c>
      <c r="O111" s="1"/>
    </row>
    <row r="112" spans="1:15" x14ac:dyDescent="0.25">
      <c r="A112">
        <v>111</v>
      </c>
      <c r="B112">
        <v>705289.56099999999</v>
      </c>
      <c r="C112">
        <v>1127.162071</v>
      </c>
      <c r="D112">
        <v>1147428.45</v>
      </c>
      <c r="E112">
        <v>5863.5927799999999</v>
      </c>
      <c r="F112">
        <v>1525919.523</v>
      </c>
      <c r="G112">
        <v>8697.665841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834988.37540615152</v>
      </c>
      <c r="M112" s="1">
        <f t="shared" si="7"/>
        <v>1456803.5844701871</v>
      </c>
      <c r="N112" s="1">
        <f t="shared" si="8"/>
        <v>1011075.5223089028</v>
      </c>
      <c r="O112" s="1"/>
    </row>
    <row r="113" spans="1:15" x14ac:dyDescent="0.25">
      <c r="A113">
        <v>112</v>
      </c>
      <c r="B113">
        <v>746292.40090000001</v>
      </c>
      <c r="C113">
        <v>8665.8564449999994</v>
      </c>
      <c r="D113">
        <v>1176071.172</v>
      </c>
      <c r="E113">
        <v>8687.4034800000009</v>
      </c>
      <c r="F113">
        <v>1547424.129</v>
      </c>
      <c r="G113">
        <v>8007.1025650000001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3211906.5690987934</v>
      </c>
      <c r="M113" s="1">
        <f t="shared" si="7"/>
        <v>1079902.4902236611</v>
      </c>
      <c r="N113" s="1">
        <f t="shared" si="8"/>
        <v>465707.91581742594</v>
      </c>
      <c r="O113" s="1"/>
    </row>
    <row r="114" spans="1:15" x14ac:dyDescent="0.25">
      <c r="A114">
        <v>113</v>
      </c>
      <c r="B114">
        <v>699229.30810000002</v>
      </c>
      <c r="C114" s="1">
        <v>-4.5000000000000003E-5</v>
      </c>
      <c r="D114">
        <v>1121621.2660000001</v>
      </c>
      <c r="E114">
        <v>6982.2772759999998</v>
      </c>
      <c r="F114">
        <v>1493192.1939999999</v>
      </c>
      <c r="G114">
        <v>5464.6514740000002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-7.6600215955721258E-3</v>
      </c>
      <c r="M114" s="1">
        <f t="shared" si="7"/>
        <v>398618.7367198047</v>
      </c>
      <c r="N114" s="1">
        <f t="shared" si="8"/>
        <v>145971.06074932427</v>
      </c>
      <c r="O114" s="1"/>
    </row>
    <row r="115" spans="1:15" x14ac:dyDescent="0.25">
      <c r="A115">
        <v>114</v>
      </c>
      <c r="B115">
        <v>646199.41009999998</v>
      </c>
      <c r="C115">
        <v>510.7633313</v>
      </c>
      <c r="D115">
        <v>1090699.76</v>
      </c>
      <c r="E115">
        <v>5874.1184359999997</v>
      </c>
      <c r="F115">
        <v>1462140.9850000001</v>
      </c>
      <c r="G115">
        <v>4386.4405379999998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253364.33782224436</v>
      </c>
      <c r="M115" s="1">
        <f t="shared" si="7"/>
        <v>977263.34739149187</v>
      </c>
      <c r="N115" s="1">
        <f t="shared" si="8"/>
        <v>341448.20714274317</v>
      </c>
      <c r="O115" s="1"/>
    </row>
    <row r="116" spans="1:15" x14ac:dyDescent="0.25">
      <c r="A116">
        <v>115</v>
      </c>
      <c r="B116">
        <v>679966.50859999994</v>
      </c>
      <c r="C116">
        <v>1127.162063</v>
      </c>
      <c r="D116">
        <v>1062495.635</v>
      </c>
      <c r="E116">
        <v>7882.8853600000002</v>
      </c>
      <c r="F116">
        <v>1441018.446</v>
      </c>
      <c r="G116">
        <v>7706.4625070000002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798214.97199077124</v>
      </c>
      <c r="M116" s="1">
        <f t="shared" si="7"/>
        <v>1872241.4412378983</v>
      </c>
      <c r="N116" s="1">
        <f t="shared" si="8"/>
        <v>856397.50078401354</v>
      </c>
      <c r="O116" s="1"/>
    </row>
    <row r="117" spans="1:15" x14ac:dyDescent="0.25">
      <c r="A117">
        <v>116</v>
      </c>
      <c r="B117">
        <v>695264.42579999997</v>
      </c>
      <c r="C117">
        <v>1127.1620370000001</v>
      </c>
      <c r="D117">
        <v>1082534.1059999999</v>
      </c>
      <c r="E117">
        <v>8548.9936479999997</v>
      </c>
      <c r="F117">
        <v>1459050.0149999999</v>
      </c>
      <c r="G117">
        <v>4027.1298689999999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576747.82412729331</v>
      </c>
      <c r="M117" s="1">
        <f t="shared" si="7"/>
        <v>1467093.3308448496</v>
      </c>
      <c r="N117" s="1">
        <f t="shared" si="8"/>
        <v>323356.84727114311</v>
      </c>
      <c r="O117" s="1"/>
    </row>
    <row r="118" spans="1:15" x14ac:dyDescent="0.25">
      <c r="A118">
        <v>117</v>
      </c>
      <c r="B118">
        <v>584761.99340000004</v>
      </c>
      <c r="C118" s="1">
        <v>2.6999999999999999E-5</v>
      </c>
      <c r="D118">
        <v>977111.74540000001</v>
      </c>
      <c r="E118">
        <v>7112.8655390000004</v>
      </c>
      <c r="F118">
        <v>1348966.6359999999</v>
      </c>
      <c r="G118">
        <v>4340.0499799999998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1.7259380127054001E-2</v>
      </c>
      <c r="M118" s="1">
        <f t="shared" si="7"/>
        <v>1524927.3919309855</v>
      </c>
      <c r="N118" s="1">
        <f t="shared" si="8"/>
        <v>435354.43773639755</v>
      </c>
      <c r="O118" s="1"/>
    </row>
    <row r="119" spans="1:15" x14ac:dyDescent="0.25">
      <c r="A119">
        <v>118</v>
      </c>
      <c r="B119">
        <v>632272.4081</v>
      </c>
      <c r="C119" s="1">
        <v>-1.4100000000000001E-5</v>
      </c>
      <c r="D119">
        <v>1036030.019</v>
      </c>
      <c r="E119">
        <v>5108.9452080000001</v>
      </c>
      <c r="F119">
        <v>1418951.0970000001</v>
      </c>
      <c r="G119">
        <v>4340.0499799999998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-9.0202813532578516E-3</v>
      </c>
      <c r="M119" s="1">
        <f t="shared" si="7"/>
        <v>1096163.5413430859</v>
      </c>
      <c r="N119" s="1">
        <f t="shared" si="8"/>
        <v>435694.94102495507</v>
      </c>
      <c r="O119" s="1"/>
    </row>
    <row r="120" spans="1:15" x14ac:dyDescent="0.25">
      <c r="A120">
        <v>119</v>
      </c>
      <c r="B120">
        <v>663612.86560000002</v>
      </c>
      <c r="C120">
        <v>7538.694434</v>
      </c>
      <c r="D120">
        <v>1038420.978</v>
      </c>
      <c r="E120">
        <v>5461.5701600000002</v>
      </c>
      <c r="F120">
        <v>1421717.5649999999</v>
      </c>
      <c r="G120">
        <v>3695.877262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6406712.8544384139</v>
      </c>
      <c r="M120" s="1">
        <f t="shared" si="7"/>
        <v>1556681.5321774057</v>
      </c>
      <c r="N120" s="1">
        <f t="shared" si="8"/>
        <v>492882.5860026626</v>
      </c>
      <c r="O120" s="1"/>
    </row>
    <row r="121" spans="1:15" x14ac:dyDescent="0.25">
      <c r="A121">
        <v>120</v>
      </c>
      <c r="B121">
        <v>663586.36159999995</v>
      </c>
      <c r="C121">
        <v>7538.6943940000001</v>
      </c>
      <c r="D121">
        <v>1015359.84</v>
      </c>
      <c r="E121">
        <v>6789.8884850000004</v>
      </c>
      <c r="F121">
        <v>1405286.09</v>
      </c>
      <c r="G121">
        <v>4991.5474320000003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4005287.3186315373</v>
      </c>
      <c r="M121" s="1">
        <f t="shared" si="7"/>
        <v>1209882.8371471311</v>
      </c>
      <c r="N121" s="1">
        <f t="shared" si="8"/>
        <v>416159.25265137886</v>
      </c>
      <c r="O121" s="1"/>
    </row>
    <row r="122" spans="1:15" x14ac:dyDescent="0.25">
      <c r="A122">
        <v>121</v>
      </c>
      <c r="B122">
        <v>679236.84019999998</v>
      </c>
      <c r="C122">
        <v>1127.162065</v>
      </c>
      <c r="D122">
        <v>1059976.821</v>
      </c>
      <c r="E122">
        <v>11547.53831</v>
      </c>
      <c r="F122">
        <v>1451094.6869999999</v>
      </c>
      <c r="G122">
        <v>4199.5470560000003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394081.01537339739</v>
      </c>
      <c r="M122" s="1">
        <f t="shared" si="7"/>
        <v>1354040.6360893154</v>
      </c>
      <c r="N122" s="1">
        <f t="shared" si="8"/>
        <v>230403.15219861877</v>
      </c>
      <c r="O122" s="1"/>
    </row>
    <row r="123" spans="1:15" x14ac:dyDescent="0.25">
      <c r="A123">
        <v>122</v>
      </c>
      <c r="B123">
        <v>668175.5527</v>
      </c>
      <c r="C123">
        <v>8248.8209509999997</v>
      </c>
      <c r="D123">
        <v>1031419.366</v>
      </c>
      <c r="E123">
        <v>21490.365099999999</v>
      </c>
      <c r="F123">
        <v>1433666.7709999999</v>
      </c>
      <c r="G123">
        <v>9235.4260329999997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3611786.8778816708</v>
      </c>
      <c r="M123" s="1">
        <f t="shared" si="7"/>
        <v>3155855.9367025713</v>
      </c>
      <c r="N123" s="1">
        <f t="shared" si="8"/>
        <v>634561.89344461111</v>
      </c>
      <c r="O123" s="1"/>
    </row>
    <row r="124" spans="1:15" x14ac:dyDescent="0.25">
      <c r="A124">
        <v>123</v>
      </c>
      <c r="B124">
        <v>626318.17180000001</v>
      </c>
      <c r="C124">
        <v>11432.31171</v>
      </c>
      <c r="D124">
        <v>978561.15289999999</v>
      </c>
      <c r="E124">
        <v>40538.916299999997</v>
      </c>
      <c r="F124">
        <v>1386317.4650000001</v>
      </c>
      <c r="G124">
        <v>32769.895429999997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5869191.5303614652</v>
      </c>
      <c r="M124" s="1">
        <f t="shared" si="7"/>
        <v>6980065.4779600771</v>
      </c>
      <c r="N124" s="1">
        <f t="shared" si="8"/>
        <v>2640013.182866564</v>
      </c>
      <c r="O124" s="1"/>
    </row>
    <row r="125" spans="1:15" x14ac:dyDescent="0.25">
      <c r="A125">
        <v>124</v>
      </c>
      <c r="B125">
        <v>614657.81920000003</v>
      </c>
      <c r="C125">
        <v>37882.417979999998</v>
      </c>
      <c r="D125">
        <v>960189.37789999996</v>
      </c>
      <c r="E125">
        <v>60100.705560000002</v>
      </c>
      <c r="F125">
        <v>1355654.39</v>
      </c>
      <c r="G125">
        <v>55418.13594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12512438.412465684</v>
      </c>
      <c r="M125" s="1">
        <f t="shared" si="7"/>
        <v>6657742.1115220124</v>
      </c>
      <c r="N125" s="1">
        <f t="shared" si="8"/>
        <v>2872387.2480041939</v>
      </c>
      <c r="O125" s="1"/>
    </row>
    <row r="126" spans="1:15" x14ac:dyDescent="0.25">
      <c r="A126">
        <v>125</v>
      </c>
      <c r="B126">
        <v>549709.18810000003</v>
      </c>
      <c r="C126" s="1">
        <v>1.01E-5</v>
      </c>
      <c r="D126">
        <v>933838.61970000004</v>
      </c>
      <c r="E126">
        <v>4697.1448309999996</v>
      </c>
      <c r="F126">
        <v>1327194.1980000001</v>
      </c>
      <c r="G126">
        <v>8134.7694650000003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1.7436592699175E-2</v>
      </c>
      <c r="M126" s="1">
        <f t="shared" si="7"/>
        <v>2719677.0565492334</v>
      </c>
      <c r="N126" s="1">
        <f t="shared" si="8"/>
        <v>2203800.6869786526</v>
      </c>
      <c r="O126" s="1"/>
    </row>
    <row r="127" spans="1:15" x14ac:dyDescent="0.25">
      <c r="A127">
        <v>126</v>
      </c>
      <c r="B127">
        <v>577774.50600000005</v>
      </c>
      <c r="C127" s="1">
        <v>1.2099999999999999E-5</v>
      </c>
      <c r="D127">
        <v>942037.46070000005</v>
      </c>
      <c r="E127">
        <v>5099.0472840000002</v>
      </c>
      <c r="F127">
        <v>1333285.6129999999</v>
      </c>
      <c r="G127">
        <v>4340.0499799999998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5.6983322312416504E-3</v>
      </c>
      <c r="M127" s="1">
        <f t="shared" si="7"/>
        <v>805368.37586462079</v>
      </c>
      <c r="N127" s="1">
        <f t="shared" si="8"/>
        <v>320733.21830843424</v>
      </c>
      <c r="O127" s="1"/>
    </row>
    <row r="128" spans="1:15" x14ac:dyDescent="0.25">
      <c r="A128">
        <v>127</v>
      </c>
      <c r="B128">
        <v>617046.87990000006</v>
      </c>
      <c r="C128">
        <v>104.73169369999999</v>
      </c>
      <c r="D128">
        <v>1016686.696</v>
      </c>
      <c r="E128">
        <v>4468.9980050000004</v>
      </c>
      <c r="F128">
        <v>1382263.2620000001</v>
      </c>
      <c r="G128">
        <v>4340.0499799999998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28820.326491630582</v>
      </c>
      <c r="M128" s="1">
        <f t="shared" si="7"/>
        <v>412452.62053278042</v>
      </c>
      <c r="N128" s="1">
        <f t="shared" si="8"/>
        <v>187414.12321855238</v>
      </c>
      <c r="O128" s="1"/>
    </row>
    <row r="129" spans="1:15" x14ac:dyDescent="0.25">
      <c r="A129">
        <v>128</v>
      </c>
      <c r="B129">
        <v>637911.85930000001</v>
      </c>
      <c r="C129">
        <v>510.76334079999998</v>
      </c>
      <c r="D129">
        <v>1033739.204</v>
      </c>
      <c r="E129">
        <v>4468.9980050000004</v>
      </c>
      <c r="F129">
        <v>1395808.2690000001</v>
      </c>
      <c r="G129">
        <v>4122.5907459999999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98413.878992680053</v>
      </c>
      <c r="M129" s="1">
        <f t="shared" si="7"/>
        <v>288795.1721173104</v>
      </c>
      <c r="N129" s="1">
        <f t="shared" si="8"/>
        <v>124650.39818223334</v>
      </c>
      <c r="O129" s="1"/>
    </row>
    <row r="130" spans="1:15" x14ac:dyDescent="0.25">
      <c r="A130">
        <v>129</v>
      </c>
      <c r="B130">
        <v>654747.41839999997</v>
      </c>
      <c r="C130" s="1">
        <v>-6.7399999999999998E-6</v>
      </c>
      <c r="D130">
        <v>1057052.6910000001</v>
      </c>
      <c r="E130">
        <v>5294.8591749999996</v>
      </c>
      <c r="F130">
        <v>1432855.5519999999</v>
      </c>
      <c r="G130">
        <v>941.16495529999997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-3.0907855738587751E-3</v>
      </c>
      <c r="M130" s="1">
        <f t="shared" si="7"/>
        <v>814341.43097635766</v>
      </c>
      <c r="N130" s="1">
        <f t="shared" si="8"/>
        <v>67726.953841404538</v>
      </c>
      <c r="O130" s="1"/>
    </row>
    <row r="131" spans="1:15" x14ac:dyDescent="0.25">
      <c r="A131">
        <v>130</v>
      </c>
      <c r="B131">
        <v>639290.65890000004</v>
      </c>
      <c r="C131">
        <v>0</v>
      </c>
      <c r="D131">
        <v>1034202.718</v>
      </c>
      <c r="E131">
        <v>5108.9452080000001</v>
      </c>
      <c r="F131">
        <v>1405441.311</v>
      </c>
      <c r="G131">
        <v>7386.7868340000005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0</v>
      </c>
      <c r="M131" s="1">
        <f t="shared" ref="M131:M194" si="11">$U$3*$K131*E131</f>
        <v>1264331.4220498386</v>
      </c>
      <c r="N131" s="1">
        <f t="shared" ref="N131:N194" si="12">$U$4*$K131*G131</f>
        <v>855320.59823890636</v>
      </c>
      <c r="O131" s="1"/>
    </row>
    <row r="132" spans="1:15" x14ac:dyDescent="0.25">
      <c r="A132">
        <v>131</v>
      </c>
      <c r="B132">
        <v>616418.23600000003</v>
      </c>
      <c r="C132">
        <v>8665.8564850000002</v>
      </c>
      <c r="D132">
        <v>993193.01930000004</v>
      </c>
      <c r="E132">
        <v>11959.223679999999</v>
      </c>
      <c r="F132">
        <v>1404673.152</v>
      </c>
      <c r="G132">
        <v>6150.0330979999999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5094813.6290407972</v>
      </c>
      <c r="M132" s="1">
        <f t="shared" si="11"/>
        <v>2358103.8930233852</v>
      </c>
      <c r="N132" s="1">
        <f t="shared" si="12"/>
        <v>567389.21662535286</v>
      </c>
      <c r="O132" s="1"/>
    </row>
    <row r="133" spans="1:15" x14ac:dyDescent="0.25">
      <c r="A133">
        <v>132</v>
      </c>
      <c r="B133">
        <v>642089.01930000004</v>
      </c>
      <c r="C133">
        <v>2940.9621240000001</v>
      </c>
      <c r="D133">
        <v>990589.44629999995</v>
      </c>
      <c r="E133">
        <v>24844.148870000001</v>
      </c>
      <c r="F133">
        <v>1408307.291</v>
      </c>
      <c r="G133">
        <v>17022.802390000001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1922087.920964438</v>
      </c>
      <c r="M133" s="1">
        <f t="shared" si="11"/>
        <v>5445666.9636602672</v>
      </c>
      <c r="N133" s="1">
        <f t="shared" si="12"/>
        <v>1745828.9500950372</v>
      </c>
      <c r="O133" s="1"/>
    </row>
    <row r="134" spans="1:15" x14ac:dyDescent="0.25">
      <c r="A134">
        <v>133</v>
      </c>
      <c r="B134">
        <v>645309.62470000004</v>
      </c>
      <c r="C134" s="1">
        <v>3.26E-5</v>
      </c>
      <c r="D134">
        <v>1041246.2439999999</v>
      </c>
      <c r="E134">
        <v>5108.9452080000001</v>
      </c>
      <c r="F134">
        <v>1426175.077</v>
      </c>
      <c r="G134">
        <v>4122.5907459999999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1.25055697660855E-2</v>
      </c>
      <c r="M134" s="1">
        <f t="shared" si="11"/>
        <v>657294.90415695985</v>
      </c>
      <c r="N134" s="1">
        <f t="shared" si="12"/>
        <v>248166.3667529207</v>
      </c>
      <c r="O134" s="1"/>
    </row>
    <row r="135" spans="1:15" x14ac:dyDescent="0.25">
      <c r="A135">
        <v>134</v>
      </c>
      <c r="B135">
        <v>677362.09600000002</v>
      </c>
      <c r="C135">
        <v>7538.6943899999997</v>
      </c>
      <c r="D135">
        <v>1089775.298</v>
      </c>
      <c r="E135">
        <v>5461.5701600000002</v>
      </c>
      <c r="F135">
        <v>1473526.0689999999</v>
      </c>
      <c r="G135">
        <v>5247.1922400000003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15474661.246755324</v>
      </c>
      <c r="M135" s="1">
        <f t="shared" si="11"/>
        <v>3759981.1428156183</v>
      </c>
      <c r="N135" s="1">
        <f t="shared" si="12"/>
        <v>1690202.7485264968</v>
      </c>
      <c r="O135" s="1"/>
    </row>
    <row r="136" spans="1:15" x14ac:dyDescent="0.25">
      <c r="A136">
        <v>135</v>
      </c>
      <c r="B136">
        <v>617862.22849999997</v>
      </c>
      <c r="C136">
        <v>0</v>
      </c>
      <c r="D136">
        <v>1006591.963</v>
      </c>
      <c r="E136">
        <v>5108.9452080000001</v>
      </c>
      <c r="F136">
        <v>1401314.7949999999</v>
      </c>
      <c r="G136">
        <v>4122.5907459999999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0</v>
      </c>
      <c r="M136" s="1">
        <f t="shared" si="11"/>
        <v>1103003.2823335633</v>
      </c>
      <c r="N136" s="1">
        <f t="shared" si="12"/>
        <v>416446.73549439386</v>
      </c>
      <c r="O136" s="1"/>
    </row>
    <row r="137" spans="1:15" x14ac:dyDescent="0.25">
      <c r="A137">
        <v>136</v>
      </c>
      <c r="B137">
        <v>487476.47600000002</v>
      </c>
      <c r="C137" s="1">
        <v>-3.1999999999999999E-5</v>
      </c>
      <c r="D137">
        <v>868819.54099999997</v>
      </c>
      <c r="E137">
        <v>3223.4172090000002</v>
      </c>
      <c r="F137">
        <v>1271853.504</v>
      </c>
      <c r="G137">
        <v>6400.3368250000003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-3.9260725454392E-2</v>
      </c>
      <c r="M137" s="1">
        <f t="shared" si="11"/>
        <v>1326380.1047460341</v>
      </c>
      <c r="N137" s="1">
        <f t="shared" si="12"/>
        <v>1232247.6165384578</v>
      </c>
      <c r="O137" s="1"/>
    </row>
    <row r="138" spans="1:15" x14ac:dyDescent="0.25">
      <c r="A138">
        <v>137</v>
      </c>
      <c r="B138">
        <v>617862.22849999997</v>
      </c>
      <c r="C138">
        <v>0</v>
      </c>
      <c r="D138">
        <v>1006828.188</v>
      </c>
      <c r="E138">
        <v>5108.9452080000001</v>
      </c>
      <c r="F138">
        <v>1403728.7620000001</v>
      </c>
      <c r="G138">
        <v>4122.5907459999999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0</v>
      </c>
      <c r="M138" s="1">
        <f t="shared" si="11"/>
        <v>346258.44251050724</v>
      </c>
      <c r="N138" s="1">
        <f t="shared" si="12"/>
        <v>130732.33809041964</v>
      </c>
      <c r="O138" s="1"/>
    </row>
    <row r="139" spans="1:15" x14ac:dyDescent="0.25">
      <c r="A139">
        <v>138</v>
      </c>
      <c r="B139">
        <v>684073.38219999999</v>
      </c>
      <c r="C139" s="1">
        <v>2.69E-5</v>
      </c>
      <c r="D139">
        <v>1065427.6100000001</v>
      </c>
      <c r="E139">
        <v>5108.9452080000001</v>
      </c>
      <c r="F139">
        <v>1445122.47</v>
      </c>
      <c r="G139">
        <v>640.52489679999996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5.3688211136135875E-3</v>
      </c>
      <c r="M139" s="1">
        <f t="shared" si="11"/>
        <v>341980.25807372999</v>
      </c>
      <c r="N139" s="1">
        <f t="shared" si="12"/>
        <v>20060.857086243665</v>
      </c>
      <c r="O139" s="1"/>
    </row>
    <row r="140" spans="1:15" x14ac:dyDescent="0.25">
      <c r="A140">
        <v>139</v>
      </c>
      <c r="B140">
        <v>661278.17319999996</v>
      </c>
      <c r="C140" s="1">
        <v>1.9199999999999999E-5</v>
      </c>
      <c r="D140">
        <v>1049835.898</v>
      </c>
      <c r="E140">
        <v>5108.9452080000001</v>
      </c>
      <c r="F140">
        <v>1434412.6259999999</v>
      </c>
      <c r="G140">
        <v>941.16495529999997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3.1181533255516805E-3</v>
      </c>
      <c r="M140" s="1">
        <f t="shared" si="11"/>
        <v>278272.71145066194</v>
      </c>
      <c r="N140" s="1">
        <f t="shared" si="12"/>
        <v>23985.50134588639</v>
      </c>
      <c r="O140" s="1"/>
    </row>
    <row r="141" spans="1:15" x14ac:dyDescent="0.25">
      <c r="A141">
        <v>140</v>
      </c>
      <c r="B141">
        <v>617134.82869999995</v>
      </c>
      <c r="C141" s="1">
        <v>-7.7200000000000006E-6</v>
      </c>
      <c r="D141">
        <v>1012511.968</v>
      </c>
      <c r="E141">
        <v>5108.9452080000001</v>
      </c>
      <c r="F141">
        <v>1419902.466</v>
      </c>
      <c r="G141">
        <v>4122.5907459999999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-2.5580341041976503E-3</v>
      </c>
      <c r="M141" s="1">
        <f t="shared" si="11"/>
        <v>567758.19552052056</v>
      </c>
      <c r="N141" s="1">
        <f t="shared" si="12"/>
        <v>214361.14548497379</v>
      </c>
      <c r="O141" s="1"/>
    </row>
    <row r="142" spans="1:15" x14ac:dyDescent="0.25">
      <c r="A142">
        <v>141</v>
      </c>
      <c r="B142">
        <v>588073.7831</v>
      </c>
      <c r="C142" s="1">
        <v>-2.7199999999999998E-6</v>
      </c>
      <c r="D142">
        <v>989478.98499999999</v>
      </c>
      <c r="E142">
        <v>4468.9980450000003</v>
      </c>
      <c r="F142">
        <v>1380284.493</v>
      </c>
      <c r="G142">
        <v>4122.5907459999999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-7.1595258203825196E-4</v>
      </c>
      <c r="M142" s="1">
        <f t="shared" si="11"/>
        <v>394519.66645830305</v>
      </c>
      <c r="N142" s="1">
        <f t="shared" si="12"/>
        <v>170283.43207417519</v>
      </c>
      <c r="O142" s="1"/>
    </row>
    <row r="143" spans="1:15" x14ac:dyDescent="0.25">
      <c r="A143">
        <v>142</v>
      </c>
      <c r="B143">
        <v>654730.73620000004</v>
      </c>
      <c r="C143" s="1">
        <v>8.5799999999999992E-6</v>
      </c>
      <c r="D143">
        <v>1026039.214</v>
      </c>
      <c r="E143">
        <v>5108.9452080000001</v>
      </c>
      <c r="F143">
        <v>1431011.3740000001</v>
      </c>
      <c r="G143">
        <v>941.16495529999997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6.1558931119407145E-3</v>
      </c>
      <c r="M143" s="1">
        <f t="shared" si="11"/>
        <v>1229357.4133253936</v>
      </c>
      <c r="N143" s="1">
        <f t="shared" si="12"/>
        <v>105963.51233354646</v>
      </c>
      <c r="O143" s="1"/>
    </row>
    <row r="144" spans="1:15" x14ac:dyDescent="0.25">
      <c r="A144">
        <v>143</v>
      </c>
      <c r="B144">
        <v>691644.60439999995</v>
      </c>
      <c r="C144">
        <v>1127.162047</v>
      </c>
      <c r="D144">
        <v>1077478.1950000001</v>
      </c>
      <c r="E144">
        <v>5698.6978749999998</v>
      </c>
      <c r="F144">
        <v>1464323.0179999999</v>
      </c>
      <c r="G144">
        <v>1318.8081199999999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254131.92852152672</v>
      </c>
      <c r="M144" s="1">
        <f t="shared" si="11"/>
        <v>430915.03262343956</v>
      </c>
      <c r="N144" s="1">
        <f t="shared" si="12"/>
        <v>46659.631295732193</v>
      </c>
      <c r="O144" s="1"/>
    </row>
    <row r="145" spans="1:15" x14ac:dyDescent="0.25">
      <c r="A145">
        <v>144</v>
      </c>
      <c r="B145">
        <v>589337.86609999998</v>
      </c>
      <c r="C145" s="1">
        <v>-4.7299999999999998E-5</v>
      </c>
      <c r="D145">
        <v>985828.57239999995</v>
      </c>
      <c r="E145">
        <v>4468.9980500000001</v>
      </c>
      <c r="F145">
        <v>1391643.9450000001</v>
      </c>
      <c r="G145">
        <v>4340.0499799999998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-4.0449970656881495E-2</v>
      </c>
      <c r="M145" s="1">
        <f t="shared" si="11"/>
        <v>1281770.7958178248</v>
      </c>
      <c r="N145" s="1">
        <f t="shared" si="12"/>
        <v>582423.13295562577</v>
      </c>
      <c r="O145" s="1"/>
    </row>
    <row r="146" spans="1:15" x14ac:dyDescent="0.25">
      <c r="A146">
        <v>145</v>
      </c>
      <c r="B146">
        <v>695087.51100000006</v>
      </c>
      <c r="C146" s="1">
        <v>-1.2099999999999999E-5</v>
      </c>
      <c r="D146">
        <v>1091212.442</v>
      </c>
      <c r="E146">
        <v>5108.9452080000001</v>
      </c>
      <c r="F146">
        <v>1467470.861</v>
      </c>
      <c r="G146">
        <v>1765.126391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-5.6990531976628244E-3</v>
      </c>
      <c r="M146" s="1">
        <f t="shared" si="11"/>
        <v>807033.79711447819</v>
      </c>
      <c r="N146" s="1">
        <f t="shared" si="12"/>
        <v>130460.77796523513</v>
      </c>
      <c r="O146" s="1"/>
    </row>
    <row r="147" spans="1:15" x14ac:dyDescent="0.25">
      <c r="A147">
        <v>146</v>
      </c>
      <c r="B147">
        <v>757147.87699999998</v>
      </c>
      <c r="C147">
        <v>1127.1621110000001</v>
      </c>
      <c r="D147">
        <v>1204923.44</v>
      </c>
      <c r="E147">
        <v>8548.9936479999997</v>
      </c>
      <c r="F147">
        <v>1577093.3430000001</v>
      </c>
      <c r="G147">
        <v>987.55551330000003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4877086.8514093896</v>
      </c>
      <c r="M147" s="1">
        <f t="shared" si="11"/>
        <v>12406013.208171375</v>
      </c>
      <c r="N147" s="1">
        <f t="shared" si="12"/>
        <v>670536.52725083975</v>
      </c>
      <c r="O147" s="1"/>
    </row>
    <row r="148" spans="1:15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>
        <v>7795.712931</v>
      </c>
      <c r="F148">
        <v>792492.29980000004</v>
      </c>
      <c r="G148">
        <v>28906.225320000001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3.3375829403384E-3</v>
      </c>
      <c r="M148" s="1">
        <f t="shared" si="11"/>
        <v>5453948.8365473775</v>
      </c>
      <c r="N148" s="1">
        <f t="shared" si="12"/>
        <v>9462159.9026502036</v>
      </c>
      <c r="O148" s="1"/>
    </row>
    <row r="149" spans="1:15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>
        <v>37101.784440000003</v>
      </c>
      <c r="F149">
        <v>849571.42909999995</v>
      </c>
      <c r="G149">
        <v>69264.269320000007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-5.9229081060528611E-4</v>
      </c>
      <c r="M149" s="1">
        <f t="shared" si="11"/>
        <v>1667441.706867282</v>
      </c>
      <c r="N149" s="1">
        <f t="shared" si="12"/>
        <v>1456494.3273914431</v>
      </c>
      <c r="O149" s="1"/>
    </row>
    <row r="150" spans="1:15" x14ac:dyDescent="0.25">
      <c r="A150">
        <v>149</v>
      </c>
      <c r="B150">
        <v>528047.92740000004</v>
      </c>
      <c r="C150">
        <v>13821.70455</v>
      </c>
      <c r="D150">
        <v>949631.4523</v>
      </c>
      <c r="E150">
        <v>34712.451159999997</v>
      </c>
      <c r="F150">
        <v>1389819.6710000001</v>
      </c>
      <c r="G150">
        <v>11388.15027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7687387.716833272</v>
      </c>
      <c r="M150" s="1">
        <f t="shared" si="11"/>
        <v>6475086.8623726489</v>
      </c>
      <c r="N150" s="1">
        <f t="shared" si="12"/>
        <v>993933.17016594298</v>
      </c>
      <c r="O150" s="1"/>
    </row>
    <row r="151" spans="1:15" x14ac:dyDescent="0.25">
      <c r="A151">
        <v>150</v>
      </c>
      <c r="B151">
        <v>521584.07689999999</v>
      </c>
      <c r="C151">
        <v>14748.17726</v>
      </c>
      <c r="D151">
        <v>922666.41509999998</v>
      </c>
      <c r="E151">
        <v>33626.335809999997</v>
      </c>
      <c r="F151">
        <v>1347281.102</v>
      </c>
      <c r="G151">
        <v>12927.890289999999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5861598.4890499525</v>
      </c>
      <c r="M151" s="1">
        <f t="shared" si="11"/>
        <v>4482294.6334212068</v>
      </c>
      <c r="N151" s="1">
        <f t="shared" si="12"/>
        <v>806291.70300055936</v>
      </c>
      <c r="O151" s="1"/>
    </row>
    <row r="152" spans="1:15" x14ac:dyDescent="0.25">
      <c r="A152">
        <v>151</v>
      </c>
      <c r="B152">
        <v>432159.64059999998</v>
      </c>
      <c r="C152">
        <v>66122.766879999996</v>
      </c>
      <c r="D152">
        <v>801522.96759999997</v>
      </c>
      <c r="E152">
        <v>115279.40119999999</v>
      </c>
      <c r="F152">
        <v>1262048.7039999999</v>
      </c>
      <c r="G152">
        <v>54035.463600000003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240850237.73025775</v>
      </c>
      <c r="M152" s="1">
        <f t="shared" si="11"/>
        <v>140828615.61454606</v>
      </c>
      <c r="N152" s="1">
        <f t="shared" si="12"/>
        <v>30886006.474998403</v>
      </c>
      <c r="O152" s="1"/>
    </row>
    <row r="153" spans="1:15" x14ac:dyDescent="0.25">
      <c r="A153">
        <v>152</v>
      </c>
      <c r="B153">
        <v>407131.11700000003</v>
      </c>
      <c r="C153">
        <v>43962.214010000003</v>
      </c>
      <c r="D153">
        <v>731423.63950000005</v>
      </c>
      <c r="E153">
        <v>82087.004350000003</v>
      </c>
      <c r="F153">
        <v>1185115.6839999999</v>
      </c>
      <c r="G153">
        <v>70543.938590000005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271814738.73978961</v>
      </c>
      <c r="M153" s="1">
        <f t="shared" si="11"/>
        <v>170220158.21632305</v>
      </c>
      <c r="N153" s="1">
        <f t="shared" si="12"/>
        <v>68444722.089390531</v>
      </c>
      <c r="O153" s="1"/>
    </row>
    <row r="154" spans="1:15" x14ac:dyDescent="0.25">
      <c r="A154">
        <v>153</v>
      </c>
      <c r="B154">
        <v>478992.022</v>
      </c>
      <c r="C154">
        <v>51991.354859999999</v>
      </c>
      <c r="D154">
        <v>891439.9584</v>
      </c>
      <c r="E154">
        <v>66264.470440000005</v>
      </c>
      <c r="F154">
        <v>1314338.6370000001</v>
      </c>
      <c r="G154">
        <v>38766.037149999996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288789395.40300041</v>
      </c>
      <c r="M154" s="1">
        <f t="shared" si="11"/>
        <v>123445133.89665359</v>
      </c>
      <c r="N154" s="1">
        <f t="shared" si="12"/>
        <v>33790010.696029805</v>
      </c>
      <c r="O154" s="1"/>
    </row>
    <row r="155" spans="1:15" x14ac:dyDescent="0.25">
      <c r="A155">
        <v>154</v>
      </c>
      <c r="B155">
        <v>577520.01850000001</v>
      </c>
      <c r="C155">
        <v>79856.555519999994</v>
      </c>
      <c r="D155">
        <v>1000663.858</v>
      </c>
      <c r="E155">
        <v>113499.7022</v>
      </c>
      <c r="F155">
        <v>1434643.585</v>
      </c>
      <c r="G155">
        <v>48895.302309999999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92636873.113371655</v>
      </c>
      <c r="M155" s="1">
        <f t="shared" si="11"/>
        <v>44158180.733630791</v>
      </c>
      <c r="N155" s="1">
        <f t="shared" si="12"/>
        <v>8900763.5564418584</v>
      </c>
      <c r="O155" s="1"/>
    </row>
    <row r="156" spans="1:15" x14ac:dyDescent="0.25">
      <c r="A156">
        <v>155</v>
      </c>
      <c r="B156">
        <v>507464.4423</v>
      </c>
      <c r="C156">
        <v>65455.868620000001</v>
      </c>
      <c r="D156">
        <v>905013.24950000003</v>
      </c>
      <c r="E156">
        <v>88797.213529999994</v>
      </c>
      <c r="F156">
        <v>1342365.5930000001</v>
      </c>
      <c r="G156">
        <v>58160.039140000001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56034278.917361572</v>
      </c>
      <c r="M156" s="1">
        <f t="shared" si="11"/>
        <v>25494568.84965694</v>
      </c>
      <c r="N156" s="1">
        <f t="shared" si="12"/>
        <v>7812979.8153688852</v>
      </c>
      <c r="O156" s="1"/>
    </row>
    <row r="157" spans="1:15" x14ac:dyDescent="0.25">
      <c r="A157">
        <v>156</v>
      </c>
      <c r="B157">
        <v>461071.71620000002</v>
      </c>
      <c r="C157">
        <v>34515.685010000001</v>
      </c>
      <c r="D157">
        <v>851750.37659999996</v>
      </c>
      <c r="E157">
        <v>65005.133560000002</v>
      </c>
      <c r="F157">
        <v>1281744.27</v>
      </c>
      <c r="G157">
        <v>33011.578090000003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144609313.47895056</v>
      </c>
      <c r="M157" s="1">
        <f t="shared" si="11"/>
        <v>91342008.980779365</v>
      </c>
      <c r="N157" s="1">
        <f t="shared" si="12"/>
        <v>21703654.555580311</v>
      </c>
      <c r="O157" s="1"/>
    </row>
    <row r="158" spans="1:15" x14ac:dyDescent="0.25">
      <c r="A158">
        <v>157</v>
      </c>
      <c r="B158">
        <v>428680.88860000001</v>
      </c>
      <c r="C158">
        <v>15218.12932</v>
      </c>
      <c r="D158">
        <v>790912.8273</v>
      </c>
      <c r="E158">
        <v>15847.25772</v>
      </c>
      <c r="F158">
        <v>1200485.1610000001</v>
      </c>
      <c r="G158">
        <v>31288.797569999999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106832401.0746839</v>
      </c>
      <c r="M158" s="1">
        <f t="shared" si="11"/>
        <v>37311179.362541713</v>
      </c>
      <c r="N158" s="1">
        <f t="shared" si="12"/>
        <v>34468105.031146966</v>
      </c>
      <c r="O158" s="1"/>
    </row>
    <row r="159" spans="1:15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>
        <v>2328.1189979999999</v>
      </c>
      <c r="F159">
        <v>1189368.7180000001</v>
      </c>
      <c r="G159">
        <v>8011.7023300000001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0.14453084981973299</v>
      </c>
      <c r="M159" s="1">
        <f t="shared" si="11"/>
        <v>3242870.6349780876</v>
      </c>
      <c r="N159" s="1">
        <f t="shared" si="12"/>
        <v>5221471.747050344</v>
      </c>
      <c r="O159" s="1"/>
    </row>
    <row r="160" spans="1:15" x14ac:dyDescent="0.25">
      <c r="A160">
        <v>159</v>
      </c>
      <c r="B160">
        <v>491875.39429999999</v>
      </c>
      <c r="C160">
        <v>0</v>
      </c>
      <c r="D160">
        <v>844019.14150000003</v>
      </c>
      <c r="E160">
        <v>3009.0252300000002</v>
      </c>
      <c r="F160">
        <v>1236645.5870000001</v>
      </c>
      <c r="G160">
        <v>6182.8775910000004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0</v>
      </c>
      <c r="M160" s="1">
        <f t="shared" si="11"/>
        <v>6115279.4626712324</v>
      </c>
      <c r="N160" s="1">
        <f t="shared" si="12"/>
        <v>5879288.9634426301</v>
      </c>
      <c r="O160" s="1"/>
    </row>
    <row r="161" spans="1:15" x14ac:dyDescent="0.25">
      <c r="A161">
        <v>160</v>
      </c>
      <c r="B161">
        <v>552867.91269999999</v>
      </c>
      <c r="C161" s="1">
        <v>1.84E-5</v>
      </c>
      <c r="D161">
        <v>932969.70929999999</v>
      </c>
      <c r="E161">
        <v>4697.1448449999998</v>
      </c>
      <c r="F161">
        <v>1329881.0360000001</v>
      </c>
      <c r="G161">
        <v>7036.440654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1.4742503970992202E-2</v>
      </c>
      <c r="M161" s="1">
        <f t="shared" si="11"/>
        <v>1262206.8130002418</v>
      </c>
      <c r="N161" s="1">
        <f t="shared" si="12"/>
        <v>884694.39271664619</v>
      </c>
      <c r="O161" s="1"/>
    </row>
    <row r="162" spans="1:15" x14ac:dyDescent="0.25">
      <c r="A162">
        <v>161</v>
      </c>
      <c r="B162">
        <v>676738.40500000003</v>
      </c>
      <c r="C162">
        <v>45806.996189999998</v>
      </c>
      <c r="D162">
        <v>1172954.585</v>
      </c>
      <c r="E162">
        <v>32342.499100000001</v>
      </c>
      <c r="F162">
        <v>1559221.1610000001</v>
      </c>
      <c r="G162">
        <v>17271.445350000002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20463629.653306838</v>
      </c>
      <c r="M162" s="1">
        <f t="shared" si="11"/>
        <v>4845823.2065723808</v>
      </c>
      <c r="N162" s="1">
        <f t="shared" si="12"/>
        <v>1210783.1031171477</v>
      </c>
      <c r="O162" s="1"/>
    </row>
    <row r="163" spans="1:15" x14ac:dyDescent="0.25">
      <c r="A163">
        <v>162</v>
      </c>
      <c r="B163">
        <v>664079.1875</v>
      </c>
      <c r="C163">
        <v>14282.292960000001</v>
      </c>
      <c r="D163">
        <v>1125072.8940000001</v>
      </c>
      <c r="E163">
        <v>11711.686379999999</v>
      </c>
      <c r="F163">
        <v>1518312.091</v>
      </c>
      <c r="G163">
        <v>6752.7564519999996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4706132.937852148</v>
      </c>
      <c r="M163" s="1">
        <f t="shared" si="11"/>
        <v>1294281.7423102565</v>
      </c>
      <c r="N163" s="1">
        <f t="shared" si="12"/>
        <v>349167.77495080471</v>
      </c>
      <c r="O163" s="1"/>
    </row>
    <row r="164" spans="1:15" x14ac:dyDescent="0.25">
      <c r="A164">
        <v>163</v>
      </c>
      <c r="B164">
        <v>102828.5062</v>
      </c>
      <c r="C164">
        <v>4625.4966759999998</v>
      </c>
      <c r="D164">
        <v>572403.46440000006</v>
      </c>
      <c r="E164">
        <v>48549.16128</v>
      </c>
      <c r="F164">
        <v>956857.34400000004</v>
      </c>
      <c r="G164">
        <v>59105.790930000003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57303183.087359361</v>
      </c>
      <c r="M164" s="1">
        <f t="shared" si="11"/>
        <v>201718273.43132886</v>
      </c>
      <c r="N164" s="1">
        <f t="shared" si="12"/>
        <v>114904548.8968796</v>
      </c>
      <c r="O164" s="1"/>
    </row>
    <row r="165" spans="1:15" x14ac:dyDescent="0.25">
      <c r="A165">
        <v>164</v>
      </c>
      <c r="B165">
        <v>245372.50649999999</v>
      </c>
      <c r="C165">
        <v>83226.357139999993</v>
      </c>
      <c r="D165">
        <v>637800.96369999996</v>
      </c>
      <c r="E165">
        <v>118248.09669999999</v>
      </c>
      <c r="F165">
        <v>1051222.3589999999</v>
      </c>
      <c r="G165">
        <v>117868.5033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140896558.53437361</v>
      </c>
      <c r="M165" s="1">
        <f t="shared" si="11"/>
        <v>67139297.957536459</v>
      </c>
      <c r="N165" s="1">
        <f t="shared" si="12"/>
        <v>31312957.14513579</v>
      </c>
      <c r="O165" s="1"/>
    </row>
    <row r="166" spans="1:15" x14ac:dyDescent="0.25">
      <c r="A166">
        <v>165</v>
      </c>
      <c r="B166">
        <v>394722.24339999998</v>
      </c>
      <c r="C166">
        <v>106549.9572</v>
      </c>
      <c r="D166">
        <v>752523.54489999998</v>
      </c>
      <c r="E166">
        <v>150718.13949999999</v>
      </c>
      <c r="F166">
        <v>1184271.48</v>
      </c>
      <c r="G166">
        <v>103074.683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524040765.64015138</v>
      </c>
      <c r="M166" s="1">
        <f t="shared" si="11"/>
        <v>248611065.1726898</v>
      </c>
      <c r="N166" s="1">
        <f t="shared" si="12"/>
        <v>79551910.832366481</v>
      </c>
      <c r="O166" s="1"/>
    </row>
    <row r="167" spans="1:15" x14ac:dyDescent="0.25">
      <c r="A167">
        <v>166</v>
      </c>
      <c r="B167">
        <v>277078.3322</v>
      </c>
      <c r="C167" s="1">
        <v>4.21E-5</v>
      </c>
      <c r="D167">
        <v>675012.2709</v>
      </c>
      <c r="E167">
        <v>22594.647700000001</v>
      </c>
      <c r="F167">
        <v>1074091.0549999999</v>
      </c>
      <c r="G167">
        <v>31004.573639999999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0.11779130643753394</v>
      </c>
      <c r="M167" s="1">
        <f t="shared" si="11"/>
        <v>21202147.615391307</v>
      </c>
      <c r="N167" s="1">
        <f t="shared" si="12"/>
        <v>13612682.69426718</v>
      </c>
      <c r="O167" s="1"/>
    </row>
    <row r="168" spans="1:15" x14ac:dyDescent="0.25">
      <c r="A168">
        <v>167</v>
      </c>
      <c r="B168">
        <v>185414.20689999999</v>
      </c>
      <c r="C168" s="1">
        <v>-3.8500000000000001E-5</v>
      </c>
      <c r="D168">
        <v>611072.92929999996</v>
      </c>
      <c r="E168">
        <v>28722.431690000001</v>
      </c>
      <c r="F168">
        <v>1010780.121</v>
      </c>
      <c r="G168">
        <v>38915.735489999999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-0.21291147040288125</v>
      </c>
      <c r="M168" s="1">
        <f t="shared" si="11"/>
        <v>53272450.185686253</v>
      </c>
      <c r="N168" s="1">
        <f t="shared" si="12"/>
        <v>33771502.874266535</v>
      </c>
      <c r="O168" s="1"/>
    </row>
    <row r="169" spans="1:15" x14ac:dyDescent="0.25">
      <c r="A169">
        <v>168</v>
      </c>
      <c r="B169">
        <v>548999.27469999995</v>
      </c>
      <c r="C169">
        <v>56898.038480000003</v>
      </c>
      <c r="D169">
        <v>926535.13150000002</v>
      </c>
      <c r="E169">
        <v>110204.5567</v>
      </c>
      <c r="F169">
        <v>1321189.67</v>
      </c>
      <c r="G169">
        <v>87134.390880000006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169092121.48866412</v>
      </c>
      <c r="M169" s="1">
        <f t="shared" si="11"/>
        <v>109842084.80698532</v>
      </c>
      <c r="N169" s="1">
        <f t="shared" si="12"/>
        <v>40635208.551372029</v>
      </c>
      <c r="O169" s="1"/>
    </row>
    <row r="170" spans="1:15" x14ac:dyDescent="0.25">
      <c r="A170">
        <v>169</v>
      </c>
      <c r="B170">
        <v>477002.73109999998</v>
      </c>
      <c r="C170">
        <v>60848.566959999996</v>
      </c>
      <c r="D170">
        <v>850222.68319999997</v>
      </c>
      <c r="E170">
        <v>111890.6528</v>
      </c>
      <c r="F170">
        <v>1243095.9099999999</v>
      </c>
      <c r="G170">
        <v>79502.584879999995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168088417.47474146</v>
      </c>
      <c r="M170" s="1">
        <f t="shared" si="11"/>
        <v>103663144.46048465</v>
      </c>
      <c r="N170" s="1">
        <f t="shared" si="12"/>
        <v>34463191.877995819</v>
      </c>
      <c r="O170" s="1"/>
    </row>
    <row r="171" spans="1:15" x14ac:dyDescent="0.25">
      <c r="A171">
        <v>170</v>
      </c>
      <c r="B171">
        <v>489271.78539999999</v>
      </c>
      <c r="C171">
        <v>19298.936150000001</v>
      </c>
      <c r="D171">
        <v>865039.95</v>
      </c>
      <c r="E171">
        <v>43168.282659999997</v>
      </c>
      <c r="F171">
        <v>1252649.8470000001</v>
      </c>
      <c r="G171">
        <v>36127.860159999997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64382747.01673618</v>
      </c>
      <c r="M171" s="1">
        <f t="shared" si="11"/>
        <v>48299656.504742384</v>
      </c>
      <c r="N171" s="1">
        <f t="shared" si="12"/>
        <v>18913207.52378561</v>
      </c>
      <c r="O171" s="1"/>
    </row>
    <row r="172" spans="1:15" x14ac:dyDescent="0.25">
      <c r="A172">
        <v>171</v>
      </c>
      <c r="B172">
        <v>532755.79310000001</v>
      </c>
      <c r="C172">
        <v>10578.269340000001</v>
      </c>
      <c r="D172">
        <v>914735.38450000004</v>
      </c>
      <c r="E172">
        <v>27302.633809999999</v>
      </c>
      <c r="F172">
        <v>1307230.7150000001</v>
      </c>
      <c r="G172">
        <v>14870.333570000001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34190578.852362759</v>
      </c>
      <c r="M172" s="1">
        <f t="shared" si="11"/>
        <v>29596442.649858307</v>
      </c>
      <c r="N172" s="1">
        <f t="shared" si="12"/>
        <v>7542222.8208157411</v>
      </c>
      <c r="O172" s="1"/>
    </row>
    <row r="173" spans="1:15" x14ac:dyDescent="0.25">
      <c r="A173">
        <v>172</v>
      </c>
      <c r="B173">
        <v>450180.64510000002</v>
      </c>
      <c r="C173">
        <v>1327.1896529999999</v>
      </c>
      <c r="D173">
        <v>796820.15319999994</v>
      </c>
      <c r="E173">
        <v>19541.340380000001</v>
      </c>
      <c r="F173">
        <v>1218190.4010000001</v>
      </c>
      <c r="G173">
        <v>14706.4679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1384137.3830842276</v>
      </c>
      <c r="M173" s="1">
        <f t="shared" si="11"/>
        <v>6835081.5041825976</v>
      </c>
      <c r="N173" s="1">
        <f t="shared" si="12"/>
        <v>2406807.7739658738</v>
      </c>
      <c r="O173" s="1"/>
    </row>
    <row r="174" spans="1:15" x14ac:dyDescent="0.25">
      <c r="A174">
        <v>173</v>
      </c>
      <c r="B174">
        <v>320642.55940000003</v>
      </c>
      <c r="C174" s="1">
        <v>1.13E-5</v>
      </c>
      <c r="D174">
        <v>693439.7548</v>
      </c>
      <c r="E174">
        <v>19920.890490000002</v>
      </c>
      <c r="F174">
        <v>1105440.7150000001</v>
      </c>
      <c r="G174">
        <v>30103.395270000001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7.5457790521597248E-2</v>
      </c>
      <c r="M174" s="1">
        <f t="shared" si="11"/>
        <v>44614653.667581417</v>
      </c>
      <c r="N174" s="1">
        <f t="shared" si="12"/>
        <v>31544811.547419354</v>
      </c>
      <c r="O174" s="1"/>
    </row>
    <row r="175" spans="1:15" x14ac:dyDescent="0.25">
      <c r="A175">
        <v>174</v>
      </c>
      <c r="B175">
        <v>648546.16240000003</v>
      </c>
      <c r="C175">
        <v>23865.494330000001</v>
      </c>
      <c r="D175">
        <v>1120177.7490000001</v>
      </c>
      <c r="E175">
        <v>21441.507799999999</v>
      </c>
      <c r="F175">
        <v>1525823.693</v>
      </c>
      <c r="G175">
        <v>8712.9661720000004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6552877.4000311727</v>
      </c>
      <c r="M175" s="1">
        <f t="shared" si="11"/>
        <v>1974513.3189070851</v>
      </c>
      <c r="N175" s="1">
        <f t="shared" si="12"/>
        <v>375417.44638823415</v>
      </c>
      <c r="O175" s="1"/>
    </row>
    <row r="176" spans="1:15" x14ac:dyDescent="0.25">
      <c r="A176">
        <v>175</v>
      </c>
      <c r="B176">
        <v>481084.4472</v>
      </c>
      <c r="C176">
        <v>63429.199970000001</v>
      </c>
      <c r="D176">
        <v>837568.92920000001</v>
      </c>
      <c r="E176">
        <v>132659.0042</v>
      </c>
      <c r="F176">
        <v>1231243.8189999999</v>
      </c>
      <c r="G176">
        <v>93105.759319999997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111481876.53547423</v>
      </c>
      <c r="M176" s="1">
        <f t="shared" si="11"/>
        <v>78197866.94042176</v>
      </c>
      <c r="N176" s="1">
        <f t="shared" si="12"/>
        <v>25679017.199955717</v>
      </c>
      <c r="O176" s="1"/>
    </row>
    <row r="177" spans="1:15" x14ac:dyDescent="0.25">
      <c r="A177">
        <v>176</v>
      </c>
      <c r="B177">
        <v>586009.43830000004</v>
      </c>
      <c r="C177">
        <v>22110.31914</v>
      </c>
      <c r="D177">
        <v>969485.76910000003</v>
      </c>
      <c r="E177">
        <v>58049.501730000004</v>
      </c>
      <c r="F177">
        <v>1359123.6769999999</v>
      </c>
      <c r="G177">
        <v>37595.815069999997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32017545.52029838</v>
      </c>
      <c r="M177" s="1">
        <f t="shared" si="11"/>
        <v>28192569.368032366</v>
      </c>
      <c r="N177" s="1">
        <f t="shared" si="12"/>
        <v>8543175.8183531594</v>
      </c>
      <c r="O177" s="1"/>
    </row>
    <row r="178" spans="1:15" x14ac:dyDescent="0.25">
      <c r="A178">
        <v>177</v>
      </c>
      <c r="B178">
        <v>614430.53370000003</v>
      </c>
      <c r="C178">
        <v>24304.50316</v>
      </c>
      <c r="D178">
        <v>957222.26679999998</v>
      </c>
      <c r="E178">
        <v>53329.812619999997</v>
      </c>
      <c r="F178">
        <v>1354775.6189999999</v>
      </c>
      <c r="G178">
        <v>43969.693950000001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6190861.7020628927</v>
      </c>
      <c r="M178" s="1">
        <f t="shared" si="11"/>
        <v>4555935.3173958473</v>
      </c>
      <c r="N178" s="1">
        <f t="shared" si="12"/>
        <v>1757537.5507428339</v>
      </c>
      <c r="O178" s="1"/>
    </row>
    <row r="179" spans="1:15" x14ac:dyDescent="0.25">
      <c r="A179">
        <v>178</v>
      </c>
      <c r="B179">
        <v>543579.96250000002</v>
      </c>
      <c r="C179">
        <v>55040.685720000001</v>
      </c>
      <c r="D179">
        <v>917518.48730000004</v>
      </c>
      <c r="E179">
        <v>83528.117790000004</v>
      </c>
      <c r="F179">
        <v>1290791.0630000001</v>
      </c>
      <c r="G179">
        <v>77841.631580000001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268505612.63855165</v>
      </c>
      <c r="M179" s="1">
        <f t="shared" si="11"/>
        <v>136661242.38287291</v>
      </c>
      <c r="N179" s="1">
        <f t="shared" si="12"/>
        <v>59589299.18231006</v>
      </c>
      <c r="O179" s="1"/>
    </row>
    <row r="180" spans="1:15" x14ac:dyDescent="0.25">
      <c r="A180">
        <v>179</v>
      </c>
      <c r="B180">
        <v>494666.22379999998</v>
      </c>
      <c r="C180">
        <v>13960.742340000001</v>
      </c>
      <c r="D180">
        <v>861392.56079999998</v>
      </c>
      <c r="E180">
        <v>38477.634899999997</v>
      </c>
      <c r="F180">
        <v>1253545.3729999999</v>
      </c>
      <c r="G180">
        <v>34862.130100000002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47072515.864466205</v>
      </c>
      <c r="M180" s="1">
        <f t="shared" si="11"/>
        <v>43512136.186758399</v>
      </c>
      <c r="N180" s="1">
        <f t="shared" si="12"/>
        <v>18445890.790705968</v>
      </c>
      <c r="O180" s="1"/>
    </row>
    <row r="181" spans="1:15" x14ac:dyDescent="0.25">
      <c r="A181">
        <v>180</v>
      </c>
      <c r="B181">
        <v>388003.53320000001</v>
      </c>
      <c r="C181">
        <v>16652.131420000002</v>
      </c>
      <c r="D181">
        <v>750599.91760000004</v>
      </c>
      <c r="E181">
        <v>20687.027259999999</v>
      </c>
      <c r="F181">
        <v>1150846.422</v>
      </c>
      <c r="G181">
        <v>50788.517919999998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105924915.21581732</v>
      </c>
      <c r="M181" s="1">
        <f t="shared" si="11"/>
        <v>44133616.71918454</v>
      </c>
      <c r="N181" s="1">
        <f t="shared" si="12"/>
        <v>50696811.997335181</v>
      </c>
      <c r="O181" s="1"/>
    </row>
    <row r="182" spans="1:15" x14ac:dyDescent="0.25">
      <c r="A182">
        <v>181</v>
      </c>
      <c r="B182">
        <v>554074.38130000001</v>
      </c>
      <c r="C182">
        <v>36983.449939999999</v>
      </c>
      <c r="D182">
        <v>931861.77980000002</v>
      </c>
      <c r="E182">
        <v>70735.757490000004</v>
      </c>
      <c r="F182">
        <v>1339014.67</v>
      </c>
      <c r="G182">
        <v>51006.077420000001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10043857.266185313</v>
      </c>
      <c r="M182" s="1">
        <f t="shared" si="11"/>
        <v>6442809.0008864608</v>
      </c>
      <c r="N182" s="1">
        <f t="shared" si="12"/>
        <v>2173711.2448052997</v>
      </c>
      <c r="O182" s="1"/>
    </row>
    <row r="183" spans="1:15" x14ac:dyDescent="0.25">
      <c r="A183">
        <v>182</v>
      </c>
      <c r="B183">
        <v>520149.02399999998</v>
      </c>
      <c r="C183">
        <v>161257.2623</v>
      </c>
      <c r="D183">
        <v>885604.85679999995</v>
      </c>
      <c r="E183">
        <v>183543.77679999999</v>
      </c>
      <c r="F183">
        <v>1250715.973</v>
      </c>
      <c r="G183">
        <v>190068.6496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506084520.25819129</v>
      </c>
      <c r="M183" s="1">
        <f t="shared" si="11"/>
        <v>193190858.39253429</v>
      </c>
      <c r="N183" s="1">
        <f t="shared" si="12"/>
        <v>93605437.076627403</v>
      </c>
      <c r="O183" s="1"/>
    </row>
    <row r="184" spans="1:15" x14ac:dyDescent="0.25">
      <c r="A184">
        <v>183</v>
      </c>
      <c r="B184">
        <v>419907.26770000003</v>
      </c>
      <c r="C184">
        <v>83181.586890000006</v>
      </c>
      <c r="D184">
        <v>810270.24639999995</v>
      </c>
      <c r="E184">
        <v>93854.886769999997</v>
      </c>
      <c r="F184">
        <v>1214547.095</v>
      </c>
      <c r="G184">
        <v>70805.386190000005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297084542.71725667</v>
      </c>
      <c r="M184" s="1">
        <f t="shared" si="11"/>
        <v>112422407.61266421</v>
      </c>
      <c r="N184" s="1">
        <f t="shared" si="12"/>
        <v>39683134.205228619</v>
      </c>
      <c r="O184" s="1"/>
    </row>
    <row r="185" spans="1:15" x14ac:dyDescent="0.25">
      <c r="A185">
        <v>184</v>
      </c>
      <c r="B185">
        <v>531156.76379999996</v>
      </c>
      <c r="C185">
        <v>166154.41450000001</v>
      </c>
      <c r="D185">
        <v>885742.26540000003</v>
      </c>
      <c r="E185">
        <v>199985.38250000001</v>
      </c>
      <c r="F185">
        <v>1255293.19</v>
      </c>
      <c r="G185">
        <v>207356.02350000001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203965651.53667888</v>
      </c>
      <c r="M185" s="1">
        <f t="shared" si="11"/>
        <v>82335389.168920219</v>
      </c>
      <c r="N185" s="1">
        <f t="shared" si="12"/>
        <v>39943730.555343002</v>
      </c>
      <c r="O185" s="1"/>
    </row>
    <row r="186" spans="1:15" x14ac:dyDescent="0.25">
      <c r="A186">
        <v>185</v>
      </c>
      <c r="B186">
        <v>441353.17739999999</v>
      </c>
      <c r="C186">
        <v>113309.4762</v>
      </c>
      <c r="D186">
        <v>838850.5736</v>
      </c>
      <c r="E186">
        <v>123925.5469</v>
      </c>
      <c r="F186">
        <v>1224997.7320000001</v>
      </c>
      <c r="G186">
        <v>92580.968900000007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172635030.34610245</v>
      </c>
      <c r="M186" s="1">
        <f t="shared" si="11"/>
        <v>63323757.149313509</v>
      </c>
      <c r="N186" s="1">
        <f t="shared" si="12"/>
        <v>22134577.170360982</v>
      </c>
      <c r="O186" s="1"/>
    </row>
    <row r="187" spans="1:15" x14ac:dyDescent="0.25">
      <c r="A187">
        <v>186</v>
      </c>
      <c r="B187">
        <v>404581.50770000002</v>
      </c>
      <c r="C187">
        <v>45337.478609999998</v>
      </c>
      <c r="D187">
        <v>715590.88910000003</v>
      </c>
      <c r="E187">
        <v>72716.856020000007</v>
      </c>
      <c r="F187">
        <v>1179532.9909999999</v>
      </c>
      <c r="G187">
        <v>77450.649090000006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210466300.13592637</v>
      </c>
      <c r="M187" s="1">
        <f t="shared" si="11"/>
        <v>113214859.84975554</v>
      </c>
      <c r="N187" s="1">
        <f t="shared" si="12"/>
        <v>56420519.378735147</v>
      </c>
      <c r="O187" s="1"/>
    </row>
    <row r="188" spans="1:15" x14ac:dyDescent="0.25">
      <c r="A188">
        <v>187</v>
      </c>
      <c r="B188">
        <v>531248.28249999997</v>
      </c>
      <c r="C188">
        <v>65831.251690000005</v>
      </c>
      <c r="D188">
        <v>944944.00269999995</v>
      </c>
      <c r="E188">
        <v>109690.1789</v>
      </c>
      <c r="F188">
        <v>1370307.1170000001</v>
      </c>
      <c r="G188">
        <v>65913.345170000001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270568699.09632468</v>
      </c>
      <c r="M188" s="1">
        <f t="shared" si="11"/>
        <v>151201577.64174736</v>
      </c>
      <c r="N188" s="1">
        <f t="shared" si="12"/>
        <v>42511419.728146762</v>
      </c>
      <c r="O188" s="1"/>
    </row>
    <row r="189" spans="1:15" x14ac:dyDescent="0.25">
      <c r="A189">
        <v>188</v>
      </c>
      <c r="B189">
        <v>579759.68830000004</v>
      </c>
      <c r="C189">
        <v>63478.10454</v>
      </c>
      <c r="D189">
        <v>939626.61769999994</v>
      </c>
      <c r="E189">
        <v>114253.60920000001</v>
      </c>
      <c r="F189">
        <v>1342467.5919999999</v>
      </c>
      <c r="G189">
        <v>90863.907300000006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98159201.890695289</v>
      </c>
      <c r="M189" s="1">
        <f t="shared" si="11"/>
        <v>59254335.668298855</v>
      </c>
      <c r="N189" s="1">
        <f t="shared" si="12"/>
        <v>22048816.940263461</v>
      </c>
      <c r="O189" s="1"/>
    </row>
    <row r="190" spans="1:15" x14ac:dyDescent="0.25">
      <c r="A190">
        <v>189</v>
      </c>
      <c r="B190">
        <v>573563.61809999996</v>
      </c>
      <c r="C190">
        <v>24138.726279999999</v>
      </c>
      <c r="D190">
        <v>956348.83589999995</v>
      </c>
      <c r="E190">
        <v>56412.730810000001</v>
      </c>
      <c r="F190">
        <v>1342688.8049999999</v>
      </c>
      <c r="G190">
        <v>47012.914140000001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22869209.370668057</v>
      </c>
      <c r="M190" s="1">
        <f t="shared" si="11"/>
        <v>17924913.180067938</v>
      </c>
      <c r="N190" s="1">
        <f t="shared" si="12"/>
        <v>6989414.3569199825</v>
      </c>
      <c r="O190" s="1"/>
    </row>
    <row r="191" spans="1:15" x14ac:dyDescent="0.25">
      <c r="A191">
        <v>190</v>
      </c>
      <c r="B191">
        <v>532768.24300000002</v>
      </c>
      <c r="C191">
        <v>73590.386509999997</v>
      </c>
      <c r="D191">
        <v>896551.15049999999</v>
      </c>
      <c r="E191">
        <v>115744.60340000001</v>
      </c>
      <c r="F191">
        <v>1282580.7309999999</v>
      </c>
      <c r="G191">
        <v>107860.8208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72507955.006126121</v>
      </c>
      <c r="M191" s="1">
        <f t="shared" si="11"/>
        <v>38247976.228561714</v>
      </c>
      <c r="N191" s="1">
        <f t="shared" si="12"/>
        <v>16676891.707098264</v>
      </c>
      <c r="O191" s="1"/>
    </row>
    <row r="192" spans="1:15" x14ac:dyDescent="0.25">
      <c r="A192">
        <v>191</v>
      </c>
      <c r="B192">
        <v>514073.04979999998</v>
      </c>
      <c r="C192">
        <v>115300.8412</v>
      </c>
      <c r="D192">
        <v>876823.60360000003</v>
      </c>
      <c r="E192">
        <v>181700.79130000001</v>
      </c>
      <c r="F192">
        <v>1258174.6029999999</v>
      </c>
      <c r="G192">
        <v>155381.08549999999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40715923.811598599</v>
      </c>
      <c r="M192" s="1">
        <f t="shared" si="11"/>
        <v>21519480.004613012</v>
      </c>
      <c r="N192" s="1">
        <f t="shared" si="12"/>
        <v>8610270.2628932856</v>
      </c>
      <c r="O192" s="1"/>
    </row>
    <row r="193" spans="1:15" x14ac:dyDescent="0.25">
      <c r="A193">
        <v>192</v>
      </c>
      <c r="B193">
        <v>643873.63230000006</v>
      </c>
      <c r="C193">
        <v>9269.6017909999991</v>
      </c>
      <c r="D193">
        <v>1009040.7070000001</v>
      </c>
      <c r="E193">
        <v>20228.25488</v>
      </c>
      <c r="F193">
        <v>1429353.1980000001</v>
      </c>
      <c r="G193">
        <v>6107.7476290000004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8400229.319753075</v>
      </c>
      <c r="M193" s="1">
        <f t="shared" si="11"/>
        <v>6147968.2840970689</v>
      </c>
      <c r="N193" s="1">
        <f t="shared" si="12"/>
        <v>868556.27682375815</v>
      </c>
      <c r="O193" s="1"/>
    </row>
    <row r="194" spans="1:15" x14ac:dyDescent="0.25">
      <c r="A194">
        <v>193</v>
      </c>
      <c r="B194">
        <v>539487.03980000003</v>
      </c>
      <c r="C194">
        <v>26969.030350000001</v>
      </c>
      <c r="D194">
        <v>942763.63540000003</v>
      </c>
      <c r="E194">
        <v>48722.944329999998</v>
      </c>
      <c r="F194">
        <v>1335857.3759999999</v>
      </c>
      <c r="G194">
        <v>41657.143909999999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76976312.459306657</v>
      </c>
      <c r="M194" s="1">
        <f t="shared" si="11"/>
        <v>46641062.175971001</v>
      </c>
      <c r="N194" s="1">
        <f t="shared" si="12"/>
        <v>18658128.344006158</v>
      </c>
      <c r="O194" s="1"/>
    </row>
    <row r="195" spans="1:15" x14ac:dyDescent="0.25">
      <c r="A195">
        <v>194</v>
      </c>
      <c r="B195">
        <v>745287.24690000003</v>
      </c>
      <c r="C195">
        <v>1127.162086</v>
      </c>
      <c r="D195">
        <v>1133185.8160000001</v>
      </c>
      <c r="E195">
        <v>7608.5522739999997</v>
      </c>
      <c r="F195">
        <v>1511271.585</v>
      </c>
      <c r="G195">
        <v>1318.8081199999999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698948.60494354577</v>
      </c>
      <c r="M195" s="1">
        <f t="shared" ref="M195:M258" si="15">$U$3*$K195*E195</f>
        <v>1582355.4091709203</v>
      </c>
      <c r="N195" s="1">
        <f t="shared" ref="N195:N258" si="16">$U$4*$K195*G195</f>
        <v>128329.73512088737</v>
      </c>
      <c r="O195" s="1"/>
    </row>
    <row r="196" spans="1:15" x14ac:dyDescent="0.25">
      <c r="A196">
        <v>195</v>
      </c>
      <c r="B196">
        <v>617195.20539999998</v>
      </c>
      <c r="C196">
        <v>14182.495150000001</v>
      </c>
      <c r="D196">
        <v>1004056.251</v>
      </c>
      <c r="E196">
        <v>20211.023649999999</v>
      </c>
      <c r="F196">
        <v>1428525.737</v>
      </c>
      <c r="G196">
        <v>6576.7216639999997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28549229.223344862</v>
      </c>
      <c r="M196" s="1">
        <f t="shared" si="15"/>
        <v>13644989.037593789</v>
      </c>
      <c r="N196" s="1">
        <f t="shared" si="16"/>
        <v>2077485.5957681423</v>
      </c>
      <c r="O196" s="1"/>
    </row>
    <row r="197" spans="1:15" x14ac:dyDescent="0.25">
      <c r="A197">
        <v>196</v>
      </c>
      <c r="B197">
        <v>439019.63370000001</v>
      </c>
      <c r="C197">
        <v>113965.4825</v>
      </c>
      <c r="D197">
        <v>855608.03189999994</v>
      </c>
      <c r="E197">
        <v>118983.6431</v>
      </c>
      <c r="F197">
        <v>1265290.149</v>
      </c>
      <c r="G197">
        <v>80428.108600000007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743135928.60229373</v>
      </c>
      <c r="M197" s="1">
        <f t="shared" si="15"/>
        <v>260210803.91040361</v>
      </c>
      <c r="N197" s="1">
        <f t="shared" si="16"/>
        <v>82298059.669198364</v>
      </c>
      <c r="O197" s="1"/>
    </row>
    <row r="198" spans="1:15" x14ac:dyDescent="0.25">
      <c r="A198">
        <v>197</v>
      </c>
      <c r="B198">
        <v>744884.93689999997</v>
      </c>
      <c r="C198">
        <v>1127.1620270000001</v>
      </c>
      <c r="D198">
        <v>1145572.598</v>
      </c>
      <c r="E198">
        <v>8559.9275269999998</v>
      </c>
      <c r="F198">
        <v>1526475.977</v>
      </c>
      <c r="G198">
        <v>240.5971844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1763983.9131267555</v>
      </c>
      <c r="M198" s="1">
        <f t="shared" si="15"/>
        <v>4492845.6156328861</v>
      </c>
      <c r="N198" s="1">
        <f t="shared" si="16"/>
        <v>59086.141015028166</v>
      </c>
      <c r="O198" s="1"/>
    </row>
    <row r="199" spans="1:15" x14ac:dyDescent="0.25">
      <c r="A199">
        <v>198</v>
      </c>
      <c r="B199">
        <v>608295.50289999996</v>
      </c>
      <c r="C199">
        <v>21376.097600000001</v>
      </c>
      <c r="D199">
        <v>994672.05009999999</v>
      </c>
      <c r="E199">
        <v>41067.433360000003</v>
      </c>
      <c r="F199">
        <v>1422400.8419999999</v>
      </c>
      <c r="G199">
        <v>12884.415950000001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74533738.656495363</v>
      </c>
      <c r="M199" s="1">
        <f t="shared" si="15"/>
        <v>48024757.499070928</v>
      </c>
      <c r="N199" s="1">
        <f t="shared" si="16"/>
        <v>7049787.6309648855</v>
      </c>
      <c r="O199" s="1"/>
    </row>
    <row r="200" spans="1:15" x14ac:dyDescent="0.25">
      <c r="A200">
        <v>199</v>
      </c>
      <c r="B200">
        <v>419798.50959999999</v>
      </c>
      <c r="C200">
        <v>122433.5457</v>
      </c>
      <c r="D200">
        <v>855397.5355</v>
      </c>
      <c r="E200">
        <v>118082.42660000001</v>
      </c>
      <c r="F200">
        <v>1259111.142</v>
      </c>
      <c r="G200">
        <v>83408.972760000004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824485503.06617987</v>
      </c>
      <c r="M200" s="1">
        <f t="shared" si="15"/>
        <v>266692623.25180921</v>
      </c>
      <c r="N200" s="1">
        <f t="shared" si="16"/>
        <v>88141854.665907115</v>
      </c>
      <c r="O200" s="1"/>
    </row>
    <row r="201" spans="1:15" x14ac:dyDescent="0.25">
      <c r="A201">
        <v>200</v>
      </c>
      <c r="B201">
        <v>629711.44350000005</v>
      </c>
      <c r="C201" s="1">
        <v>1.15E-6</v>
      </c>
      <c r="D201">
        <v>1023370.822</v>
      </c>
      <c r="E201">
        <v>6128.5463909999999</v>
      </c>
      <c r="F201">
        <v>1415433.0819999999</v>
      </c>
      <c r="G201">
        <v>4623.6458000000002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3.3911304020602128E-3</v>
      </c>
      <c r="M201" s="1">
        <f t="shared" si="15"/>
        <v>6061041.6015471779</v>
      </c>
      <c r="N201" s="1">
        <f t="shared" si="16"/>
        <v>2139528.2351241172</v>
      </c>
      <c r="O201" s="1"/>
    </row>
    <row r="202" spans="1:15" x14ac:dyDescent="0.25">
      <c r="A202">
        <v>201</v>
      </c>
      <c r="B202">
        <v>580883.29169999994</v>
      </c>
      <c r="C202">
        <v>15346.75669</v>
      </c>
      <c r="D202">
        <v>979167.30790000001</v>
      </c>
      <c r="E202">
        <v>44577.92798</v>
      </c>
      <c r="F202">
        <v>1382153.2590000001</v>
      </c>
      <c r="G202">
        <v>28110.283780000002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95091905.846310228</v>
      </c>
      <c r="M202" s="1">
        <f t="shared" si="15"/>
        <v>92638168.248384997</v>
      </c>
      <c r="N202" s="1">
        <f t="shared" si="16"/>
        <v>27332476.850031964</v>
      </c>
      <c r="O202" s="1"/>
    </row>
    <row r="203" spans="1:15" x14ac:dyDescent="0.25">
      <c r="A203">
        <v>202</v>
      </c>
      <c r="B203">
        <v>415699.413</v>
      </c>
      <c r="C203">
        <v>178673.9613</v>
      </c>
      <c r="D203">
        <v>860464.37179999996</v>
      </c>
      <c r="E203">
        <v>149810.23389999999</v>
      </c>
      <c r="F203">
        <v>1263096.2590000001</v>
      </c>
      <c r="G203">
        <v>118387.1519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897858856.03171551</v>
      </c>
      <c r="M203" s="1">
        <f t="shared" si="15"/>
        <v>252482582.47398797</v>
      </c>
      <c r="N203" s="1">
        <f t="shared" si="16"/>
        <v>93355130.928391159</v>
      </c>
      <c r="O203" s="1"/>
    </row>
    <row r="204" spans="1:15" x14ac:dyDescent="0.25">
      <c r="A204">
        <v>205</v>
      </c>
      <c r="B204">
        <v>563691.94189999998</v>
      </c>
      <c r="C204" s="1">
        <v>-1.42E-5</v>
      </c>
      <c r="D204">
        <v>944485.76100000006</v>
      </c>
      <c r="E204">
        <v>12317.923559999999</v>
      </c>
      <c r="F204">
        <v>1333460.08</v>
      </c>
      <c r="G204">
        <v>5077.0892329999997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-1.5147615892182798E-2</v>
      </c>
      <c r="M204" s="1">
        <f t="shared" si="15"/>
        <v>4406934.3531311443</v>
      </c>
      <c r="N204" s="1">
        <f t="shared" si="16"/>
        <v>849879.88627147779</v>
      </c>
      <c r="O204" s="1"/>
    </row>
    <row r="205" spans="1:15" x14ac:dyDescent="0.25">
      <c r="A205">
        <v>206</v>
      </c>
      <c r="B205">
        <v>470594.70309999998</v>
      </c>
      <c r="C205" s="1">
        <v>7.2799999999999998E-6</v>
      </c>
      <c r="D205">
        <v>867482.14370000002</v>
      </c>
      <c r="E205">
        <v>3223.417234</v>
      </c>
      <c r="F205">
        <v>1279752.2649999999</v>
      </c>
      <c r="G205">
        <v>9108.6585739999991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1.6038866637136981E-2</v>
      </c>
      <c r="M205" s="1">
        <f t="shared" si="15"/>
        <v>2381781.7182524391</v>
      </c>
      <c r="N205" s="1">
        <f t="shared" si="16"/>
        <v>3149078.8527859743</v>
      </c>
      <c r="O205" s="1"/>
    </row>
    <row r="206" spans="1:15" x14ac:dyDescent="0.25">
      <c r="A206">
        <v>207</v>
      </c>
      <c r="B206">
        <v>334235.24349999998</v>
      </c>
      <c r="C206" s="1">
        <v>1.57E-6</v>
      </c>
      <c r="D206">
        <v>829655.38630000001</v>
      </c>
      <c r="E206">
        <v>9190.8502619999999</v>
      </c>
      <c r="F206">
        <v>1261879.8459999999</v>
      </c>
      <c r="G206">
        <v>10089.13573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9.549798740815775E-3</v>
      </c>
      <c r="M206" s="1">
        <f t="shared" si="15"/>
        <v>18749659.888758566</v>
      </c>
      <c r="N206" s="1">
        <f t="shared" si="16"/>
        <v>9630200.8823203258</v>
      </c>
      <c r="O206" s="1"/>
    </row>
    <row r="207" spans="1:15" x14ac:dyDescent="0.25">
      <c r="A207">
        <v>208</v>
      </c>
      <c r="B207">
        <v>639296.00589999999</v>
      </c>
      <c r="C207" s="1">
        <v>-4.2799999999999997E-5</v>
      </c>
      <c r="D207">
        <v>1086530.5589999999</v>
      </c>
      <c r="E207">
        <v>5753.8175469999996</v>
      </c>
      <c r="F207">
        <v>1474526.3870000001</v>
      </c>
      <c r="G207">
        <v>5247.1922400000003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-0.1375677565826447</v>
      </c>
      <c r="M207" s="1">
        <f t="shared" si="15"/>
        <v>6202576.2126674615</v>
      </c>
      <c r="N207" s="1">
        <f t="shared" si="16"/>
        <v>2646590.0579114147</v>
      </c>
      <c r="O207" s="1"/>
    </row>
    <row r="208" spans="1:15" x14ac:dyDescent="0.25">
      <c r="A208">
        <v>209</v>
      </c>
      <c r="B208">
        <v>416643.86499999999</v>
      </c>
      <c r="C208">
        <v>11020.214180000001</v>
      </c>
      <c r="D208">
        <v>899219.82</v>
      </c>
      <c r="E208">
        <v>7668.3796519999996</v>
      </c>
      <c r="F208">
        <v>1331963.4809999999</v>
      </c>
      <c r="G208">
        <v>9090.5017449999996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27361705.780717496</v>
      </c>
      <c r="M208" s="1">
        <f t="shared" si="15"/>
        <v>6385573.0352650108</v>
      </c>
      <c r="N208" s="1">
        <f t="shared" si="16"/>
        <v>3541830.7412844012</v>
      </c>
      <c r="O208" s="1"/>
    </row>
    <row r="209" spans="1:15" x14ac:dyDescent="0.25">
      <c r="A209">
        <v>210</v>
      </c>
      <c r="B209">
        <v>590325.72459999996</v>
      </c>
      <c r="C209" s="1">
        <v>-5.2100000000000001E-6</v>
      </c>
      <c r="D209">
        <v>1058987.7250000001</v>
      </c>
      <c r="E209">
        <v>15096.72357</v>
      </c>
      <c r="F209">
        <v>1471351.31</v>
      </c>
      <c r="G209">
        <v>3820.524175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-1.3953679763404517E-2</v>
      </c>
      <c r="M209" s="1">
        <f t="shared" si="15"/>
        <v>13560536.384346014</v>
      </c>
      <c r="N209" s="1">
        <f t="shared" si="16"/>
        <v>1605686.646497007</v>
      </c>
      <c r="O209" s="1"/>
    </row>
    <row r="210" spans="1:15" x14ac:dyDescent="0.25">
      <c r="A210">
        <v>211</v>
      </c>
      <c r="B210">
        <v>573895.95030000003</v>
      </c>
      <c r="C210">
        <v>8665.8564320000005</v>
      </c>
      <c r="D210">
        <v>1053177.3770000001</v>
      </c>
      <c r="E210">
        <v>18541.394410000001</v>
      </c>
      <c r="F210">
        <v>1468726.554</v>
      </c>
      <c r="G210">
        <v>1460.659555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13639141.989550631</v>
      </c>
      <c r="M210" s="1">
        <f t="shared" si="15"/>
        <v>9787259.1997744143</v>
      </c>
      <c r="N210" s="1">
        <f t="shared" si="16"/>
        <v>360754.18671271676</v>
      </c>
      <c r="O210" s="1"/>
    </row>
    <row r="211" spans="1:15" x14ac:dyDescent="0.25">
      <c r="A211">
        <v>212</v>
      </c>
      <c r="B211">
        <v>450404.78600000002</v>
      </c>
      <c r="C211" s="1">
        <v>2.2399999999999999E-5</v>
      </c>
      <c r="D211">
        <v>928431.35959999997</v>
      </c>
      <c r="E211">
        <v>15096.72357</v>
      </c>
      <c r="F211">
        <v>1362611.6769999999</v>
      </c>
      <c r="G211">
        <v>3630.4433909999998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0.133327141704848</v>
      </c>
      <c r="M211" s="1">
        <f t="shared" si="15"/>
        <v>30136748.25465627</v>
      </c>
      <c r="N211" s="1">
        <f t="shared" si="16"/>
        <v>3390916.025083459</v>
      </c>
      <c r="O211" s="1"/>
    </row>
    <row r="212" spans="1:15" x14ac:dyDescent="0.25">
      <c r="A212">
        <v>213</v>
      </c>
      <c r="B212">
        <v>421201.83020000003</v>
      </c>
      <c r="C212">
        <v>67413.149569999994</v>
      </c>
      <c r="D212">
        <v>866398.30330000003</v>
      </c>
      <c r="E212">
        <v>27984.49336</v>
      </c>
      <c r="F212">
        <v>1281586.537</v>
      </c>
      <c r="G212">
        <v>36014.251949999998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185306513.19980815</v>
      </c>
      <c r="M212" s="1">
        <f t="shared" si="15"/>
        <v>25799224.514220286</v>
      </c>
      <c r="N212" s="1">
        <f t="shared" si="16"/>
        <v>15534857.714900058</v>
      </c>
      <c r="O212" s="1"/>
    </row>
    <row r="213" spans="1:15" x14ac:dyDescent="0.25">
      <c r="A213">
        <v>214</v>
      </c>
      <c r="B213">
        <v>263222.04350000003</v>
      </c>
      <c r="C213">
        <v>211940.56589999999</v>
      </c>
      <c r="D213">
        <v>798583.83829999994</v>
      </c>
      <c r="E213">
        <v>77990.235270000005</v>
      </c>
      <c r="F213">
        <v>1180350.307</v>
      </c>
      <c r="G213">
        <v>77613.656709999996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1365508183.4001875</v>
      </c>
      <c r="M213" s="1">
        <f t="shared" si="15"/>
        <v>168524708.65316615</v>
      </c>
      <c r="N213" s="1">
        <f t="shared" si="16"/>
        <v>78470275.627791524</v>
      </c>
      <c r="O213" s="1"/>
    </row>
    <row r="214" spans="1:15" x14ac:dyDescent="0.25">
      <c r="A214">
        <v>215</v>
      </c>
      <c r="B214">
        <v>685872.31259999995</v>
      </c>
      <c r="C214">
        <v>16403.902119999999</v>
      </c>
      <c r="D214">
        <v>1140160.429</v>
      </c>
      <c r="E214">
        <v>10507.37376</v>
      </c>
      <c r="F214">
        <v>1571641.0689999999</v>
      </c>
      <c r="G214">
        <v>1953.4445659999999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67173508.969943255</v>
      </c>
      <c r="M214" s="1">
        <f t="shared" si="15"/>
        <v>14430726.107568512</v>
      </c>
      <c r="N214" s="1">
        <f t="shared" si="16"/>
        <v>1255274.6912468041</v>
      </c>
      <c r="O214" s="1"/>
    </row>
    <row r="215" spans="1:15" x14ac:dyDescent="0.25">
      <c r="A215">
        <v>216</v>
      </c>
      <c r="B215">
        <v>395633.13380000001</v>
      </c>
      <c r="C215" s="1">
        <v>1.75E-6</v>
      </c>
      <c r="D215">
        <v>891529.75109999999</v>
      </c>
      <c r="E215">
        <v>9079.5996149999992</v>
      </c>
      <c r="F215">
        <v>1345783.6669999999</v>
      </c>
      <c r="G215">
        <v>8581.5445350000009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8.1308786490181251E-3</v>
      </c>
      <c r="M215" s="1">
        <f t="shared" si="15"/>
        <v>14148463.066346897</v>
      </c>
      <c r="N215" s="1">
        <f t="shared" si="16"/>
        <v>6256791.8399942229</v>
      </c>
      <c r="O215" s="1"/>
    </row>
    <row r="216" spans="1:15" x14ac:dyDescent="0.25">
      <c r="A216">
        <v>217</v>
      </c>
      <c r="B216">
        <v>517120.9486</v>
      </c>
      <c r="C216">
        <v>20331.936829999999</v>
      </c>
      <c r="D216">
        <v>1016032.284</v>
      </c>
      <c r="E216">
        <v>20670.102019999998</v>
      </c>
      <c r="F216">
        <v>1427141.686</v>
      </c>
      <c r="G216">
        <v>2292.2963100000002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34087038.524760477</v>
      </c>
      <c r="M216" s="1">
        <f t="shared" si="15"/>
        <v>11622412.275076009</v>
      </c>
      <c r="N216" s="1">
        <f t="shared" si="16"/>
        <v>603070.50731310004</v>
      </c>
      <c r="O216" s="1"/>
    </row>
    <row r="217" spans="1:15" x14ac:dyDescent="0.25">
      <c r="A217">
        <v>218</v>
      </c>
      <c r="B217">
        <v>432414.26069999998</v>
      </c>
      <c r="C217">
        <v>3946.3275159999998</v>
      </c>
      <c r="D217">
        <v>912218.92359999998</v>
      </c>
      <c r="E217">
        <v>17374.74568</v>
      </c>
      <c r="F217">
        <v>1348244.6</v>
      </c>
      <c r="G217">
        <v>1557.7516049999999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12864108.034585264</v>
      </c>
      <c r="M217" s="1">
        <f t="shared" si="15"/>
        <v>18995387.016510159</v>
      </c>
      <c r="N217" s="1">
        <f t="shared" si="16"/>
        <v>796840.82337517082</v>
      </c>
      <c r="O217" s="1"/>
    </row>
    <row r="218" spans="1:15" x14ac:dyDescent="0.25">
      <c r="A218">
        <v>219</v>
      </c>
      <c r="B218">
        <v>433588.02720000001</v>
      </c>
      <c r="C218">
        <v>15382.94526</v>
      </c>
      <c r="D218">
        <v>887833.22770000005</v>
      </c>
      <c r="E218">
        <v>12249.21103</v>
      </c>
      <c r="F218">
        <v>1309968.9439999999</v>
      </c>
      <c r="G218">
        <v>5051.8045810000003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72576908.279831633</v>
      </c>
      <c r="M218" s="1">
        <f t="shared" si="15"/>
        <v>19382519.195713639</v>
      </c>
      <c r="N218" s="1">
        <f t="shared" si="16"/>
        <v>3740178.4754422321</v>
      </c>
      <c r="O218" s="1"/>
    </row>
    <row r="219" spans="1:15" x14ac:dyDescent="0.25">
      <c r="A219">
        <v>220</v>
      </c>
      <c r="B219">
        <v>324633.54479999997</v>
      </c>
      <c r="C219">
        <v>180071.59090000001</v>
      </c>
      <c r="D219">
        <v>806126.68720000004</v>
      </c>
      <c r="E219">
        <v>83920.619510000004</v>
      </c>
      <c r="F219">
        <v>1198479.8529999999</v>
      </c>
      <c r="G219">
        <v>81405.473809999996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536300449.87603003</v>
      </c>
      <c r="M219" s="1">
        <f t="shared" si="15"/>
        <v>83825234.673246011</v>
      </c>
      <c r="N219" s="1">
        <f t="shared" si="16"/>
        <v>38045507.643027842</v>
      </c>
      <c r="O219" s="1"/>
    </row>
    <row r="220" spans="1:15" x14ac:dyDescent="0.25">
      <c r="A220">
        <v>221</v>
      </c>
      <c r="B220">
        <v>143340.44750000001</v>
      </c>
      <c r="C220">
        <v>177587.82920000001</v>
      </c>
      <c r="D220">
        <v>721273.96349999995</v>
      </c>
      <c r="E220">
        <v>66159.57978</v>
      </c>
      <c r="F220">
        <v>1045809.287</v>
      </c>
      <c r="G220">
        <v>99436.382029999993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335607466.81505138</v>
      </c>
      <c r="M220" s="1">
        <f t="shared" si="15"/>
        <v>41932841.373950437</v>
      </c>
      <c r="N220" s="1">
        <f t="shared" si="16"/>
        <v>29488354.952916525</v>
      </c>
      <c r="O220" s="1"/>
    </row>
    <row r="221" spans="1:15" x14ac:dyDescent="0.25">
      <c r="A221">
        <v>222</v>
      </c>
      <c r="B221">
        <v>433501.27429999999</v>
      </c>
      <c r="C221">
        <v>4608.8313479999997</v>
      </c>
      <c r="D221">
        <v>913641.94559999998</v>
      </c>
      <c r="E221">
        <v>18522.678950000001</v>
      </c>
      <c r="F221">
        <v>1351069.3970000001</v>
      </c>
      <c r="G221">
        <v>3479.3121160000001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14934707.000614913</v>
      </c>
      <c r="M221" s="1">
        <f t="shared" si="15"/>
        <v>20130419.56832115</v>
      </c>
      <c r="N221" s="1">
        <f t="shared" si="16"/>
        <v>1769237.3337005761</v>
      </c>
      <c r="O221" s="1"/>
    </row>
    <row r="222" spans="1:15" x14ac:dyDescent="0.25">
      <c r="A222">
        <v>223</v>
      </c>
      <c r="B222">
        <v>58253.439870000002</v>
      </c>
      <c r="C222" s="1">
        <v>6.0999999999999998E-7</v>
      </c>
      <c r="D222">
        <v>679660.28099999996</v>
      </c>
      <c r="E222">
        <v>18404.315350000001</v>
      </c>
      <c r="F222">
        <v>1153734.2279999999</v>
      </c>
      <c r="G222">
        <v>13202.220600000001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8.4343989725134752E-4</v>
      </c>
      <c r="M222" s="1">
        <f t="shared" si="15"/>
        <v>8534677.3740661219</v>
      </c>
      <c r="N222" s="1">
        <f t="shared" si="16"/>
        <v>2864561.2050644886</v>
      </c>
      <c r="O222" s="1"/>
    </row>
    <row r="223" spans="1:15" x14ac:dyDescent="0.25">
      <c r="A223">
        <v>224</v>
      </c>
      <c r="B223">
        <v>503984.79830000002</v>
      </c>
      <c r="C223" s="1">
        <v>-1.33E-5</v>
      </c>
      <c r="D223">
        <v>1004836.806</v>
      </c>
      <c r="E223">
        <v>16106.72927</v>
      </c>
      <c r="F223">
        <v>1432453.6950000001</v>
      </c>
      <c r="G223">
        <v>3432.921558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-4.4851158253537998E-2</v>
      </c>
      <c r="M223" s="1">
        <f t="shared" si="15"/>
        <v>18216817.932790566</v>
      </c>
      <c r="N223" s="1">
        <f t="shared" si="16"/>
        <v>1816656.0813329907</v>
      </c>
      <c r="O223" s="1"/>
    </row>
    <row r="224" spans="1:15" x14ac:dyDescent="0.25">
      <c r="A224">
        <v>225</v>
      </c>
      <c r="B224">
        <v>78841.585590000002</v>
      </c>
      <c r="C224" s="1">
        <v>1.61E-6</v>
      </c>
      <c r="D224">
        <v>711902.12679999997</v>
      </c>
      <c r="E224">
        <v>19475.528350000001</v>
      </c>
      <c r="F224">
        <v>1146856.064</v>
      </c>
      <c r="G224">
        <v>19036.634849999999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7.1790081559377997E-3</v>
      </c>
      <c r="M224" s="1">
        <f t="shared" si="15"/>
        <v>29125336.79575235</v>
      </c>
      <c r="N224" s="1">
        <f t="shared" si="16"/>
        <v>13320347.824821306</v>
      </c>
      <c r="O224" s="1"/>
    </row>
    <row r="225" spans="1:15" x14ac:dyDescent="0.25">
      <c r="A225">
        <v>226</v>
      </c>
      <c r="B225">
        <v>90553.539789999995</v>
      </c>
      <c r="C225" s="1">
        <v>-1.95E-6</v>
      </c>
      <c r="D225">
        <v>541348.47629999998</v>
      </c>
      <c r="E225">
        <v>17231.615829999999</v>
      </c>
      <c r="F225">
        <v>935771.42350000003</v>
      </c>
      <c r="G225">
        <v>19486.012890000002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-1.0191356256236999E-2</v>
      </c>
      <c r="M225" s="1">
        <f t="shared" si="15"/>
        <v>30204142.64546207</v>
      </c>
      <c r="N225" s="1">
        <f t="shared" si="16"/>
        <v>15981118.5296354</v>
      </c>
      <c r="O225" s="1"/>
    </row>
    <row r="226" spans="1:15" x14ac:dyDescent="0.25">
      <c r="A226">
        <v>227</v>
      </c>
      <c r="B226">
        <v>208498.3518</v>
      </c>
      <c r="C226">
        <v>594.9463538</v>
      </c>
      <c r="D226">
        <v>642340.67420000001</v>
      </c>
      <c r="E226">
        <v>46427.316279999999</v>
      </c>
      <c r="F226">
        <v>1052352.6129999999</v>
      </c>
      <c r="G226">
        <v>59604.925280000003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7719621.6681848355</v>
      </c>
      <c r="M226" s="1">
        <f t="shared" si="15"/>
        <v>202038867.88118824</v>
      </c>
      <c r="N226" s="1">
        <f t="shared" si="16"/>
        <v>121363242.81206056</v>
      </c>
      <c r="O226" s="1"/>
    </row>
    <row r="227" spans="1:15" x14ac:dyDescent="0.25">
      <c r="A227">
        <v>228</v>
      </c>
      <c r="B227">
        <v>218467.32519999999</v>
      </c>
      <c r="C227">
        <v>38916.933689999998</v>
      </c>
      <c r="D227">
        <v>658704.73389999999</v>
      </c>
      <c r="E227">
        <v>49379.42527</v>
      </c>
      <c r="F227">
        <v>1069946.9339999999</v>
      </c>
      <c r="G227">
        <v>54444.172380000004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620025665.86171639</v>
      </c>
      <c r="M227" s="1">
        <f t="shared" si="15"/>
        <v>263851896.93983328</v>
      </c>
      <c r="N227" s="1">
        <f t="shared" si="16"/>
        <v>136116028.33206573</v>
      </c>
      <c r="O227" s="1"/>
    </row>
    <row r="228" spans="1:15" x14ac:dyDescent="0.25">
      <c r="A228">
        <v>229</v>
      </c>
      <c r="B228">
        <v>164668.56630000001</v>
      </c>
      <c r="C228">
        <v>11226.1708</v>
      </c>
      <c r="D228">
        <v>611497.58909999998</v>
      </c>
      <c r="E228">
        <v>21311.09636</v>
      </c>
      <c r="F228">
        <v>1032709.1139999999</v>
      </c>
      <c r="G228">
        <v>24477.759989999999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114945332.14488916</v>
      </c>
      <c r="M228" s="1">
        <f t="shared" si="15"/>
        <v>73182732.946576059</v>
      </c>
      <c r="N228" s="1">
        <f t="shared" si="16"/>
        <v>39329477.91077473</v>
      </c>
      <c r="O228" s="1"/>
    </row>
    <row r="229" spans="1:15" x14ac:dyDescent="0.25">
      <c r="A229">
        <v>230</v>
      </c>
      <c r="B229">
        <v>75715.346449999997</v>
      </c>
      <c r="C229" s="1">
        <v>-2.48E-7</v>
      </c>
      <c r="D229">
        <v>561528.50349999999</v>
      </c>
      <c r="E229">
        <v>1345.0133510000001</v>
      </c>
      <c r="F229">
        <v>915157.17830000003</v>
      </c>
      <c r="G229">
        <v>3808.2705850000002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-2.1319540020131597E-3</v>
      </c>
      <c r="M229" s="1">
        <f t="shared" si="15"/>
        <v>3877893.5361090358</v>
      </c>
      <c r="N229" s="1">
        <f t="shared" si="16"/>
        <v>5137369.0252658455</v>
      </c>
      <c r="O229" s="1"/>
    </row>
    <row r="230" spans="1:15" x14ac:dyDescent="0.25">
      <c r="A230">
        <v>231</v>
      </c>
      <c r="B230">
        <v>161914.2738</v>
      </c>
      <c r="C230" s="1">
        <v>4.5399999999999999E-5</v>
      </c>
      <c r="D230">
        <v>699212.45039999997</v>
      </c>
      <c r="E230" s="1">
        <v>3.5999999999999998E-6</v>
      </c>
      <c r="F230">
        <v>1036218.785</v>
      </c>
      <c r="G230">
        <v>5108.9452080000001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0.25561417355407051</v>
      </c>
      <c r="M230" s="1">
        <f t="shared" si="15"/>
        <v>6.7978991326748395E-3</v>
      </c>
      <c r="N230" s="1">
        <f t="shared" si="16"/>
        <v>4513850.1633936558</v>
      </c>
      <c r="O230" s="1"/>
    </row>
    <row r="231" spans="1:15" x14ac:dyDescent="0.25">
      <c r="A231">
        <v>232</v>
      </c>
      <c r="B231">
        <v>237218.9607</v>
      </c>
      <c r="C231" s="1">
        <v>2.6100000000000001E-5</v>
      </c>
      <c r="D231">
        <v>714453.29779999994</v>
      </c>
      <c r="E231" s="1">
        <v>-3.6300000000000001E-5</v>
      </c>
      <c r="F231">
        <v>1051640.0249999999</v>
      </c>
      <c r="G231">
        <v>5108.9452080000001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0.197601660782838</v>
      </c>
      <c r="M231" s="1">
        <f t="shared" si="15"/>
        <v>-9.2172176978420881E-2</v>
      </c>
      <c r="N231" s="1">
        <f t="shared" si="16"/>
        <v>6069712.815256753</v>
      </c>
      <c r="O231" s="1"/>
    </row>
    <row r="232" spans="1:15" x14ac:dyDescent="0.25">
      <c r="A232">
        <v>233</v>
      </c>
      <c r="B232">
        <v>210765.98149999999</v>
      </c>
      <c r="C232" s="1">
        <v>3.2700000000000002E-5</v>
      </c>
      <c r="D232">
        <v>712997.05429999996</v>
      </c>
      <c r="E232">
        <v>7538.6943739999997</v>
      </c>
      <c r="F232">
        <v>1090560.193</v>
      </c>
      <c r="G232">
        <v>5346.0729229999997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0.27788802429854703</v>
      </c>
      <c r="M232" s="1">
        <f t="shared" si="15"/>
        <v>21486286.003912117</v>
      </c>
      <c r="N232" s="1">
        <f t="shared" si="16"/>
        <v>7129248.8128675446</v>
      </c>
      <c r="O232" s="1"/>
    </row>
    <row r="233" spans="1:15" x14ac:dyDescent="0.25">
      <c r="A233">
        <v>236</v>
      </c>
      <c r="B233">
        <v>140646.4762</v>
      </c>
      <c r="C233" s="1">
        <v>4.3999999999999999E-5</v>
      </c>
      <c r="D233">
        <v>686204.73910000001</v>
      </c>
      <c r="E233">
        <v>665.59331210000005</v>
      </c>
      <c r="F233">
        <v>1027487.201</v>
      </c>
      <c r="G233">
        <v>6751.4338239999997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0.96777391174034999</v>
      </c>
      <c r="M233" s="1">
        <f t="shared" si="15"/>
        <v>4909907.6166039417</v>
      </c>
      <c r="N233" s="1">
        <f t="shared" si="16"/>
        <v>23302583.049450215</v>
      </c>
      <c r="O233" s="1"/>
    </row>
    <row r="234" spans="1:15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-2.94E-5</v>
      </c>
      <c r="F234">
        <v>972521.37930000003</v>
      </c>
      <c r="G234">
        <v>3223.4172060000001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2.9064530009111997E-2</v>
      </c>
      <c r="M234" s="1">
        <f t="shared" si="15"/>
        <v>-6.9898831420037749E-2</v>
      </c>
      <c r="N234" s="1">
        <f t="shared" si="16"/>
        <v>3585772.9169976907</v>
      </c>
      <c r="O234" s="1"/>
    </row>
    <row r="235" spans="1:15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 s="1">
        <v>3.8099999999999998E-5</v>
      </c>
      <c r="F235">
        <v>990812.9277</v>
      </c>
      <c r="G235">
        <v>4697.1448620000001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6.2979577098359997E-3</v>
      </c>
      <c r="M235" s="1">
        <f t="shared" si="15"/>
        <v>5.0297670333034471E-2</v>
      </c>
      <c r="N235" s="1">
        <f t="shared" si="16"/>
        <v>2901352.7011352354</v>
      </c>
      <c r="O235" s="1"/>
    </row>
    <row r="236" spans="1:15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>
        <v>16403.90209</v>
      </c>
      <c r="F236">
        <v>1282980.9709999999</v>
      </c>
      <c r="G236">
        <v>11367.26353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0.110993193734592</v>
      </c>
      <c r="M236" s="1">
        <f t="shared" si="15"/>
        <v>29357787.220706016</v>
      </c>
      <c r="N236" s="1">
        <f t="shared" si="16"/>
        <v>9518658.7343328483</v>
      </c>
      <c r="O236" s="1"/>
    </row>
    <row r="237" spans="1:15" x14ac:dyDescent="0.25">
      <c r="A237">
        <v>240</v>
      </c>
      <c r="B237">
        <v>549104.14610000001</v>
      </c>
      <c r="C237" s="1">
        <v>9.4700000000000008E-6</v>
      </c>
      <c r="D237">
        <v>1031867.723</v>
      </c>
      <c r="E237">
        <v>13577.281429999999</v>
      </c>
      <c r="F237">
        <v>1438010.067</v>
      </c>
      <c r="G237">
        <v>8224.4507830000002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3.1186891575655729E-2</v>
      </c>
      <c r="M237" s="1">
        <f t="shared" si="15"/>
        <v>14996091.046902299</v>
      </c>
      <c r="N237" s="1">
        <f t="shared" si="16"/>
        <v>4250263.2756967368</v>
      </c>
      <c r="O237" s="1"/>
    </row>
    <row r="238" spans="1:15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 s="1">
        <v>-3.5299999999999997E-5</v>
      </c>
      <c r="F238">
        <v>1112541.929</v>
      </c>
      <c r="G238">
        <v>13704.698350000001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5.7101429345941517E-3</v>
      </c>
      <c r="M238" s="1">
        <f t="shared" si="15"/>
        <v>-5.9300720565284508E-2</v>
      </c>
      <c r="N238" s="1">
        <f t="shared" si="16"/>
        <v>10772051.576663503</v>
      </c>
      <c r="O238" s="1"/>
    </row>
    <row r="239" spans="1:15" x14ac:dyDescent="0.25">
      <c r="A239">
        <v>242</v>
      </c>
      <c r="B239">
        <v>192899.9613</v>
      </c>
      <c r="C239" s="1">
        <v>-3.3099999999999998E-5</v>
      </c>
      <c r="D239">
        <v>754482.21010000003</v>
      </c>
      <c r="E239">
        <v>64.519512300000002</v>
      </c>
      <c r="F239">
        <v>1168448.0589999999</v>
      </c>
      <c r="G239">
        <v>6130.8030689999996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-0.19616904759627174</v>
      </c>
      <c r="M239" s="1">
        <f t="shared" si="15"/>
        <v>128243.89583454303</v>
      </c>
      <c r="N239" s="1">
        <f t="shared" si="16"/>
        <v>5701730.304564028</v>
      </c>
      <c r="O239" s="1"/>
    </row>
    <row r="240" spans="1:15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>
        <v>9866.8134059999993</v>
      </c>
      <c r="F240">
        <v>1214351.2549999999</v>
      </c>
      <c r="G240">
        <v>9860.1689170000009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-2.0968013135409601E-2</v>
      </c>
      <c r="M240" s="1">
        <f t="shared" si="15"/>
        <v>11449979.470971894</v>
      </c>
      <c r="N240" s="1">
        <f t="shared" si="16"/>
        <v>5353722.1222745301</v>
      </c>
      <c r="O240" s="1"/>
    </row>
    <row r="241" spans="1:15" x14ac:dyDescent="0.25">
      <c r="A241">
        <v>244</v>
      </c>
      <c r="B241">
        <v>545795.65090000001</v>
      </c>
      <c r="C241" s="1">
        <v>1.84E-5</v>
      </c>
      <c r="D241">
        <v>1026367.024</v>
      </c>
      <c r="E241">
        <v>13577.28111</v>
      </c>
      <c r="F241">
        <v>1435883.8049999999</v>
      </c>
      <c r="G241">
        <v>8224.4507830000002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2.81399802460322E-2</v>
      </c>
      <c r="M241" s="1">
        <f t="shared" si="15"/>
        <v>6964050.5055342214</v>
      </c>
      <c r="N241" s="1">
        <f t="shared" si="16"/>
        <v>1973784.2827712854</v>
      </c>
      <c r="O241" s="1"/>
    </row>
    <row r="242" spans="1:15" x14ac:dyDescent="0.25">
      <c r="A242">
        <v>245</v>
      </c>
      <c r="B242">
        <v>307154.05619999999</v>
      </c>
      <c r="C242" s="1">
        <v>-2.7699999999999999E-5</v>
      </c>
      <c r="D242">
        <v>814966.17870000005</v>
      </c>
      <c r="E242">
        <v>8665.8564999999999</v>
      </c>
      <c r="F242">
        <v>1247363.5049999999</v>
      </c>
      <c r="G242">
        <v>9627.8448540000009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-0.27292301273115455</v>
      </c>
      <c r="M242" s="1">
        <f t="shared" si="15"/>
        <v>28636175.658147022</v>
      </c>
      <c r="N242" s="1">
        <f t="shared" si="16"/>
        <v>14885940.750541845</v>
      </c>
      <c r="O242" s="1"/>
    </row>
    <row r="243" spans="1:15" x14ac:dyDescent="0.25">
      <c r="A243">
        <v>246</v>
      </c>
      <c r="B243">
        <v>258574.82550000001</v>
      </c>
      <c r="C243">
        <v>0</v>
      </c>
      <c r="D243">
        <v>816831.12269999995</v>
      </c>
      <c r="E243">
        <v>8665.8564860000006</v>
      </c>
      <c r="F243">
        <v>1226550.5</v>
      </c>
      <c r="G243">
        <v>6804.0341539999999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0</v>
      </c>
      <c r="M243" s="1">
        <f t="shared" si="15"/>
        <v>14192735.824448489</v>
      </c>
      <c r="N243" s="1">
        <f t="shared" si="16"/>
        <v>5213925.1204928383</v>
      </c>
      <c r="O243" s="1"/>
    </row>
    <row r="244" spans="1:15" x14ac:dyDescent="0.25">
      <c r="A244">
        <v>247</v>
      </c>
      <c r="B244">
        <v>321713.114</v>
      </c>
      <c r="C244" s="1">
        <v>1.6900000000000001E-5</v>
      </c>
      <c r="D244">
        <v>821737.25390000001</v>
      </c>
      <c r="E244">
        <v>8665.8564549999992</v>
      </c>
      <c r="F244">
        <v>1264659.6440000001</v>
      </c>
      <c r="G244">
        <v>10052.557709999999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6.9651113925594504E-2</v>
      </c>
      <c r="M244" s="1">
        <f t="shared" si="15"/>
        <v>11978322.169849034</v>
      </c>
      <c r="N244" s="1">
        <f t="shared" si="16"/>
        <v>6501368.039589256</v>
      </c>
      <c r="O244" s="1"/>
    </row>
    <row r="245" spans="1:15" x14ac:dyDescent="0.25">
      <c r="A245">
        <v>248</v>
      </c>
      <c r="B245">
        <v>360390.43219999998</v>
      </c>
      <c r="C245" s="1">
        <v>4.1199999999999999E-5</v>
      </c>
      <c r="D245">
        <v>846876.51749999996</v>
      </c>
      <c r="E245">
        <v>15722.995779999999</v>
      </c>
      <c r="F245">
        <v>1289923.8529999999</v>
      </c>
      <c r="G245">
        <v>11170.616410000001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0.22035516084059403</v>
      </c>
      <c r="M245" s="1">
        <f t="shared" si="15"/>
        <v>28203593.411185142</v>
      </c>
      <c r="N245" s="1">
        <f t="shared" si="16"/>
        <v>9375403.4175818209</v>
      </c>
      <c r="O245" s="1"/>
    </row>
    <row r="246" spans="1:15" x14ac:dyDescent="0.25">
      <c r="A246">
        <v>249</v>
      </c>
      <c r="B246">
        <v>364607.7169</v>
      </c>
      <c r="C246" s="1">
        <v>-1.15E-5</v>
      </c>
      <c r="D246">
        <v>863023.20479999995</v>
      </c>
      <c r="E246">
        <v>8184.3014270000003</v>
      </c>
      <c r="F246">
        <v>1295520.952</v>
      </c>
      <c r="G246">
        <v>11183.97904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-7.3452182841488758E-2</v>
      </c>
      <c r="M246" s="1">
        <f t="shared" si="15"/>
        <v>17532006.348681975</v>
      </c>
      <c r="N246" s="1">
        <f t="shared" si="16"/>
        <v>11209597.683054008</v>
      </c>
      <c r="O246" s="1"/>
    </row>
    <row r="247" spans="1:15" x14ac:dyDescent="0.25">
      <c r="A247">
        <v>250</v>
      </c>
      <c r="B247">
        <v>126703.47380000001</v>
      </c>
      <c r="C247" s="1">
        <v>-2.1299999999999999E-5</v>
      </c>
      <c r="D247">
        <v>741702.57449999999</v>
      </c>
      <c r="E247">
        <v>1127.1620800000001</v>
      </c>
      <c r="F247">
        <v>1176518.0619999999</v>
      </c>
      <c r="G247">
        <v>7227.4297729999998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-7.7637171780031503E-2</v>
      </c>
      <c r="M247" s="1">
        <f t="shared" si="15"/>
        <v>1377906.0580931515</v>
      </c>
      <c r="N247" s="1">
        <f t="shared" si="16"/>
        <v>4133907.9158599162</v>
      </c>
      <c r="O247" s="1"/>
    </row>
    <row r="248" spans="1:15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 s="1">
        <v>-4.4299999999999999E-5</v>
      </c>
      <c r="F248">
        <v>1139335.8459999999</v>
      </c>
      <c r="G248">
        <v>6401.7007789999998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2.7280844030752E-2</v>
      </c>
      <c r="M248" s="1">
        <f t="shared" si="15"/>
        <v>-0.15833054275395697</v>
      </c>
      <c r="N248" s="1">
        <f t="shared" si="16"/>
        <v>10705329.116172563</v>
      </c>
      <c r="O248" s="1"/>
    </row>
    <row r="249" spans="1:15" x14ac:dyDescent="0.25">
      <c r="A249">
        <v>252</v>
      </c>
      <c r="B249">
        <v>110316.3572</v>
      </c>
      <c r="C249">
        <v>0</v>
      </c>
      <c r="D249">
        <v>626661.26399999997</v>
      </c>
      <c r="E249" s="1">
        <v>2.51E-5</v>
      </c>
      <c r="F249">
        <v>976513.24979999999</v>
      </c>
      <c r="G249">
        <v>10717.45392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0</v>
      </c>
      <c r="M249" s="1">
        <f t="shared" si="15"/>
        <v>3.344529882299957E-2</v>
      </c>
      <c r="N249" s="1">
        <f t="shared" si="16"/>
        <v>6681849.0799307488</v>
      </c>
      <c r="O249" s="1"/>
    </row>
    <row r="250" spans="1:15" x14ac:dyDescent="0.25">
      <c r="A250">
        <v>253</v>
      </c>
      <c r="B250">
        <v>57746.273459999997</v>
      </c>
      <c r="C250" s="1">
        <v>-4.6E-6</v>
      </c>
      <c r="D250">
        <v>678978.64760000003</v>
      </c>
      <c r="E250">
        <v>10957.445110000001</v>
      </c>
      <c r="F250">
        <v>1098176.0260000001</v>
      </c>
      <c r="G250">
        <v>12589.20484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-1.21320941724658E-2</v>
      </c>
      <c r="M250" s="1">
        <f t="shared" si="15"/>
        <v>9692378.8629376553</v>
      </c>
      <c r="N250" s="1">
        <f t="shared" si="16"/>
        <v>5210303.9146772278</v>
      </c>
      <c r="O250" s="1"/>
    </row>
    <row r="251" spans="1:15" x14ac:dyDescent="0.25">
      <c r="A251">
        <v>254</v>
      </c>
      <c r="B251">
        <v>452590.24739999999</v>
      </c>
      <c r="C251" s="1">
        <v>-2.5899999999999999E-5</v>
      </c>
      <c r="D251">
        <v>900877.53769999999</v>
      </c>
      <c r="E251">
        <v>8865.2076450000004</v>
      </c>
      <c r="F251">
        <v>1333610.226</v>
      </c>
      <c r="G251">
        <v>9156.9909989999996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-7.015021500535458E-2</v>
      </c>
      <c r="M251" s="1">
        <f t="shared" si="15"/>
        <v>8053066.6157007515</v>
      </c>
      <c r="N251" s="1">
        <f t="shared" si="16"/>
        <v>3891964.2716340101</v>
      </c>
      <c r="O251" s="1"/>
    </row>
    <row r="252" spans="1:15" x14ac:dyDescent="0.25">
      <c r="A252">
        <v>255</v>
      </c>
      <c r="B252">
        <v>322396.67940000002</v>
      </c>
      <c r="C252" s="1">
        <v>3.8600000000000003E-5</v>
      </c>
      <c r="D252">
        <v>840665.87679999997</v>
      </c>
      <c r="E252">
        <v>8865.2076219999999</v>
      </c>
      <c r="F252">
        <v>1283212.915</v>
      </c>
      <c r="G252">
        <v>11367.26353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0.12339630268059383</v>
      </c>
      <c r="M252" s="1">
        <f t="shared" si="15"/>
        <v>9504885.5235167406</v>
      </c>
      <c r="N252" s="1">
        <f t="shared" si="16"/>
        <v>5702398.7924348917</v>
      </c>
      <c r="O252" s="1"/>
    </row>
    <row r="253" spans="1:15" x14ac:dyDescent="0.25">
      <c r="A253">
        <v>256</v>
      </c>
      <c r="B253">
        <v>191964.511</v>
      </c>
      <c r="C253" s="1">
        <v>-4.88E-5</v>
      </c>
      <c r="D253">
        <v>793542.77969999996</v>
      </c>
      <c r="E253">
        <v>9447.9096439999994</v>
      </c>
      <c r="F253">
        <v>1223839.54</v>
      </c>
      <c r="G253">
        <v>12784.32374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-0.34028460967729801</v>
      </c>
      <c r="M253" s="1">
        <f t="shared" si="15"/>
        <v>22095373.818207201</v>
      </c>
      <c r="N253" s="1">
        <f t="shared" si="16"/>
        <v>13989012.566617899</v>
      </c>
      <c r="O253" s="1"/>
    </row>
    <row r="254" spans="1:15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>
        <v>12339.04572</v>
      </c>
      <c r="F254">
        <v>1161602.848</v>
      </c>
      <c r="G254">
        <v>7765.348688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1.0054141449189825E-2</v>
      </c>
      <c r="M254" s="1">
        <f t="shared" si="15"/>
        <v>20700157.21521949</v>
      </c>
      <c r="N254" s="1">
        <f t="shared" si="16"/>
        <v>6095322.8008925589</v>
      </c>
      <c r="O254" s="1"/>
    </row>
    <row r="255" spans="1:15" x14ac:dyDescent="0.25">
      <c r="A255">
        <v>258</v>
      </c>
      <c r="B255">
        <v>204693.90100000001</v>
      </c>
      <c r="C255">
        <v>127746.10030000001</v>
      </c>
      <c r="D255">
        <v>806926.60959999997</v>
      </c>
      <c r="E255">
        <v>49336.761310000002</v>
      </c>
      <c r="F255">
        <v>1234967.7509999999</v>
      </c>
      <c r="G255">
        <v>8965.2978590000002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1384697386.8821073</v>
      </c>
      <c r="M255" s="1">
        <f t="shared" si="15"/>
        <v>179358100.26534146</v>
      </c>
      <c r="N255" s="1">
        <f t="shared" si="16"/>
        <v>15249610.785769405</v>
      </c>
      <c r="O255" s="1"/>
    </row>
    <row r="256" spans="1:15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>
        <v>8665.856452</v>
      </c>
      <c r="F256">
        <v>1171257.8030000001</v>
      </c>
      <c r="G256">
        <v>7929.2954570000002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2.0526189442324479E-2</v>
      </c>
      <c r="M256" s="1">
        <f t="shared" si="15"/>
        <v>13466639.501509193</v>
      </c>
      <c r="N256" s="1">
        <f t="shared" si="16"/>
        <v>5765354.5792129096</v>
      </c>
      <c r="O256" s="1"/>
    </row>
    <row r="257" spans="1:15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17469.211459999999</v>
      </c>
      <c r="F257">
        <v>1139219.7320000001</v>
      </c>
      <c r="G257">
        <v>10793.64668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2.5294931798047603E-2</v>
      </c>
      <c r="M257" s="1">
        <f t="shared" si="15"/>
        <v>36683315.960894518</v>
      </c>
      <c r="N257" s="1">
        <f t="shared" si="16"/>
        <v>10604914.23287431</v>
      </c>
      <c r="O257" s="1"/>
    </row>
    <row r="258" spans="1:15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>
        <v>7533.9787560000004</v>
      </c>
      <c r="F258">
        <v>1058755.425</v>
      </c>
      <c r="G258">
        <v>16959.794249999999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2.5667784520228505E-2</v>
      </c>
      <c r="M258" s="1">
        <f t="shared" si="15"/>
        <v>19075546.804072037</v>
      </c>
      <c r="N258" s="1">
        <f t="shared" si="16"/>
        <v>20091708.19921894</v>
      </c>
      <c r="O258" s="1"/>
    </row>
    <row r="259" spans="1:15" x14ac:dyDescent="0.25">
      <c r="A259">
        <v>262</v>
      </c>
      <c r="B259">
        <v>94947.286030000003</v>
      </c>
      <c r="C259">
        <v>53985.112159999997</v>
      </c>
      <c r="D259">
        <v>720876.80610000005</v>
      </c>
      <c r="E259">
        <v>52402.236440000001</v>
      </c>
      <c r="F259">
        <v>1092001.7069999999</v>
      </c>
      <c r="G259">
        <v>44326.661610000003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537010593.77341652</v>
      </c>
      <c r="M259" s="1">
        <f t="shared" ref="M259:M322" si="19">$U$3*$K259*E259</f>
        <v>174824302.63824004</v>
      </c>
      <c r="N259" s="1">
        <f t="shared" ref="N259:N322" si="20">$U$4*$K259*G259</f>
        <v>69192764.840118602</v>
      </c>
      <c r="O259" s="1"/>
    </row>
    <row r="260" spans="1:15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>
        <v>46575.52536</v>
      </c>
      <c r="F260">
        <v>1005716.439</v>
      </c>
      <c r="G260">
        <v>37561.016239999997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2.3215832639116002E-2</v>
      </c>
      <c r="M260" s="1">
        <f t="shared" si="19"/>
        <v>139479960.47360504</v>
      </c>
      <c r="N260" s="1">
        <f t="shared" si="20"/>
        <v>52630205.450805753</v>
      </c>
      <c r="O260" s="1"/>
    </row>
    <row r="261" spans="1:15" x14ac:dyDescent="0.25">
      <c r="A261">
        <v>264</v>
      </c>
      <c r="B261">
        <v>337505.43310000002</v>
      </c>
      <c r="C261">
        <v>144353.66250000001</v>
      </c>
      <c r="D261">
        <v>825189.86199999996</v>
      </c>
      <c r="E261">
        <v>57229.333599999998</v>
      </c>
      <c r="F261">
        <v>1245265.625</v>
      </c>
      <c r="G261">
        <v>34444.58064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1050126145.1544709</v>
      </c>
      <c r="M261" s="1">
        <f t="shared" si="19"/>
        <v>139628955.72341818</v>
      </c>
      <c r="N261" s="1">
        <f t="shared" si="20"/>
        <v>39320712.695113726</v>
      </c>
      <c r="O261" s="1"/>
    </row>
    <row r="262" spans="1:15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>
        <v>9177.6645239999998</v>
      </c>
      <c r="F262">
        <v>1027556.211</v>
      </c>
      <c r="G262">
        <v>9481.1383829999995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-3.98738725613592E-2</v>
      </c>
      <c r="M262" s="1">
        <f t="shared" si="19"/>
        <v>73055757.866037145</v>
      </c>
      <c r="N262" s="1">
        <f t="shared" si="20"/>
        <v>35312334.953549474</v>
      </c>
      <c r="O262" s="1"/>
    </row>
    <row r="263" spans="1:15" x14ac:dyDescent="0.25">
      <c r="A263">
        <v>266</v>
      </c>
      <c r="B263">
        <v>76903.596640000003</v>
      </c>
      <c r="C263" s="1">
        <v>-3.9700000000000001E-6</v>
      </c>
      <c r="D263">
        <v>563705.15879999998</v>
      </c>
      <c r="E263">
        <v>17229.363430000001</v>
      </c>
      <c r="F263">
        <v>982278.18259999994</v>
      </c>
      <c r="G263">
        <v>6700.5963899999997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-0.10391633259631392</v>
      </c>
      <c r="M263" s="1">
        <f t="shared" si="19"/>
        <v>151253583.72950718</v>
      </c>
      <c r="N263" s="1">
        <f t="shared" si="20"/>
        <v>27522861.1167618</v>
      </c>
      <c r="O263" s="1"/>
    </row>
    <row r="264" spans="1:15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>
        <v>21425.569200000002</v>
      </c>
      <c r="F264">
        <v>921284.13379999995</v>
      </c>
      <c r="G264">
        <v>23771.248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4.0591128978073703E-2</v>
      </c>
      <c r="M264" s="1">
        <f t="shared" si="19"/>
        <v>102704221.74216354</v>
      </c>
      <c r="N264" s="1">
        <f t="shared" si="20"/>
        <v>53315267.031881474</v>
      </c>
      <c r="O264" s="1"/>
    </row>
    <row r="265" spans="1:15" x14ac:dyDescent="0.25">
      <c r="A265">
        <v>268</v>
      </c>
      <c r="B265">
        <v>207485.71460000001</v>
      </c>
      <c r="C265">
        <v>115882.1504</v>
      </c>
      <c r="D265">
        <v>778677.28350000002</v>
      </c>
      <c r="E265">
        <v>63699.912389999998</v>
      </c>
      <c r="F265">
        <v>1186794.774</v>
      </c>
      <c r="G265">
        <v>25204.72322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404285832.42941839</v>
      </c>
      <c r="M265" s="1">
        <f t="shared" si="19"/>
        <v>74533917.562448159</v>
      </c>
      <c r="N265" s="1">
        <f t="shared" si="20"/>
        <v>13798781.079195179</v>
      </c>
      <c r="O265" s="1"/>
    </row>
    <row r="266" spans="1:15" x14ac:dyDescent="0.25">
      <c r="A266">
        <v>270</v>
      </c>
      <c r="B266">
        <v>371603.51650000003</v>
      </c>
      <c r="C266">
        <v>44440.006730000001</v>
      </c>
      <c r="D266">
        <v>892077.08120000002</v>
      </c>
      <c r="E266">
        <v>25528.480210000002</v>
      </c>
      <c r="F266">
        <v>1317647.2760000001</v>
      </c>
      <c r="G266">
        <v>5271.1099379999996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188202094.45532146</v>
      </c>
      <c r="M266" s="1">
        <f t="shared" si="19"/>
        <v>36259218.03395395</v>
      </c>
      <c r="N266" s="1">
        <f t="shared" si="20"/>
        <v>3502992.6462859642</v>
      </c>
      <c r="O266" s="1"/>
    </row>
    <row r="267" spans="1:15" x14ac:dyDescent="0.25">
      <c r="A267">
        <v>271</v>
      </c>
      <c r="B267">
        <v>386853.9118</v>
      </c>
      <c r="C267">
        <v>32346.163990000001</v>
      </c>
      <c r="D267">
        <v>846914.12479999999</v>
      </c>
      <c r="E267">
        <v>17488.495080000001</v>
      </c>
      <c r="F267">
        <v>1246408.3230000001</v>
      </c>
      <c r="G267">
        <v>3252.9619889999999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201643452.18497974</v>
      </c>
      <c r="M267" s="1">
        <f t="shared" si="19"/>
        <v>36564270.75338167</v>
      </c>
      <c r="N267" s="1">
        <f t="shared" si="20"/>
        <v>3182197.5989348344</v>
      </c>
      <c r="O267" s="1"/>
    </row>
    <row r="268" spans="1:15" x14ac:dyDescent="0.25">
      <c r="A268">
        <v>272</v>
      </c>
      <c r="B268">
        <v>146451.09229999999</v>
      </c>
      <c r="C268">
        <v>50614.258139999998</v>
      </c>
      <c r="D268">
        <v>717909.4253</v>
      </c>
      <c r="E268">
        <v>42971.224000000002</v>
      </c>
      <c r="F268">
        <v>1086133.56</v>
      </c>
      <c r="G268">
        <v>33220.591079999998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232620863.39299726</v>
      </c>
      <c r="M268" s="1">
        <f t="shared" si="19"/>
        <v>66236389.135861397</v>
      </c>
      <c r="N268" s="1">
        <f t="shared" si="20"/>
        <v>23959070.095781054</v>
      </c>
      <c r="O268" s="1"/>
    </row>
    <row r="269" spans="1:15" x14ac:dyDescent="0.25">
      <c r="A269">
        <v>273</v>
      </c>
      <c r="B269">
        <v>155405.3193</v>
      </c>
      <c r="C269">
        <v>160642.82199999999</v>
      </c>
      <c r="D269">
        <v>712261.5601</v>
      </c>
      <c r="E269">
        <v>68748.289149999997</v>
      </c>
      <c r="F269">
        <v>1046974.578</v>
      </c>
      <c r="G269">
        <v>84297.333660000004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669436465.00315046</v>
      </c>
      <c r="M269" s="1">
        <f t="shared" si="19"/>
        <v>96084441.99136886</v>
      </c>
      <c r="N269" s="1">
        <f t="shared" si="20"/>
        <v>55125011.566757157</v>
      </c>
      <c r="O269" s="1"/>
    </row>
    <row r="270" spans="1:15" x14ac:dyDescent="0.25">
      <c r="A270">
        <v>274</v>
      </c>
      <c r="B270">
        <v>327176.9363</v>
      </c>
      <c r="C270">
        <v>159776.86619999999</v>
      </c>
      <c r="D270">
        <v>836929.59219999996</v>
      </c>
      <c r="E270">
        <v>46524.10138</v>
      </c>
      <c r="F270">
        <v>1235154.6880000001</v>
      </c>
      <c r="G270">
        <v>43655.068850000003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786735303.97772181</v>
      </c>
      <c r="M270" s="1">
        <f t="shared" si="19"/>
        <v>76830891.179834396</v>
      </c>
      <c r="N270" s="1">
        <f t="shared" si="20"/>
        <v>33731544.95177196</v>
      </c>
      <c r="O270" s="1"/>
    </row>
    <row r="271" spans="1:15" x14ac:dyDescent="0.25">
      <c r="A271">
        <v>275</v>
      </c>
      <c r="B271">
        <v>241638.8063</v>
      </c>
      <c r="C271">
        <v>91946.706879999998</v>
      </c>
      <c r="D271">
        <v>790678.61860000005</v>
      </c>
      <c r="E271">
        <v>40780.476990000003</v>
      </c>
      <c r="F271">
        <v>1165050.361</v>
      </c>
      <c r="G271">
        <v>35198.498729999999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258784030.29977542</v>
      </c>
      <c r="M271" s="1">
        <f t="shared" si="19"/>
        <v>38494326.988129005</v>
      </c>
      <c r="N271" s="1">
        <f t="shared" si="20"/>
        <v>15545770.377974153</v>
      </c>
      <c r="O271" s="1"/>
    </row>
    <row r="272" spans="1:15" x14ac:dyDescent="0.25">
      <c r="A272">
        <v>276</v>
      </c>
      <c r="B272">
        <v>89936.182539999994</v>
      </c>
      <c r="C272">
        <v>12190.40201</v>
      </c>
      <c r="D272">
        <v>666701.72470000002</v>
      </c>
      <c r="E272">
        <v>47357.280579999999</v>
      </c>
      <c r="F272">
        <v>1019031.751</v>
      </c>
      <c r="G272">
        <v>52226.822820000001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77076382.053102106</v>
      </c>
      <c r="M272" s="1">
        <f t="shared" si="19"/>
        <v>100422998.71664454</v>
      </c>
      <c r="N272" s="1">
        <f t="shared" si="20"/>
        <v>51818366.066979803</v>
      </c>
      <c r="O272" s="1"/>
    </row>
    <row r="273" spans="1:15" x14ac:dyDescent="0.25">
      <c r="A273">
        <v>277</v>
      </c>
      <c r="B273">
        <v>264170.80579999997</v>
      </c>
      <c r="C273">
        <v>227647.3518</v>
      </c>
      <c r="D273">
        <v>801619.90240000002</v>
      </c>
      <c r="E273">
        <v>82197.778420000002</v>
      </c>
      <c r="F273">
        <v>1179817.0549999999</v>
      </c>
      <c r="G273">
        <v>84210.499519999998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713882774.14676142</v>
      </c>
      <c r="M273" s="1">
        <f t="shared" si="19"/>
        <v>86450501.497541025</v>
      </c>
      <c r="N273" s="1">
        <f t="shared" si="20"/>
        <v>41439772.136744522</v>
      </c>
      <c r="O273" s="1"/>
    </row>
    <row r="274" spans="1:15" x14ac:dyDescent="0.25">
      <c r="A274">
        <v>278</v>
      </c>
      <c r="B274">
        <v>77731.703399999999</v>
      </c>
      <c r="C274">
        <v>64493.989589999997</v>
      </c>
      <c r="D274">
        <v>658944.20909999998</v>
      </c>
      <c r="E274">
        <v>82173.741179999997</v>
      </c>
      <c r="F274">
        <v>1000907.385</v>
      </c>
      <c r="G274">
        <v>86056.575819999998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300322098.60871971</v>
      </c>
      <c r="M274" s="1">
        <f t="shared" si="19"/>
        <v>128334742.5508692</v>
      </c>
      <c r="N274" s="1">
        <f t="shared" si="20"/>
        <v>62883821.114816688</v>
      </c>
      <c r="O274" s="1"/>
    </row>
    <row r="275" spans="1:15" x14ac:dyDescent="0.25">
      <c r="A275">
        <v>279</v>
      </c>
      <c r="B275">
        <v>418131.7953</v>
      </c>
      <c r="C275">
        <v>217235.99410000001</v>
      </c>
      <c r="D275">
        <v>861999.4817</v>
      </c>
      <c r="E275">
        <v>152252.76019999999</v>
      </c>
      <c r="F275">
        <v>1285190.3370000001</v>
      </c>
      <c r="G275">
        <v>99047.210250000004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747531211.49286509</v>
      </c>
      <c r="M275" s="1">
        <f t="shared" si="19"/>
        <v>175713794.11606255</v>
      </c>
      <c r="N275" s="1">
        <f t="shared" si="20"/>
        <v>53484335.891174518</v>
      </c>
      <c r="O275" s="1"/>
    </row>
    <row r="276" spans="1:15" x14ac:dyDescent="0.25">
      <c r="A276">
        <v>280</v>
      </c>
      <c r="B276">
        <v>62849.982669999998</v>
      </c>
      <c r="C276">
        <v>65240.13207</v>
      </c>
      <c r="D276">
        <v>612531.91850000003</v>
      </c>
      <c r="E276">
        <v>115200.5845</v>
      </c>
      <c r="F276">
        <v>977324.74739999999</v>
      </c>
      <c r="G276">
        <v>100110.4417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216578767.21289119</v>
      </c>
      <c r="M276" s="1">
        <f t="shared" si="19"/>
        <v>128262253.31848072</v>
      </c>
      <c r="N276" s="1">
        <f t="shared" si="20"/>
        <v>52151552.138220549</v>
      </c>
      <c r="O276" s="1"/>
    </row>
    <row r="277" spans="1:15" x14ac:dyDescent="0.25">
      <c r="A277">
        <v>281</v>
      </c>
      <c r="B277">
        <v>140439.45259999999</v>
      </c>
      <c r="C277">
        <v>311105.27840000001</v>
      </c>
      <c r="D277">
        <v>732244.73439999996</v>
      </c>
      <c r="E277">
        <v>108926.8906</v>
      </c>
      <c r="F277">
        <v>1079465.4569999999</v>
      </c>
      <c r="G277">
        <v>141000.47150000001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1081257324.1314094</v>
      </c>
      <c r="M277" s="1">
        <f t="shared" si="19"/>
        <v>126969651.07453994</v>
      </c>
      <c r="N277" s="1">
        <f t="shared" si="20"/>
        <v>76900482.130842179</v>
      </c>
      <c r="O277" s="1"/>
    </row>
    <row r="278" spans="1:15" x14ac:dyDescent="0.25">
      <c r="A278">
        <v>282</v>
      </c>
      <c r="B278">
        <v>48231.631529999999</v>
      </c>
      <c r="C278">
        <v>1127.1620680000001</v>
      </c>
      <c r="D278">
        <v>582344.12569999998</v>
      </c>
      <c r="E278">
        <v>66276.695800000001</v>
      </c>
      <c r="F278">
        <v>946735.58530000004</v>
      </c>
      <c r="G278">
        <v>50900.575239999998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4599383.247739844</v>
      </c>
      <c r="M278" s="1">
        <f t="shared" si="19"/>
        <v>90702074.366195813</v>
      </c>
      <c r="N278" s="1">
        <f t="shared" si="20"/>
        <v>32592880.132622804</v>
      </c>
      <c r="O278" s="1"/>
    </row>
    <row r="279" spans="1:15" x14ac:dyDescent="0.25">
      <c r="A279">
        <v>283</v>
      </c>
      <c r="B279">
        <v>164759.89509999999</v>
      </c>
      <c r="C279">
        <v>87957.814620000005</v>
      </c>
      <c r="D279">
        <v>745106.84739999997</v>
      </c>
      <c r="E279">
        <v>44462.926529999997</v>
      </c>
      <c r="F279">
        <v>1106901.713</v>
      </c>
      <c r="G279">
        <v>63709.345670000002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502307836.11062884</v>
      </c>
      <c r="M279" s="1">
        <f t="shared" si="19"/>
        <v>85160206.172861174</v>
      </c>
      <c r="N279" s="1">
        <f t="shared" si="20"/>
        <v>57093344.25444176</v>
      </c>
      <c r="O279" s="1"/>
    </row>
    <row r="280" spans="1:15" x14ac:dyDescent="0.25">
      <c r="A280">
        <v>284</v>
      </c>
      <c r="B280">
        <v>170373.04019999999</v>
      </c>
      <c r="C280">
        <v>218570.0508</v>
      </c>
      <c r="D280">
        <v>736646.95220000006</v>
      </c>
      <c r="E280">
        <v>89305.783949999997</v>
      </c>
      <c r="F280">
        <v>1091090.8419999999</v>
      </c>
      <c r="G280">
        <v>116162.47349999999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1227616055.2344391</v>
      </c>
      <c r="M280" s="1">
        <f t="shared" si="19"/>
        <v>168226585.68290728</v>
      </c>
      <c r="N280" s="1">
        <f t="shared" si="20"/>
        <v>102382227.15301245</v>
      </c>
      <c r="O280" s="1"/>
    </row>
    <row r="281" spans="1:15" x14ac:dyDescent="0.25">
      <c r="A281">
        <v>285</v>
      </c>
      <c r="B281">
        <v>106466.5851</v>
      </c>
      <c r="C281">
        <v>45840.55848</v>
      </c>
      <c r="D281">
        <v>685853.3628</v>
      </c>
      <c r="E281">
        <v>60480.692819999997</v>
      </c>
      <c r="F281">
        <v>1056841.7309999999</v>
      </c>
      <c r="G281">
        <v>58082.610280000001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218138432.86581844</v>
      </c>
      <c r="M281" s="1">
        <f t="shared" si="19"/>
        <v>96525527.388276637</v>
      </c>
      <c r="N281" s="1">
        <f t="shared" si="20"/>
        <v>43372577.28299012</v>
      </c>
      <c r="O281" s="1"/>
    </row>
    <row r="282" spans="1:15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>
        <v>45411.745779999997</v>
      </c>
      <c r="F282">
        <v>913939.8112</v>
      </c>
      <c r="G282">
        <v>22765.82602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2.5827656697646702E-2</v>
      </c>
      <c r="M282" s="1">
        <f t="shared" si="19"/>
        <v>80115186.479764655</v>
      </c>
      <c r="N282" s="1">
        <f t="shared" si="20"/>
        <v>18792031.886591598</v>
      </c>
      <c r="O282" s="1"/>
    </row>
    <row r="283" spans="1:15" x14ac:dyDescent="0.25">
      <c r="A283">
        <v>287</v>
      </c>
      <c r="B283">
        <v>76483.923800000004</v>
      </c>
      <c r="C283">
        <v>1279.7027880000001</v>
      </c>
      <c r="D283">
        <v>641568.75320000004</v>
      </c>
      <c r="E283">
        <v>43015.795709999999</v>
      </c>
      <c r="F283">
        <v>1007924.905</v>
      </c>
      <c r="G283">
        <v>46985.000229999998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8716078.7729867417</v>
      </c>
      <c r="M283" s="1">
        <f t="shared" si="19"/>
        <v>98261440.913277715</v>
      </c>
      <c r="N283" s="1">
        <f t="shared" si="20"/>
        <v>50217845.813471667</v>
      </c>
      <c r="O283" s="1"/>
    </row>
    <row r="284" spans="1:15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>
        <v>40566.235500000003</v>
      </c>
      <c r="F284">
        <v>921142.37150000001</v>
      </c>
      <c r="G284">
        <v>20652.71153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2.3034073037559676E-2</v>
      </c>
      <c r="M284" s="1">
        <f t="shared" si="19"/>
        <v>114793140.39884725</v>
      </c>
      <c r="N284" s="1">
        <f t="shared" si="20"/>
        <v>27344625.929658175</v>
      </c>
      <c r="O284" s="1"/>
    </row>
    <row r="285" spans="1:15" x14ac:dyDescent="0.25">
      <c r="A285">
        <v>289</v>
      </c>
      <c r="B285">
        <v>53395.360630000003</v>
      </c>
      <c r="C285" s="1">
        <v>-4.6399999999999996E-6</v>
      </c>
      <c r="D285">
        <v>512250.7009</v>
      </c>
      <c r="E285">
        <v>47928.987390000002</v>
      </c>
      <c r="F285">
        <v>917126.4277</v>
      </c>
      <c r="G285">
        <v>19078.211579999999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-3.0863746270213998E-2</v>
      </c>
      <c r="M285" s="1">
        <f t="shared" si="19"/>
        <v>106923225.15349063</v>
      </c>
      <c r="N285" s="1">
        <f t="shared" si="20"/>
        <v>19913845.594312672</v>
      </c>
      <c r="O285" s="1"/>
    </row>
    <row r="286" spans="1:15" x14ac:dyDescent="0.25">
      <c r="A286">
        <v>290</v>
      </c>
      <c r="B286">
        <v>44091.151619999997</v>
      </c>
      <c r="C286" s="1">
        <v>-4.9400000000000001E-6</v>
      </c>
      <c r="D286">
        <v>417972.84759999998</v>
      </c>
      <c r="E286">
        <v>94954.827099999995</v>
      </c>
      <c r="F286">
        <v>873996.92460000003</v>
      </c>
      <c r="G286">
        <v>13021.8848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-4.9591993551602452E-2</v>
      </c>
      <c r="M286" s="1">
        <f t="shared" si="19"/>
        <v>319701594.44584429</v>
      </c>
      <c r="N286" s="1">
        <f t="shared" si="20"/>
        <v>20513760.55969904</v>
      </c>
      <c r="O286" s="1"/>
    </row>
    <row r="287" spans="1:15" x14ac:dyDescent="0.25">
      <c r="A287">
        <v>291</v>
      </c>
      <c r="B287">
        <v>463595.05170000001</v>
      </c>
      <c r="C287">
        <v>126056.6744</v>
      </c>
      <c r="D287">
        <v>879699.49910000002</v>
      </c>
      <c r="E287">
        <v>117292.6272</v>
      </c>
      <c r="F287">
        <v>1297894.122</v>
      </c>
      <c r="G287">
        <v>66763.703099999999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242660754.30619943</v>
      </c>
      <c r="M287" s="1">
        <f t="shared" si="19"/>
        <v>75726441.432318762</v>
      </c>
      <c r="N287" s="1">
        <f t="shared" si="20"/>
        <v>20167911.645561773</v>
      </c>
      <c r="O287" s="1"/>
    </row>
    <row r="288" spans="1:15" x14ac:dyDescent="0.25">
      <c r="A288">
        <v>292</v>
      </c>
      <c r="B288">
        <v>281518.79869999998</v>
      </c>
      <c r="C288">
        <v>261154.6838</v>
      </c>
      <c r="D288">
        <v>812657.8774</v>
      </c>
      <c r="E288">
        <v>108146.15</v>
      </c>
      <c r="F288">
        <v>1186722.081</v>
      </c>
      <c r="G288">
        <v>122191.42230000001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542800959.54723585</v>
      </c>
      <c r="M288" s="1">
        <f t="shared" si="19"/>
        <v>75387091.393828064</v>
      </c>
      <c r="N288" s="1">
        <f t="shared" si="20"/>
        <v>39853853.729638726</v>
      </c>
      <c r="O288" s="1"/>
    </row>
    <row r="289" spans="1:15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 s="1">
        <v>-2.09E-5</v>
      </c>
      <c r="F289">
        <v>916684.57299999997</v>
      </c>
      <c r="G289">
        <v>7538.6943959999999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-2.23274734546643E-2</v>
      </c>
      <c r="M289" s="1">
        <f t="shared" si="19"/>
        <v>-6.548338239725876E-2</v>
      </c>
      <c r="N289" s="1">
        <f t="shared" si="20"/>
        <v>11051586.674586859</v>
      </c>
      <c r="O289" s="1"/>
    </row>
    <row r="290" spans="1:15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-1.06E-5</v>
      </c>
      <c r="F290">
        <v>848887.52229999995</v>
      </c>
      <c r="G290" s="1">
        <v>4.9499999999999997E-5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3.6940522635444346E-2</v>
      </c>
      <c r="M290" s="1">
        <f t="shared" si="19"/>
        <v>-4.4821296773948437E-2</v>
      </c>
      <c r="N290" s="1">
        <f t="shared" si="20"/>
        <v>9.7932632599820699E-2</v>
      </c>
      <c r="O290" s="1"/>
    </row>
    <row r="291" spans="1:15" x14ac:dyDescent="0.25">
      <c r="A291">
        <v>302</v>
      </c>
      <c r="B291">
        <v>14496.327079999999</v>
      </c>
      <c r="C291" s="1">
        <v>4.7E-7</v>
      </c>
      <c r="D291">
        <v>193203.07519999999</v>
      </c>
      <c r="E291" s="1">
        <v>-2.2099999999999998E-5</v>
      </c>
      <c r="F291">
        <v>853545.07949999999</v>
      </c>
      <c r="G291" s="1">
        <v>3.79E-5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5.5051284404840761E-3</v>
      </c>
      <c r="M291" s="1">
        <f t="shared" si="19"/>
        <v>-8.6817046810357373E-2</v>
      </c>
      <c r="N291" s="1">
        <f t="shared" si="20"/>
        <v>6.9661949346066579E-2</v>
      </c>
      <c r="O291" s="1"/>
    </row>
    <row r="292" spans="1:15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 s="1">
        <v>1.19E-5</v>
      </c>
      <c r="F292">
        <v>925275.95120000001</v>
      </c>
      <c r="G292">
        <v>8184.3013879999999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-5.5153229633125009E-2</v>
      </c>
      <c r="M292" s="1">
        <f t="shared" si="19"/>
        <v>4.4024156404385499E-2</v>
      </c>
      <c r="N292" s="1">
        <f t="shared" si="20"/>
        <v>14166722.058949202</v>
      </c>
      <c r="O292" s="1"/>
    </row>
    <row r="293" spans="1:15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 s="1">
        <v>-4.6999999999999997E-5</v>
      </c>
      <c r="F293">
        <v>986264.56869999995</v>
      </c>
      <c r="G293">
        <v>8865.2076840000009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3.9982812251265001E-3</v>
      </c>
      <c r="M293" s="1">
        <f t="shared" si="19"/>
        <v>-0.233426720413938</v>
      </c>
      <c r="N293" s="1">
        <f t="shared" si="20"/>
        <v>20600857.725686654</v>
      </c>
      <c r="O293" s="1"/>
    </row>
    <row r="294" spans="1:15" x14ac:dyDescent="0.25">
      <c r="A294">
        <v>305</v>
      </c>
      <c r="B294">
        <v>73922.609479999999</v>
      </c>
      <c r="C294" s="1">
        <v>4.4599999999999996E-6</v>
      </c>
      <c r="D294">
        <v>706445.82</v>
      </c>
      <c r="E294" s="1">
        <v>4.49E-5</v>
      </c>
      <c r="F294">
        <v>1117832.6510000001</v>
      </c>
      <c r="G294">
        <v>13328.0692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0.1166150620255452</v>
      </c>
      <c r="M294" s="1">
        <f t="shared" si="19"/>
        <v>0.39373975512881737</v>
      </c>
      <c r="N294" s="1">
        <f t="shared" si="20"/>
        <v>54685708.477665879</v>
      </c>
      <c r="O294" s="1"/>
    </row>
    <row r="295" spans="1:15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 s="1">
        <v>-3.8600000000000003E-5</v>
      </c>
      <c r="F295">
        <v>950534.92680000002</v>
      </c>
      <c r="G295">
        <v>14522.03889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-4.2735174019625101E-2</v>
      </c>
      <c r="M295" s="1">
        <f t="shared" si="19"/>
        <v>-0.11221967306610744</v>
      </c>
      <c r="N295" s="1">
        <f t="shared" si="20"/>
        <v>19753905.328930929</v>
      </c>
      <c r="O295" s="1"/>
    </row>
    <row r="296" spans="1:15" x14ac:dyDescent="0.25">
      <c r="A296">
        <v>307</v>
      </c>
      <c r="B296">
        <v>30888.99394</v>
      </c>
      <c r="C296" s="1">
        <v>2.8700000000000001E-6</v>
      </c>
      <c r="D296">
        <v>664353.3186</v>
      </c>
      <c r="E296" s="1">
        <v>1.27E-5</v>
      </c>
      <c r="F296">
        <v>1100476.436</v>
      </c>
      <c r="G296">
        <v>7739.3470280000001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1.8927590228533353E-2</v>
      </c>
      <c r="M296" s="1">
        <f t="shared" si="19"/>
        <v>2.809055283126102E-2</v>
      </c>
      <c r="N296" s="1">
        <f t="shared" si="20"/>
        <v>8009484.4795523705</v>
      </c>
      <c r="O296" s="1"/>
    </row>
    <row r="297" spans="1:15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>
        <v>594.94633710000005</v>
      </c>
      <c r="F297">
        <v>1033714.444</v>
      </c>
      <c r="G297">
        <v>8865.2076699999998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4.2842222607092681E-2</v>
      </c>
      <c r="M297" s="1">
        <f t="shared" si="19"/>
        <v>2153289.4803728531</v>
      </c>
      <c r="N297" s="1">
        <f t="shared" si="20"/>
        <v>15012645.009314872</v>
      </c>
      <c r="O297" s="1"/>
    </row>
    <row r="298" spans="1:15" x14ac:dyDescent="0.25">
      <c r="A298">
        <v>309</v>
      </c>
      <c r="B298">
        <v>256002.701</v>
      </c>
      <c r="C298" s="1">
        <v>-2.1500000000000001E-5</v>
      </c>
      <c r="D298">
        <v>851979.99120000005</v>
      </c>
      <c r="E298">
        <v>8665.8564399999996</v>
      </c>
      <c r="F298">
        <v>1271252.4210000001</v>
      </c>
      <c r="G298">
        <v>6804.0341539999999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-0.31209984246246003</v>
      </c>
      <c r="M298" s="1">
        <f t="shared" si="19"/>
        <v>42190018.581776902</v>
      </c>
      <c r="N298" s="1">
        <f t="shared" si="20"/>
        <v>15499168.138275845</v>
      </c>
      <c r="O298" s="1"/>
    </row>
    <row r="299" spans="1:15" x14ac:dyDescent="0.25">
      <c r="A299">
        <v>310</v>
      </c>
      <c r="B299">
        <v>29906.873640000002</v>
      </c>
      <c r="C299">
        <v>0</v>
      </c>
      <c r="D299">
        <v>672761.11069999996</v>
      </c>
      <c r="E299" s="1">
        <v>-1.5400000000000002E-5</v>
      </c>
      <c r="F299">
        <v>1113076.8759999999</v>
      </c>
      <c r="G299">
        <v>7985.336526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0</v>
      </c>
      <c r="M299" s="1">
        <f t="shared" si="19"/>
        <v>-5.4413514781478163E-2</v>
      </c>
      <c r="N299" s="1">
        <f t="shared" si="20"/>
        <v>13201490.278637854</v>
      </c>
      <c r="O299" s="1"/>
    </row>
    <row r="300" spans="1:15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3.4700000000000003E-5</v>
      </c>
      <c r="F300">
        <v>851640.45640000002</v>
      </c>
      <c r="G300" s="1">
        <v>3.5899999999999999E-6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9.603672538514926E-3</v>
      </c>
      <c r="M300" s="1">
        <f t="shared" si="19"/>
        <v>0.23780013513862522</v>
      </c>
      <c r="N300" s="1">
        <f t="shared" si="20"/>
        <v>1.1511203961222244E-2</v>
      </c>
      <c r="O300" s="1"/>
    </row>
    <row r="301" spans="1:15" x14ac:dyDescent="0.25">
      <c r="A301">
        <v>312</v>
      </c>
      <c r="B301">
        <v>14554.317489999999</v>
      </c>
      <c r="C301">
        <v>0</v>
      </c>
      <c r="D301">
        <v>401609.94699999999</v>
      </c>
      <c r="E301" s="1">
        <v>-2.3300000000000001E-5</v>
      </c>
      <c r="F301">
        <v>949336.66220000002</v>
      </c>
      <c r="G301">
        <v>15722.99577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0</v>
      </c>
      <c r="M301" s="1">
        <f t="shared" si="19"/>
        <v>-6.9311232149540256E-2</v>
      </c>
      <c r="N301" s="1">
        <f t="shared" si="20"/>
        <v>21883998.387579706</v>
      </c>
      <c r="O301" s="1"/>
    </row>
    <row r="302" spans="1:15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>
        <v>1882.2824149999999</v>
      </c>
      <c r="F302">
        <v>1058851.733</v>
      </c>
      <c r="G302">
        <v>11940.328890000001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-3.2175012521005901E-2</v>
      </c>
      <c r="M302" s="1">
        <f t="shared" si="19"/>
        <v>7578999.0465047872</v>
      </c>
      <c r="N302" s="1">
        <f t="shared" si="20"/>
        <v>22495053.741187833</v>
      </c>
      <c r="O302" s="1"/>
    </row>
    <row r="303" spans="1:15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 s="1">
        <v>-3.01E-5</v>
      </c>
      <c r="F303">
        <v>1093958.3840000001</v>
      </c>
      <c r="G303">
        <v>8752.557949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-1.6023820442171752E-2</v>
      </c>
      <c r="M303" s="1">
        <f t="shared" si="19"/>
        <v>-5.7159611295157703E-2</v>
      </c>
      <c r="N303" s="1">
        <f t="shared" si="20"/>
        <v>7776809.2049018014</v>
      </c>
      <c r="O303" s="1"/>
    </row>
    <row r="304" spans="1:15" x14ac:dyDescent="0.25">
      <c r="A304">
        <v>315</v>
      </c>
      <c r="B304">
        <v>31507.619839999999</v>
      </c>
      <c r="C304" s="1">
        <v>5.7000000000000005E-7</v>
      </c>
      <c r="D304">
        <v>652457.196</v>
      </c>
      <c r="E304" s="1">
        <v>3.6699999999999998E-5</v>
      </c>
      <c r="F304">
        <v>1098388.1240000001</v>
      </c>
      <c r="G304">
        <v>7739.3470280000001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2.7634917602067754E-3</v>
      </c>
      <c r="M304" s="1">
        <f t="shared" si="19"/>
        <v>5.9675012622699933E-2</v>
      </c>
      <c r="N304" s="1">
        <f t="shared" si="20"/>
        <v>5888090.1959740808</v>
      </c>
      <c r="O304" s="1"/>
    </row>
    <row r="305" spans="1:15" x14ac:dyDescent="0.25">
      <c r="A305">
        <v>316</v>
      </c>
      <c r="B305">
        <v>104723.31359999999</v>
      </c>
      <c r="C305" s="1">
        <v>4.0599999999999998E-5</v>
      </c>
      <c r="D305">
        <v>638829.32620000001</v>
      </c>
      <c r="E305" s="1">
        <v>-2.5199999999999999E-5</v>
      </c>
      <c r="F305">
        <v>1055416.7919999999</v>
      </c>
      <c r="G305">
        <v>5393.4923330000001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0.39362387550190248</v>
      </c>
      <c r="M305" s="1">
        <f t="shared" si="19"/>
        <v>-8.1940588194666611E-2</v>
      </c>
      <c r="N305" s="1">
        <f t="shared" si="20"/>
        <v>8205636.6112063779</v>
      </c>
      <c r="O305" s="1"/>
    </row>
    <row r="306" spans="1:15" x14ac:dyDescent="0.25">
      <c r="A306">
        <v>317</v>
      </c>
      <c r="B306">
        <v>90548.718120000005</v>
      </c>
      <c r="C306" s="1">
        <v>1.46E-6</v>
      </c>
      <c r="D306">
        <v>700121.34270000004</v>
      </c>
      <c r="E306" s="1">
        <v>-2.4199999999999999E-5</v>
      </c>
      <c r="F306">
        <v>1137407.82</v>
      </c>
      <c r="G306">
        <v>11966.422329999999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2.3693183710506702E-2</v>
      </c>
      <c r="M306" s="1">
        <f t="shared" si="19"/>
        <v>-0.13171312959235948</v>
      </c>
      <c r="N306" s="1">
        <f t="shared" si="20"/>
        <v>30473455.792902384</v>
      </c>
      <c r="O306" s="1"/>
    </row>
    <row r="307" spans="1:15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4.9799999999999998E-5</v>
      </c>
      <c r="F307">
        <v>1101730.4939999999</v>
      </c>
      <c r="G307">
        <v>5746.2675120000004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-2.2733430694347748E-2</v>
      </c>
      <c r="M307" s="1">
        <f t="shared" si="19"/>
        <v>0.12741518688183628</v>
      </c>
      <c r="N307" s="1">
        <f t="shared" si="20"/>
        <v>6878937.6210603388</v>
      </c>
      <c r="O307" s="1"/>
    </row>
    <row r="308" spans="1:15" x14ac:dyDescent="0.25">
      <c r="A308">
        <v>319</v>
      </c>
      <c r="B308">
        <v>218715.79070000001</v>
      </c>
      <c r="C308" s="1">
        <v>3.79E-5</v>
      </c>
      <c r="D308">
        <v>774388.07530000003</v>
      </c>
      <c r="E308">
        <v>8665.8564769999994</v>
      </c>
      <c r="F308">
        <v>1217356.3589999999</v>
      </c>
      <c r="G308">
        <v>8075.8896050000003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0.4697063693124075</v>
      </c>
      <c r="M308" s="1">
        <f t="shared" si="19"/>
        <v>36019847.381737754</v>
      </c>
      <c r="N308" s="1">
        <f t="shared" si="20"/>
        <v>15705957.869044086</v>
      </c>
      <c r="O308" s="1"/>
    </row>
    <row r="309" spans="1:15" x14ac:dyDescent="0.25">
      <c r="A309">
        <v>320</v>
      </c>
      <c r="B309">
        <v>160509.5276</v>
      </c>
      <c r="C309" s="1">
        <v>-3.9100000000000002E-5</v>
      </c>
      <c r="D309">
        <v>746860.34439999994</v>
      </c>
      <c r="E309">
        <v>1127.1620250000001</v>
      </c>
      <c r="F309">
        <v>1199762.1680000001</v>
      </c>
      <c r="G309">
        <v>6720.5557360000003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-0.51213893744772199</v>
      </c>
      <c r="M309" s="1">
        <f t="shared" si="19"/>
        <v>4951542.6510192072</v>
      </c>
      <c r="N309" s="1">
        <f t="shared" si="20"/>
        <v>13813478.021511305</v>
      </c>
      <c r="O309" s="1"/>
    </row>
    <row r="310" spans="1:15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 s="1">
        <v>1.9400000000000001E-5</v>
      </c>
      <c r="F310">
        <v>1140666.629</v>
      </c>
      <c r="G310">
        <v>13064.75114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-1.7804243101253375E-2</v>
      </c>
      <c r="M310" s="1">
        <f t="shared" si="19"/>
        <v>0.1146956662967567</v>
      </c>
      <c r="N310" s="1">
        <f t="shared" si="20"/>
        <v>36140162.294137992</v>
      </c>
      <c r="O310" s="1"/>
    </row>
    <row r="311" spans="1:15" x14ac:dyDescent="0.25">
      <c r="A311">
        <v>322</v>
      </c>
      <c r="B311">
        <v>89531.066600000006</v>
      </c>
      <c r="C311" s="1">
        <v>4.5399999999999997E-6</v>
      </c>
      <c r="D311">
        <v>650238.27740000002</v>
      </c>
      <c r="E311" s="1">
        <v>-2.58E-5</v>
      </c>
      <c r="F311">
        <v>1114853.929</v>
      </c>
      <c r="G311">
        <v>12063.37218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1.6151835439556051E-2</v>
      </c>
      <c r="M311" s="1">
        <f t="shared" si="19"/>
        <v>-3.0784270839118624E-2</v>
      </c>
      <c r="N311" s="1">
        <f t="shared" si="20"/>
        <v>6734751.4179406343</v>
      </c>
      <c r="O311" s="1"/>
    </row>
    <row r="312" spans="1:15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3.2400000000000001E-5</v>
      </c>
      <c r="F312">
        <v>1051381.926</v>
      </c>
      <c r="G312">
        <v>2328.119001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2.8488757656446102E-2</v>
      </c>
      <c r="M312" s="1">
        <f t="shared" si="19"/>
        <v>6.6289505214630243E-2</v>
      </c>
      <c r="N312" s="1">
        <f t="shared" si="20"/>
        <v>2228684.6442152373</v>
      </c>
      <c r="O312" s="1"/>
    </row>
    <row r="313" spans="1:15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 s="1">
        <v>-1.9000000000000001E-5</v>
      </c>
      <c r="F313">
        <v>992170.57539999997</v>
      </c>
      <c r="G313">
        <v>3009.0252310000001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-1.451768287424E-2</v>
      </c>
      <c r="M313" s="1">
        <f t="shared" si="19"/>
        <v>-3.5581208559232004E-2</v>
      </c>
      <c r="N313" s="1">
        <f t="shared" si="20"/>
        <v>2636553.5825757193</v>
      </c>
      <c r="O313" s="1"/>
    </row>
    <row r="314" spans="1:15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>
        <v>0</v>
      </c>
      <c r="F314">
        <v>1060292.919</v>
      </c>
      <c r="G314">
        <v>5866.2687260000002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-2.62980189350983E-2</v>
      </c>
      <c r="M314" s="1">
        <f t="shared" si="19"/>
        <v>0</v>
      </c>
      <c r="N314" s="1">
        <f t="shared" si="20"/>
        <v>5064585.4829551801</v>
      </c>
      <c r="O314" s="1"/>
    </row>
    <row r="315" spans="1:15" x14ac:dyDescent="0.25">
      <c r="A315">
        <v>328</v>
      </c>
      <c r="B315">
        <v>158034.23790000001</v>
      </c>
      <c r="C315" s="1">
        <v>4.1900000000000002E-5</v>
      </c>
      <c r="D315">
        <v>772951.0233</v>
      </c>
      <c r="E315">
        <v>8665.856436</v>
      </c>
      <c r="F315">
        <v>1195380.6580000001</v>
      </c>
      <c r="G315">
        <v>7902.0606699999998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0.33299621692346104</v>
      </c>
      <c r="M315" s="1">
        <f t="shared" si="19"/>
        <v>23098293.93392995</v>
      </c>
      <c r="N315" s="1">
        <f t="shared" si="20"/>
        <v>9854905.2145763282</v>
      </c>
      <c r="O315" s="1"/>
    </row>
    <row r="316" spans="1:15" x14ac:dyDescent="0.25">
      <c r="A316">
        <v>329</v>
      </c>
      <c r="B316">
        <v>52240.835679999997</v>
      </c>
      <c r="C316" s="1">
        <v>-7.8000000000000005E-7</v>
      </c>
      <c r="D316">
        <v>685231.94579999999</v>
      </c>
      <c r="E316" s="1">
        <v>6.8499999999999996E-6</v>
      </c>
      <c r="F316">
        <v>1095789.554</v>
      </c>
      <c r="G316">
        <v>4468.9980050000004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-1.1763889812047101E-2</v>
      </c>
      <c r="M316" s="1">
        <f t="shared" si="19"/>
        <v>3.4648948040098486E-2</v>
      </c>
      <c r="N316" s="1">
        <f t="shared" si="20"/>
        <v>10576776.35169623</v>
      </c>
      <c r="O316" s="1"/>
    </row>
    <row r="317" spans="1:15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 s="1">
        <v>-4.2E-7</v>
      </c>
      <c r="F317">
        <v>899794.30390000006</v>
      </c>
      <c r="G317">
        <v>19180.43418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-6.4988850645251006E-2</v>
      </c>
      <c r="M317" s="1">
        <f t="shared" si="19"/>
        <v>-2.1289370894737678E-3</v>
      </c>
      <c r="N317" s="1">
        <f t="shared" si="20"/>
        <v>45489969.934876181</v>
      </c>
      <c r="O317" s="1"/>
    </row>
    <row r="318" spans="1:15" x14ac:dyDescent="0.25">
      <c r="A318">
        <v>331</v>
      </c>
      <c r="B318">
        <v>294206.04080000002</v>
      </c>
      <c r="C318" s="1">
        <v>-3.5099999999999999E-5</v>
      </c>
      <c r="D318">
        <v>865429.82649999997</v>
      </c>
      <c r="E318">
        <v>8665.8564960000003</v>
      </c>
      <c r="F318">
        <v>1287726.5160000001</v>
      </c>
      <c r="G318">
        <v>7247.9223179999999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-0.58104317018299501</v>
      </c>
      <c r="M318" s="1">
        <f t="shared" si="19"/>
        <v>48112277.331207953</v>
      </c>
      <c r="N318" s="1">
        <f t="shared" si="20"/>
        <v>18827889.003325082</v>
      </c>
      <c r="O318" s="1"/>
    </row>
    <row r="319" spans="1:15" x14ac:dyDescent="0.25">
      <c r="A319">
        <v>332</v>
      </c>
      <c r="B319">
        <v>27103.115870000001</v>
      </c>
      <c r="C319">
        <v>0</v>
      </c>
      <c r="D319">
        <v>287351.75040000002</v>
      </c>
      <c r="E319" s="1">
        <v>-2.23E-5</v>
      </c>
      <c r="F319">
        <v>874731.12159999995</v>
      </c>
      <c r="G319">
        <v>5657.8807999999999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0</v>
      </c>
      <c r="M319" s="1">
        <f t="shared" si="19"/>
        <v>-0.13440833332220029</v>
      </c>
      <c r="N319" s="1">
        <f t="shared" si="20"/>
        <v>15955808.10122497</v>
      </c>
      <c r="O319" s="1"/>
    </row>
    <row r="320" spans="1:15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 s="1">
        <v>1.43E-5</v>
      </c>
      <c r="F320">
        <v>1175916.6910000001</v>
      </c>
      <c r="G320">
        <v>9321.7500469999995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-3.4798146619975052E-2</v>
      </c>
      <c r="M320" s="1">
        <f t="shared" si="19"/>
        <v>6.4686787282713321E-2</v>
      </c>
      <c r="N320" s="1">
        <f t="shared" si="20"/>
        <v>19729708.84842401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 s="1">
        <v>-1.1000000000000001E-7</v>
      </c>
      <c r="F321">
        <v>89766.008199999997</v>
      </c>
      <c r="G321" s="1">
        <v>1.3999999999999999E-6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-1.43424259904563E-3</v>
      </c>
      <c r="N321" s="1">
        <f t="shared" si="20"/>
        <v>8.5408608483618E-3</v>
      </c>
      <c r="O321" s="1"/>
    </row>
    <row r="322" spans="1:15" x14ac:dyDescent="0.25">
      <c r="A322">
        <v>400</v>
      </c>
      <c r="B322">
        <v>9822.4378319999996</v>
      </c>
      <c r="C322" s="1">
        <v>3.9999999999999998E-7</v>
      </c>
      <c r="D322">
        <v>22073.35267</v>
      </c>
      <c r="E322" s="1">
        <v>1.1000000000000001E-6</v>
      </c>
      <c r="F322">
        <v>102576.697</v>
      </c>
      <c r="G322" s="1">
        <v>4.8099999999999997E-5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1.802678870044E-2</v>
      </c>
      <c r="M322" s="1">
        <f t="shared" si="19"/>
        <v>1.6626245886021202E-2</v>
      </c>
      <c r="N322" s="1">
        <f t="shared" si="20"/>
        <v>0.34016550277730279</v>
      </c>
      <c r="O322" s="1"/>
    </row>
    <row r="323" spans="1:15" x14ac:dyDescent="0.25">
      <c r="A323">
        <v>401</v>
      </c>
      <c r="B323">
        <v>11972.64092</v>
      </c>
      <c r="C323">
        <v>0</v>
      </c>
      <c r="D323">
        <v>40494.64026</v>
      </c>
      <c r="E323" s="1">
        <v>2.3E-6</v>
      </c>
      <c r="F323">
        <v>143050.13020000001</v>
      </c>
      <c r="G323">
        <v>6147.4810829999997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0</v>
      </c>
      <c r="M323" s="1">
        <f t="shared" ref="M323:M386" si="23">$U$3*$K323*E323</f>
        <v>2.9409676706962699E-2</v>
      </c>
      <c r="N323" s="1">
        <f t="shared" ref="N323:N386" si="24">$U$4*$K323*G323</f>
        <v>36779285.96678558</v>
      </c>
      <c r="O323" s="1"/>
    </row>
    <row r="324" spans="1:15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 s="1">
        <v>-1.5999999999999999E-6</v>
      </c>
      <c r="F324">
        <v>152060.34719999999</v>
      </c>
      <c r="G324" s="1">
        <v>1.7499999999999998E-5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-4.1739087087776003E-2</v>
      </c>
      <c r="M324" s="1">
        <f t="shared" si="23"/>
        <v>-1.3998647669438721E-2</v>
      </c>
      <c r="N324" s="1">
        <f t="shared" si="24"/>
        <v>7.1638721588154E-2</v>
      </c>
      <c r="O324" s="1"/>
    </row>
    <row r="325" spans="1:15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 s="1">
        <v>3.9400000000000004E-6</v>
      </c>
      <c r="F325">
        <v>567499.1507</v>
      </c>
      <c r="G325">
        <v>13140.97574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7.2405277069658006E-2</v>
      </c>
      <c r="M325" s="1">
        <f t="shared" si="23"/>
        <v>2.8140425602113422E-2</v>
      </c>
      <c r="N325" s="1">
        <f t="shared" si="24"/>
        <v>43914276.434785575</v>
      </c>
      <c r="O325" s="1"/>
    </row>
    <row r="326" spans="1:15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 s="1">
        <v>-2.0700000000000001E-6</v>
      </c>
      <c r="F326">
        <v>383648.92290000001</v>
      </c>
      <c r="G326">
        <v>133141.1784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4.2639988153255995E-2</v>
      </c>
      <c r="M326" s="1">
        <f t="shared" si="23"/>
        <v>-9.2508274298261067E-3</v>
      </c>
      <c r="N326" s="1">
        <f t="shared" si="24"/>
        <v>278398126.68655169</v>
      </c>
      <c r="O326" s="1"/>
    </row>
    <row r="327" spans="1:15" x14ac:dyDescent="0.25">
      <c r="A327">
        <v>407</v>
      </c>
      <c r="B327">
        <v>15947.499750000001</v>
      </c>
      <c r="C327" s="1">
        <v>9.9999999999999995E-8</v>
      </c>
      <c r="D327">
        <v>86269.520629999999</v>
      </c>
      <c r="E327" s="1">
        <v>2.5399999999999998E-6</v>
      </c>
      <c r="F327">
        <v>578806.35049999994</v>
      </c>
      <c r="G327">
        <v>4612.7865069999998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2.07204458364475E-3</v>
      </c>
      <c r="M327" s="1">
        <f t="shared" si="23"/>
        <v>1.7651269643934937E-2</v>
      </c>
      <c r="N327" s="1">
        <f t="shared" si="24"/>
        <v>14998549.666593408</v>
      </c>
      <c r="O327" s="1"/>
    </row>
    <row r="328" spans="1:15" x14ac:dyDescent="0.25">
      <c r="A328">
        <v>408</v>
      </c>
      <c r="B328">
        <v>30654.992839999999</v>
      </c>
      <c r="C328" s="1">
        <v>1.9999999999999999E-7</v>
      </c>
      <c r="D328">
        <v>129200.4078</v>
      </c>
      <c r="E328">
        <v>97.092017530000007</v>
      </c>
      <c r="F328">
        <v>632384.22030000004</v>
      </c>
      <c r="G328">
        <v>24987.54363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1.119130128493E-2</v>
      </c>
      <c r="M328" s="1">
        <f t="shared" si="23"/>
        <v>1822121.1729054297</v>
      </c>
      <c r="N328" s="1">
        <f t="shared" si="24"/>
        <v>219412301.32025903</v>
      </c>
      <c r="O328" s="1"/>
    </row>
    <row r="329" spans="1:15" x14ac:dyDescent="0.25">
      <c r="A329">
        <v>409</v>
      </c>
      <c r="B329">
        <v>60449.392500000002</v>
      </c>
      <c r="C329" s="1">
        <v>-2.6900000000000001E-6</v>
      </c>
      <c r="D329">
        <v>588320.59149999998</v>
      </c>
      <c r="E329">
        <v>15923.56213</v>
      </c>
      <c r="F329">
        <v>1004835.983</v>
      </c>
      <c r="G329">
        <v>3336.5159140000001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-3.9748940700468353E-2</v>
      </c>
      <c r="M329" s="1">
        <f t="shared" si="23"/>
        <v>78914469.804025963</v>
      </c>
      <c r="N329" s="1">
        <f t="shared" si="24"/>
        <v>7736656.1438941984</v>
      </c>
      <c r="O329" s="1"/>
    </row>
    <row r="330" spans="1:15" x14ac:dyDescent="0.25">
      <c r="A330">
        <v>410</v>
      </c>
      <c r="B330">
        <v>109104.80620000001</v>
      </c>
      <c r="C330" s="1">
        <v>-4.9699999999999998E-6</v>
      </c>
      <c r="D330">
        <v>742590.87150000001</v>
      </c>
      <c r="E330">
        <v>16053.013999999999</v>
      </c>
      <c r="F330">
        <v>1110394.05</v>
      </c>
      <c r="G330">
        <v>8016.8963290000002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-4.9384975708131704E-2</v>
      </c>
      <c r="M330" s="1">
        <f t="shared" si="23"/>
        <v>53498077.697644629</v>
      </c>
      <c r="N330" s="1">
        <f t="shared" si="24"/>
        <v>12500619.56574898</v>
      </c>
      <c r="O330" s="1"/>
    </row>
    <row r="331" spans="1:15" x14ac:dyDescent="0.25">
      <c r="A331">
        <v>411</v>
      </c>
      <c r="B331">
        <v>421255.3222</v>
      </c>
      <c r="C331">
        <v>27186.9211</v>
      </c>
      <c r="D331">
        <v>901882.04070000001</v>
      </c>
      <c r="E331">
        <v>18542.176810000001</v>
      </c>
      <c r="F331">
        <v>1332042.9509999999</v>
      </c>
      <c r="G331">
        <v>2191.2226439999999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263804062.41720283</v>
      </c>
      <c r="M331" s="1">
        <f t="shared" si="23"/>
        <v>60342779.021663696</v>
      </c>
      <c r="N331" s="1">
        <f t="shared" si="24"/>
        <v>3336528.0068194796</v>
      </c>
      <c r="O331" s="1"/>
    </row>
    <row r="332" spans="1:15" x14ac:dyDescent="0.25">
      <c r="A332">
        <v>412</v>
      </c>
      <c r="B332">
        <v>63091.424509999997</v>
      </c>
      <c r="C332" s="1">
        <v>4.6600000000000003E-6</v>
      </c>
      <c r="D332">
        <v>445178.91830000002</v>
      </c>
      <c r="E332">
        <v>63480.428390000001</v>
      </c>
      <c r="F332">
        <v>903907.15209999995</v>
      </c>
      <c r="G332">
        <v>10001.18122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6.9812909824663844E-2</v>
      </c>
      <c r="M332" s="1">
        <f t="shared" si="23"/>
        <v>318957492.95979464</v>
      </c>
      <c r="N332" s="1">
        <f t="shared" si="24"/>
        <v>23511911.320733618</v>
      </c>
      <c r="O332" s="1"/>
    </row>
    <row r="333" spans="1:15" x14ac:dyDescent="0.25">
      <c r="A333">
        <v>413</v>
      </c>
      <c r="B333">
        <v>24383.035260000001</v>
      </c>
      <c r="C333" s="1">
        <v>-5.5000000000000003E-7</v>
      </c>
      <c r="D333">
        <v>206215.35740000001</v>
      </c>
      <c r="E333">
        <v>3518.6209279999998</v>
      </c>
      <c r="F333">
        <v>767494.17189999996</v>
      </c>
      <c r="G333">
        <v>4819.2706429999998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-6.8487595407481262E-3</v>
      </c>
      <c r="M333" s="1">
        <f t="shared" si="23"/>
        <v>14694839.513006132</v>
      </c>
      <c r="N333" s="1">
        <f t="shared" si="24"/>
        <v>9417103.8633867074</v>
      </c>
      <c r="O333" s="1"/>
    </row>
    <row r="334" spans="1:15" x14ac:dyDescent="0.25">
      <c r="A334">
        <v>414</v>
      </c>
      <c r="B334">
        <v>63715.914400000001</v>
      </c>
      <c r="C334" s="1">
        <v>2.21E-6</v>
      </c>
      <c r="D334">
        <v>557503.99179999996</v>
      </c>
      <c r="E334">
        <v>4081.775443</v>
      </c>
      <c r="F334">
        <v>949689.50730000006</v>
      </c>
      <c r="G334">
        <v>4089.1090359999998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4.1885587905033606E-2</v>
      </c>
      <c r="M334" s="1">
        <f t="shared" si="23"/>
        <v>25945651.917543825</v>
      </c>
      <c r="N334" s="1">
        <f t="shared" si="24"/>
        <v>12161519.714602027</v>
      </c>
      <c r="O334" s="1"/>
    </row>
    <row r="335" spans="1:15" x14ac:dyDescent="0.25">
      <c r="A335">
        <v>415</v>
      </c>
      <c r="B335">
        <v>18086.19138</v>
      </c>
      <c r="C335" s="1">
        <v>-4.4499999999999997E-6</v>
      </c>
      <c r="D335">
        <v>154224.30239999999</v>
      </c>
      <c r="E335">
        <v>12078.04175</v>
      </c>
      <c r="F335">
        <v>714032.27049999998</v>
      </c>
      <c r="G335">
        <v>8734.3481240000001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-4.7352310298123999E-2</v>
      </c>
      <c r="M335" s="1">
        <f t="shared" si="23"/>
        <v>43104322.697062701</v>
      </c>
      <c r="N335" s="1">
        <f t="shared" si="24"/>
        <v>14584732.71812878</v>
      </c>
      <c r="O335" s="1"/>
    </row>
    <row r="336" spans="1:15" x14ac:dyDescent="0.25">
      <c r="A336">
        <v>416</v>
      </c>
      <c r="B336">
        <v>37056.131050000004</v>
      </c>
      <c r="C336" s="1">
        <v>-4.5499999999999996E-6</v>
      </c>
      <c r="D336">
        <v>178038.61970000001</v>
      </c>
      <c r="E336">
        <v>10862.20046</v>
      </c>
      <c r="F336">
        <v>757062.46869999997</v>
      </c>
      <c r="G336">
        <v>14863.989009999999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-6.8940868658843996E-2</v>
      </c>
      <c r="M336" s="1">
        <f t="shared" si="23"/>
        <v>55198376.563462079</v>
      </c>
      <c r="N336" s="1">
        <f t="shared" si="24"/>
        <v>35341708.888135552</v>
      </c>
      <c r="O336" s="1"/>
    </row>
    <row r="337" spans="1:15" x14ac:dyDescent="0.25">
      <c r="A337">
        <v>417</v>
      </c>
      <c r="B337">
        <v>10342.41337</v>
      </c>
      <c r="C337" s="1">
        <v>-4.87E-6</v>
      </c>
      <c r="D337">
        <v>131403.2599</v>
      </c>
      <c r="E337" s="1">
        <v>1.7499999999999998E-5</v>
      </c>
      <c r="F337">
        <v>662995.1605</v>
      </c>
      <c r="G337">
        <v>13509.993909999999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-0.42345737955686752</v>
      </c>
      <c r="M337" s="1">
        <f t="shared" si="23"/>
        <v>0.51034272721827489</v>
      </c>
      <c r="N337" s="1">
        <f t="shared" si="24"/>
        <v>184341328.42637798</v>
      </c>
      <c r="O337" s="1"/>
    </row>
    <row r="338" spans="1:15" x14ac:dyDescent="0.25">
      <c r="A338">
        <v>418</v>
      </c>
      <c r="B338">
        <v>89858.504159999997</v>
      </c>
      <c r="C338" s="1">
        <v>-4.0600000000000001E-6</v>
      </c>
      <c r="D338">
        <v>666642.77650000004</v>
      </c>
      <c r="E338">
        <v>14539.99877</v>
      </c>
      <c r="F338">
        <v>1058916.5</v>
      </c>
      <c r="G338">
        <v>9121.1095499999992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-2.6340435790659904E-2</v>
      </c>
      <c r="M338" s="1">
        <f t="shared" si="23"/>
        <v>31637665.43063511</v>
      </c>
      <c r="N338" s="1">
        <f t="shared" si="24"/>
        <v>9286058.372496279</v>
      </c>
      <c r="O338" s="1"/>
    </row>
    <row r="339" spans="1:15" x14ac:dyDescent="0.25">
      <c r="A339">
        <v>420</v>
      </c>
      <c r="B339">
        <v>44315.055289999997</v>
      </c>
      <c r="C339" s="1">
        <v>-4.6500000000000004E-6</v>
      </c>
      <c r="D339">
        <v>474478.38459999999</v>
      </c>
      <c r="E339">
        <v>12737.50783</v>
      </c>
      <c r="F339">
        <v>844819.72320000001</v>
      </c>
      <c r="G339">
        <v>15750.26599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-7.3609717628021251E-2</v>
      </c>
      <c r="M339" s="1">
        <f t="shared" si="23"/>
        <v>67625392.659692347</v>
      </c>
      <c r="N339" s="1">
        <f t="shared" si="24"/>
        <v>39125230.264083676</v>
      </c>
      <c r="O339" s="1"/>
    </row>
    <row r="340" spans="1:15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>
        <v>22888.566009999999</v>
      </c>
      <c r="F340">
        <v>585551.13190000004</v>
      </c>
      <c r="G340">
        <v>61348.278810000003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-6.1099463179429998E-3</v>
      </c>
      <c r="M340" s="1">
        <f t="shared" si="23"/>
        <v>234514186.89417896</v>
      </c>
      <c r="N340" s="1">
        <f t="shared" si="24"/>
        <v>294101064.63988161</v>
      </c>
      <c r="O340" s="1"/>
    </row>
    <row r="341" spans="1:15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>
        <v>878.83083320000003</v>
      </c>
      <c r="F341">
        <v>549963.11750000005</v>
      </c>
      <c r="G341">
        <v>40565.846550000002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3.53754159208515E-2</v>
      </c>
      <c r="M341" s="1">
        <f t="shared" si="23"/>
        <v>5792652.4463051511</v>
      </c>
      <c r="N341" s="1">
        <f t="shared" si="24"/>
        <v>125105501.51841393</v>
      </c>
      <c r="O341" s="1"/>
    </row>
    <row r="342" spans="1:15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>
        <v>9004.2417490000007</v>
      </c>
      <c r="F342">
        <v>563220.57660000003</v>
      </c>
      <c r="G342">
        <v>76486.027499999997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1.0934698325655001E-2</v>
      </c>
      <c r="M342" s="1">
        <f t="shared" si="23"/>
        <v>11007174.074100064</v>
      </c>
      <c r="N342" s="1">
        <f t="shared" si="24"/>
        <v>43747624.080874734</v>
      </c>
      <c r="O342" s="1"/>
    </row>
    <row r="343" spans="1:15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>
        <v>4423.1896479999996</v>
      </c>
      <c r="F343">
        <v>522965.44500000001</v>
      </c>
      <c r="G343">
        <v>48816.767690000001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-8.1536861111569492E-2</v>
      </c>
      <c r="M343" s="1">
        <f t="shared" si="23"/>
        <v>24685197.488165002</v>
      </c>
      <c r="N343" s="1">
        <f t="shared" si="24"/>
        <v>127471690.02186465</v>
      </c>
      <c r="O343" s="1"/>
    </row>
    <row r="344" spans="1:15" x14ac:dyDescent="0.25">
      <c r="A344">
        <v>425</v>
      </c>
      <c r="B344">
        <v>14279.8513</v>
      </c>
      <c r="C344" s="1">
        <v>3.4999999999999999E-6</v>
      </c>
      <c r="D344">
        <v>63420.363669999999</v>
      </c>
      <c r="E344">
        <v>7907.2295649999996</v>
      </c>
      <c r="F344">
        <v>432077.54300000001</v>
      </c>
      <c r="G344">
        <v>48851.230230000001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3.0665167035116247E-2</v>
      </c>
      <c r="M344" s="1">
        <f t="shared" si="23"/>
        <v>23235112.24451435</v>
      </c>
      <c r="N344" s="1">
        <f t="shared" si="24"/>
        <v>67164472.860279024</v>
      </c>
      <c r="O344" s="1"/>
    </row>
    <row r="345" spans="1:15" x14ac:dyDescent="0.25">
      <c r="A345">
        <v>426</v>
      </c>
      <c r="B345">
        <v>15190.869699999999</v>
      </c>
      <c r="C345" s="1">
        <v>-1.1000000000000001E-6</v>
      </c>
      <c r="D345">
        <v>108573.0958</v>
      </c>
      <c r="E345">
        <v>58949.719100000002</v>
      </c>
      <c r="F345">
        <v>626506.73400000005</v>
      </c>
      <c r="G345">
        <v>63728.04161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-6.7219461340102503E-3</v>
      </c>
      <c r="M345" s="1">
        <f t="shared" si="23"/>
        <v>120816769.70117661</v>
      </c>
      <c r="N345" s="1">
        <f t="shared" si="24"/>
        <v>61111047.858314902</v>
      </c>
      <c r="O345" s="1"/>
    </row>
    <row r="346" spans="1:15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>
        <v>397.73210419999998</v>
      </c>
      <c r="F346">
        <v>118137.9721</v>
      </c>
      <c r="G346">
        <v>1885.2379490000001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-3.3867643232864996E-3</v>
      </c>
      <c r="M346" s="1">
        <f t="shared" si="23"/>
        <v>1505904.7608163583</v>
      </c>
      <c r="N346" s="1">
        <f t="shared" si="24"/>
        <v>3339771.1585182538</v>
      </c>
      <c r="O346" s="1"/>
    </row>
    <row r="347" spans="1:15" x14ac:dyDescent="0.25">
      <c r="A347">
        <v>429</v>
      </c>
      <c r="B347">
        <v>8396.6571010000007</v>
      </c>
      <c r="C347">
        <v>0</v>
      </c>
      <c r="D347">
        <v>35565.386380000004</v>
      </c>
      <c r="E347" s="1">
        <v>1.4699999999999999E-6</v>
      </c>
      <c r="F347">
        <v>108000.21799999999</v>
      </c>
      <c r="G347">
        <v>14774.708790000001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0</v>
      </c>
      <c r="M347" s="1">
        <f t="shared" si="23"/>
        <v>2.0398423611657418E-2</v>
      </c>
      <c r="N347" s="1">
        <f t="shared" si="24"/>
        <v>95927224.617750868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 s="1">
        <v>-2.6000000000000001E-6</v>
      </c>
      <c r="F348">
        <v>39602.283539999997</v>
      </c>
      <c r="G348">
        <v>7538.6944139999996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-3.3409918148162403E-2</v>
      </c>
      <c r="N348" s="1">
        <f t="shared" si="24"/>
        <v>45325424.591048717</v>
      </c>
      <c r="O348" s="1"/>
    </row>
    <row r="349" spans="1:15" x14ac:dyDescent="0.25">
      <c r="A349">
        <v>433</v>
      </c>
      <c r="B349">
        <v>109995.30220000001</v>
      </c>
      <c r="C349" s="1">
        <v>6.2299999999999996E-6</v>
      </c>
      <c r="D349">
        <v>742311.3885</v>
      </c>
      <c r="E349">
        <v>24955.69731</v>
      </c>
      <c r="F349">
        <v>1153027.202</v>
      </c>
      <c r="G349">
        <v>8890.5364470000004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0.6683948791597577</v>
      </c>
      <c r="M349" s="1">
        <f t="shared" si="23"/>
        <v>897961907.08842015</v>
      </c>
      <c r="N349" s="1">
        <f t="shared" si="24"/>
        <v>149678647.11300522</v>
      </c>
      <c r="O349" s="1"/>
    </row>
    <row r="350" spans="1:15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>
        <v>29276.42438</v>
      </c>
      <c r="F350">
        <v>959593.20319999999</v>
      </c>
      <c r="G350">
        <v>17169.78572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5.8387195771222498E-2</v>
      </c>
      <c r="M350" s="1">
        <f t="shared" si="23"/>
        <v>707772638.44806516</v>
      </c>
      <c r="N350" s="1">
        <f t="shared" si="24"/>
        <v>194215679.57972497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1.1039200041945E-2</v>
      </c>
      <c r="N351" s="1">
        <f t="shared" si="24"/>
        <v>-3.787762216227001E-2</v>
      </c>
      <c r="O351" s="1"/>
    </row>
    <row r="352" spans="1:15" x14ac:dyDescent="0.25">
      <c r="A352">
        <v>500</v>
      </c>
      <c r="B352">
        <v>64866.161979999997</v>
      </c>
      <c r="C352" s="1">
        <v>-2.4200000000000001E-6</v>
      </c>
      <c r="D352">
        <v>542329.84180000005</v>
      </c>
      <c r="E352">
        <v>2571.3916749999999</v>
      </c>
      <c r="F352">
        <v>889524.22100000002</v>
      </c>
      <c r="G352">
        <v>10727.687250000001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-1.0879418143615451E-2</v>
      </c>
      <c r="M352" s="1">
        <f t="shared" si="23"/>
        <v>3877052.4240606516</v>
      </c>
      <c r="N352" s="1">
        <f t="shared" si="24"/>
        <v>7568036.5678840308</v>
      </c>
      <c r="O352" s="1"/>
    </row>
    <row r="353" spans="1:15" x14ac:dyDescent="0.25">
      <c r="A353">
        <v>501</v>
      </c>
      <c r="B353">
        <v>30413.220290000001</v>
      </c>
      <c r="C353" s="1">
        <v>2.9999999999999999E-7</v>
      </c>
      <c r="D353">
        <v>443977.61609999998</v>
      </c>
      <c r="E353">
        <v>501.49405960000001</v>
      </c>
      <c r="F353">
        <v>802580.66070000001</v>
      </c>
      <c r="G353">
        <v>2578.0697329999998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2.8025965832279998E-3</v>
      </c>
      <c r="M353" s="1">
        <f t="shared" si="23"/>
        <v>1571260.7552400695</v>
      </c>
      <c r="N353" s="1">
        <f t="shared" si="24"/>
        <v>3779382.1607845682</v>
      </c>
      <c r="O353" s="1"/>
    </row>
    <row r="354" spans="1:15" x14ac:dyDescent="0.25">
      <c r="A354">
        <v>502</v>
      </c>
      <c r="B354">
        <v>36334.551469999999</v>
      </c>
      <c r="C354" s="1">
        <v>3.1E-6</v>
      </c>
      <c r="D354">
        <v>503379.44270000001</v>
      </c>
      <c r="E354">
        <v>598.54668560000005</v>
      </c>
      <c r="F354">
        <v>824355.30610000005</v>
      </c>
      <c r="G354">
        <v>8331.6034799999998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2.9117836948931251E-2</v>
      </c>
      <c r="M354" s="1">
        <f t="shared" si="23"/>
        <v>1885552.300685874</v>
      </c>
      <c r="N354" s="1">
        <f t="shared" si="24"/>
        <v>12280408.788429974</v>
      </c>
      <c r="O354" s="1"/>
    </row>
    <row r="355" spans="1:15" x14ac:dyDescent="0.25">
      <c r="A355">
        <v>503</v>
      </c>
      <c r="B355">
        <v>26050.398499999999</v>
      </c>
      <c r="C355" s="1">
        <v>3.1E-6</v>
      </c>
      <c r="D355">
        <v>309658.23700000002</v>
      </c>
      <c r="E355" s="1">
        <v>-3.9400000000000002E-5</v>
      </c>
      <c r="F355">
        <v>691648.99060000002</v>
      </c>
      <c r="G355">
        <v>9078.2522759999993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4.1343492940220251E-2</v>
      </c>
      <c r="M355" s="1">
        <f t="shared" si="23"/>
        <v>-0.1762320245965954</v>
      </c>
      <c r="N355" s="1">
        <f t="shared" si="24"/>
        <v>18999165.85905664</v>
      </c>
      <c r="O355" s="1"/>
    </row>
    <row r="356" spans="1:15" x14ac:dyDescent="0.25">
      <c r="A356">
        <v>504</v>
      </c>
      <c r="B356">
        <v>25701.549470000002</v>
      </c>
      <c r="C356" s="1">
        <v>3.0000000000000001E-6</v>
      </c>
      <c r="D356">
        <v>300424.92950000003</v>
      </c>
      <c r="E356">
        <v>3555.1115749999999</v>
      </c>
      <c r="F356">
        <v>704952.58929999999</v>
      </c>
      <c r="G356">
        <v>8867.339328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6.1496454234345001E-2</v>
      </c>
      <c r="M356" s="1">
        <f t="shared" si="23"/>
        <v>24441350.188130833</v>
      </c>
      <c r="N356" s="1">
        <f t="shared" si="24"/>
        <v>28523903.882464346</v>
      </c>
      <c r="O356" s="1"/>
    </row>
    <row r="357" spans="1:15" x14ac:dyDescent="0.25">
      <c r="A357">
        <v>505</v>
      </c>
      <c r="B357">
        <v>31763.556059999999</v>
      </c>
      <c r="C357">
        <v>0</v>
      </c>
      <c r="D357">
        <v>331986.72769999999</v>
      </c>
      <c r="E357">
        <v>5270.0004310000004</v>
      </c>
      <c r="F357">
        <v>723507.41489999997</v>
      </c>
      <c r="G357">
        <v>11717.445820000001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0</v>
      </c>
      <c r="M357" s="1">
        <f t="shared" si="23"/>
        <v>42288596.648518749</v>
      </c>
      <c r="N357" s="1">
        <f t="shared" si="24"/>
        <v>43993574.978502683</v>
      </c>
      <c r="O357" s="1"/>
    </row>
    <row r="358" spans="1:15" x14ac:dyDescent="0.25">
      <c r="A358">
        <v>508</v>
      </c>
      <c r="B358">
        <v>18431.461050000002</v>
      </c>
      <c r="C358" s="1">
        <v>-3.7000000000000002E-6</v>
      </c>
      <c r="D358">
        <v>176196.9308</v>
      </c>
      <c r="E358" s="1">
        <v>-9.6199999999999994E-6</v>
      </c>
      <c r="F358">
        <v>631804.61739999999</v>
      </c>
      <c r="G358">
        <v>5180.4724770000003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-5.7077721520946756E-2</v>
      </c>
      <c r="M358" s="1">
        <f t="shared" si="23"/>
        <v>-4.9771773166265562E-2</v>
      </c>
      <c r="N358" s="1">
        <f t="shared" si="24"/>
        <v>12540680.11213796</v>
      </c>
      <c r="O358" s="1"/>
    </row>
    <row r="359" spans="1:15" x14ac:dyDescent="0.25">
      <c r="A359">
        <v>509</v>
      </c>
      <c r="B359">
        <v>18845.249370000001</v>
      </c>
      <c r="C359" s="1">
        <v>-4.1999999999999996E-6</v>
      </c>
      <c r="D359">
        <v>93961.703670000003</v>
      </c>
      <c r="E359" s="1">
        <v>4.2799999999999997E-6</v>
      </c>
      <c r="F359">
        <v>586817.66379999998</v>
      </c>
      <c r="G359">
        <v>2137.6086770000002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-6.1014724871919002E-2</v>
      </c>
      <c r="M359" s="1">
        <f t="shared" si="23"/>
        <v>2.085317908223271E-2</v>
      </c>
      <c r="N359" s="1">
        <f t="shared" si="24"/>
        <v>4873044.5940366825</v>
      </c>
      <c r="O359" s="1"/>
    </row>
    <row r="360" spans="1:15" x14ac:dyDescent="0.25">
      <c r="A360">
        <v>510</v>
      </c>
      <c r="B360">
        <v>18570.2611</v>
      </c>
      <c r="C360" s="1">
        <v>6.9999999999999997E-7</v>
      </c>
      <c r="D360">
        <v>92394.706980000003</v>
      </c>
      <c r="E360" s="1">
        <v>-1.72E-6</v>
      </c>
      <c r="F360">
        <v>588645.64549999998</v>
      </c>
      <c r="G360">
        <v>1087.2625049999999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1.02341166728255E-2</v>
      </c>
      <c r="M360" s="1">
        <f t="shared" si="23"/>
        <v>-8.4338118409728567E-3</v>
      </c>
      <c r="N360" s="1">
        <f t="shared" si="24"/>
        <v>2494442.8036838877</v>
      </c>
      <c r="O360" s="1"/>
    </row>
    <row r="361" spans="1:15" x14ac:dyDescent="0.25">
      <c r="A361">
        <v>511</v>
      </c>
      <c r="B361">
        <v>27598.16689</v>
      </c>
      <c r="C361" s="1">
        <v>4.8999999999999997E-6</v>
      </c>
      <c r="D361">
        <v>431173.48460000003</v>
      </c>
      <c r="E361" s="1">
        <v>3.9799999999999998E-5</v>
      </c>
      <c r="F361">
        <v>788134.65850000002</v>
      </c>
      <c r="G361">
        <v>2139.7246829999999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5.8787824895458751E-2</v>
      </c>
      <c r="M361" s="1">
        <f t="shared" si="23"/>
        <v>0.16014652556450812</v>
      </c>
      <c r="N361" s="1">
        <f t="shared" si="24"/>
        <v>4028431.8740492589</v>
      </c>
      <c r="O361" s="1"/>
    </row>
    <row r="362" spans="1:15" x14ac:dyDescent="0.25">
      <c r="A362">
        <v>512</v>
      </c>
      <c r="B362">
        <v>24975.755130000001</v>
      </c>
      <c r="C362" s="1">
        <v>4.7999999999999998E-6</v>
      </c>
      <c r="D362">
        <v>316544.6471</v>
      </c>
      <c r="E362" s="1">
        <v>-4.35E-5</v>
      </c>
      <c r="F362">
        <v>706326.17009999999</v>
      </c>
      <c r="G362">
        <v>15665.384260000001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2.4780421011060001E-2</v>
      </c>
      <c r="M362" s="1">
        <f t="shared" si="23"/>
        <v>-7.531818347688525E-2</v>
      </c>
      <c r="N362" s="1">
        <f t="shared" si="24"/>
        <v>12690984.410515683</v>
      </c>
      <c r="O362" s="1"/>
    </row>
    <row r="363" spans="1:15" x14ac:dyDescent="0.25">
      <c r="A363">
        <v>513</v>
      </c>
      <c r="B363">
        <v>22105.32417</v>
      </c>
      <c r="C363" s="1">
        <v>5.9999999999999997E-7</v>
      </c>
      <c r="D363">
        <v>172899.4762</v>
      </c>
      <c r="E363">
        <v>0</v>
      </c>
      <c r="F363">
        <v>629597.8885</v>
      </c>
      <c r="G363">
        <v>5180.4725099999996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7.4455389898499995E-3</v>
      </c>
      <c r="M363" s="1">
        <f t="shared" si="23"/>
        <v>0</v>
      </c>
      <c r="N363" s="1">
        <f t="shared" si="24"/>
        <v>10087907.246213363</v>
      </c>
      <c r="O363" s="1"/>
    </row>
    <row r="364" spans="1:15" x14ac:dyDescent="0.25">
      <c r="A364">
        <v>514</v>
      </c>
      <c r="B364">
        <v>23988.756819999999</v>
      </c>
      <c r="C364" s="1">
        <v>3.8999999999999999E-6</v>
      </c>
      <c r="D364">
        <v>281840.24690000003</v>
      </c>
      <c r="E364" s="1">
        <v>3.8699999999999999E-5</v>
      </c>
      <c r="F364">
        <v>673586.57330000005</v>
      </c>
      <c r="G364">
        <v>5123.206655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2.2152613182121503E-2</v>
      </c>
      <c r="M364" s="1">
        <f t="shared" si="23"/>
        <v>7.3724945314511348E-2</v>
      </c>
      <c r="N364" s="1">
        <f t="shared" si="24"/>
        <v>4566558.7213369356</v>
      </c>
      <c r="O364" s="1"/>
    </row>
    <row r="365" spans="1:15" x14ac:dyDescent="0.25">
      <c r="A365">
        <v>517</v>
      </c>
      <c r="B365">
        <v>505109.76089999999</v>
      </c>
      <c r="C365">
        <v>1471.2379060000001</v>
      </c>
      <c r="D365">
        <v>844767.02650000004</v>
      </c>
      <c r="E365">
        <v>5801.5562190000001</v>
      </c>
      <c r="F365">
        <v>1242305.476</v>
      </c>
      <c r="G365">
        <v>7019.0046400000001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3391578.5521728047</v>
      </c>
      <c r="M365" s="1">
        <f t="shared" si="23"/>
        <v>4485456.1604966857</v>
      </c>
      <c r="N365" s="1">
        <f t="shared" si="24"/>
        <v>2539108.8486664779</v>
      </c>
      <c r="O365" s="1"/>
    </row>
    <row r="366" spans="1:15" x14ac:dyDescent="0.25">
      <c r="A366">
        <v>518</v>
      </c>
      <c r="B366">
        <v>305243.80800000002</v>
      </c>
      <c r="C366" s="1">
        <v>4.8399999999999997E-5</v>
      </c>
      <c r="D366">
        <v>713471.58929999999</v>
      </c>
      <c r="E366">
        <v>11967.04046</v>
      </c>
      <c r="F366">
        <v>1087121.534</v>
      </c>
      <c r="G366">
        <v>15000.12579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0.20711262349477702</v>
      </c>
      <c r="M366" s="1">
        <f t="shared" si="23"/>
        <v>17174776.911641642</v>
      </c>
      <c r="N366" s="1">
        <f t="shared" si="24"/>
        <v>10072631.001973733</v>
      </c>
      <c r="O366" s="1"/>
    </row>
    <row r="367" spans="1:15" x14ac:dyDescent="0.25">
      <c r="A367">
        <v>519</v>
      </c>
      <c r="B367">
        <v>168017.5343</v>
      </c>
      <c r="C367" s="1">
        <v>4.7700000000000001E-5</v>
      </c>
      <c r="D367">
        <v>633013.34120000002</v>
      </c>
      <c r="E367">
        <v>10705.12651</v>
      </c>
      <c r="F367">
        <v>984017.64969999995</v>
      </c>
      <c r="G367">
        <v>7748.0702199999996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0.27622057382960624</v>
      </c>
      <c r="M367" s="1">
        <f t="shared" si="23"/>
        <v>20790866.275676154</v>
      </c>
      <c r="N367" s="1">
        <f t="shared" si="24"/>
        <v>7040735.1404137826</v>
      </c>
      <c r="O367" s="1"/>
    </row>
    <row r="368" spans="1:15" x14ac:dyDescent="0.25">
      <c r="A368">
        <v>520</v>
      </c>
      <c r="B368">
        <v>215741.15539999999</v>
      </c>
      <c r="C368">
        <v>4625.4966160000004</v>
      </c>
      <c r="D368">
        <v>667620.09450000001</v>
      </c>
      <c r="E368">
        <v>11715.996510000001</v>
      </c>
      <c r="F368">
        <v>1033573.341</v>
      </c>
      <c r="G368">
        <v>20118.007860000002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40609739.27045273</v>
      </c>
      <c r="M368" s="1">
        <f t="shared" si="23"/>
        <v>34498022.746461034</v>
      </c>
      <c r="N368" s="1">
        <f t="shared" si="24"/>
        <v>27716834.091007605</v>
      </c>
      <c r="O368" s="1"/>
    </row>
    <row r="369" spans="1:15" x14ac:dyDescent="0.25">
      <c r="A369">
        <v>521</v>
      </c>
      <c r="B369">
        <v>110364.02650000001</v>
      </c>
      <c r="C369" s="1">
        <v>-3.57E-5</v>
      </c>
      <c r="D369">
        <v>603252.91819999996</v>
      </c>
      <c r="E369">
        <v>8811.5090939999991</v>
      </c>
      <c r="F369">
        <v>958816.42550000001</v>
      </c>
      <c r="G369">
        <v>2002.2978459999999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-0.36174780316324651</v>
      </c>
      <c r="M369" s="1">
        <f t="shared" si="23"/>
        <v>29945468.842621338</v>
      </c>
      <c r="N369" s="1">
        <f t="shared" si="24"/>
        <v>3183854.2728307717</v>
      </c>
      <c r="O369" s="1"/>
    </row>
    <row r="370" spans="1:15" x14ac:dyDescent="0.25">
      <c r="A370">
        <v>522</v>
      </c>
      <c r="B370">
        <v>47779.049429999999</v>
      </c>
      <c r="C370" s="1">
        <v>9.9999999999999995E-7</v>
      </c>
      <c r="D370">
        <v>529601.34730000002</v>
      </c>
      <c r="E370">
        <v>5243.3478759999998</v>
      </c>
      <c r="F370">
        <v>844952.8101</v>
      </c>
      <c r="G370">
        <v>11003.28865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9.0705188439449986E-3</v>
      </c>
      <c r="M370" s="1">
        <f t="shared" si="23"/>
        <v>15950853.978133082</v>
      </c>
      <c r="N370" s="1">
        <f t="shared" si="24"/>
        <v>15661791.967091534</v>
      </c>
      <c r="O370" s="1"/>
    </row>
    <row r="371" spans="1:15" x14ac:dyDescent="0.25">
      <c r="A371">
        <v>523</v>
      </c>
      <c r="B371">
        <v>56643.795940000004</v>
      </c>
      <c r="C371" s="1">
        <v>-3.9999999999999998E-6</v>
      </c>
      <c r="D371">
        <v>552725.96959999995</v>
      </c>
      <c r="E371">
        <v>3273.732884</v>
      </c>
      <c r="F371">
        <v>906475.28469999996</v>
      </c>
      <c r="G371">
        <v>13194.29772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-0.11084978732892999</v>
      </c>
      <c r="M371" s="1">
        <f t="shared" si="23"/>
        <v>30427148.263061985</v>
      </c>
      <c r="N371" s="1">
        <f t="shared" si="24"/>
        <v>57378338.390035301</v>
      </c>
      <c r="O371" s="1"/>
    </row>
    <row r="372" spans="1:15" x14ac:dyDescent="0.25">
      <c r="A372">
        <v>524</v>
      </c>
      <c r="B372">
        <v>34616.190430000002</v>
      </c>
      <c r="C372" s="1">
        <v>2.7E-6</v>
      </c>
      <c r="D372">
        <v>361121.76559999998</v>
      </c>
      <c r="E372">
        <v>18011.060399999998</v>
      </c>
      <c r="F372">
        <v>739122.36349999998</v>
      </c>
      <c r="G372">
        <v>38945.040869999997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2.7212079061322999E-2</v>
      </c>
      <c r="M372" s="1">
        <f t="shared" si="23"/>
        <v>60880804.05077374</v>
      </c>
      <c r="N372" s="1">
        <f t="shared" si="24"/>
        <v>61593791.556975119</v>
      </c>
      <c r="O372" s="1"/>
    </row>
    <row r="373" spans="1:15" x14ac:dyDescent="0.25">
      <c r="A373">
        <v>525</v>
      </c>
      <c r="B373">
        <v>396580.56969999999</v>
      </c>
      <c r="C373">
        <v>16638.220140000001</v>
      </c>
      <c r="D373">
        <v>766297.9094</v>
      </c>
      <c r="E373">
        <v>12015.477989999999</v>
      </c>
      <c r="F373">
        <v>1160834.8370000001</v>
      </c>
      <c r="G373">
        <v>35202.408929999998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61872679.802468218</v>
      </c>
      <c r="M373" s="1">
        <f t="shared" si="23"/>
        <v>14985672.922700623</v>
      </c>
      <c r="N373" s="1">
        <f t="shared" si="24"/>
        <v>20542403.665294807</v>
      </c>
      <c r="O373" s="1"/>
    </row>
    <row r="374" spans="1:15" x14ac:dyDescent="0.25">
      <c r="A374">
        <v>527</v>
      </c>
      <c r="B374">
        <v>16785.715209999998</v>
      </c>
      <c r="C374" s="1">
        <v>4.1999999999999996E-6</v>
      </c>
      <c r="D374">
        <v>291962.02480000001</v>
      </c>
      <c r="E374">
        <v>16195.74698</v>
      </c>
      <c r="F374">
        <v>755623.93110000005</v>
      </c>
      <c r="G374">
        <v>16871.4139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0.26959678750641003</v>
      </c>
      <c r="M374" s="1">
        <f t="shared" si="23"/>
        <v>348665954.52097869</v>
      </c>
      <c r="N374" s="1">
        <f t="shared" si="24"/>
        <v>169943170.98511401</v>
      </c>
      <c r="O374" s="1"/>
    </row>
    <row r="375" spans="1:15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3151.4163579999999</v>
      </c>
      <c r="F375">
        <v>832003.87340000004</v>
      </c>
      <c r="G375">
        <v>12596.46904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2.8980817849841002E-2</v>
      </c>
      <c r="M375" s="1">
        <f t="shared" si="23"/>
        <v>8278617.84198137</v>
      </c>
      <c r="N375" s="1">
        <f t="shared" si="24"/>
        <v>15482623.463425763</v>
      </c>
      <c r="O375" s="1"/>
    </row>
    <row r="376" spans="1:15" x14ac:dyDescent="0.25">
      <c r="A376">
        <v>531</v>
      </c>
      <c r="B376">
        <v>120796.7447</v>
      </c>
      <c r="C376">
        <v>0</v>
      </c>
      <c r="D376">
        <v>600001.22199999995</v>
      </c>
      <c r="E376">
        <v>16924.737710000001</v>
      </c>
      <c r="F376">
        <v>966621.36049999995</v>
      </c>
      <c r="G376">
        <v>11095.31919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0</v>
      </c>
      <c r="M376" s="1">
        <f t="shared" si="23"/>
        <v>46258531.7924136</v>
      </c>
      <c r="N376" s="1">
        <f t="shared" si="24"/>
        <v>14189051.866619496</v>
      </c>
      <c r="O376" s="1"/>
    </row>
    <row r="377" spans="1:15" x14ac:dyDescent="0.25">
      <c r="A377">
        <v>532</v>
      </c>
      <c r="B377">
        <v>33297.340640000002</v>
      </c>
      <c r="C377" s="1">
        <v>-5.0000000000000004E-6</v>
      </c>
      <c r="D377">
        <v>505881.69329999998</v>
      </c>
      <c r="E377">
        <v>598.54668609999999</v>
      </c>
      <c r="F377">
        <v>855764.68830000004</v>
      </c>
      <c r="G377">
        <v>16838.883140000002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-9.9185337194775014E-2</v>
      </c>
      <c r="M377" s="1">
        <f t="shared" si="23"/>
        <v>3982159.3740019426</v>
      </c>
      <c r="N377" s="1">
        <f t="shared" si="24"/>
        <v>52417652.562116861</v>
      </c>
      <c r="O377" s="1"/>
    </row>
    <row r="378" spans="1:15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 s="1">
        <v>-2.4700000000000001E-5</v>
      </c>
      <c r="F378">
        <v>767721.87670000002</v>
      </c>
      <c r="G378">
        <v>5525.185915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5.7683141690772002E-2</v>
      </c>
      <c r="M378" s="1">
        <f t="shared" si="23"/>
        <v>-9.9551488701324006E-2</v>
      </c>
      <c r="N378" s="1">
        <f t="shared" si="24"/>
        <v>10419368.065476244</v>
      </c>
      <c r="O378" s="1"/>
    </row>
    <row r="379" spans="1:15" x14ac:dyDescent="0.25">
      <c r="A379">
        <v>534</v>
      </c>
      <c r="B379">
        <v>343835.80829999998</v>
      </c>
      <c r="C379" s="1">
        <v>-4.35E-5</v>
      </c>
      <c r="D379">
        <v>731962.8689</v>
      </c>
      <c r="E379">
        <v>14744.046109999999</v>
      </c>
      <c r="F379">
        <v>1141921.3770000001</v>
      </c>
      <c r="G379">
        <v>32103.248920000002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-0.34653048763144501</v>
      </c>
      <c r="M379" s="1">
        <f t="shared" si="23"/>
        <v>39392360.898978621</v>
      </c>
      <c r="N379" s="1">
        <f t="shared" si="24"/>
        <v>40131740.381458133</v>
      </c>
      <c r="O379" s="1"/>
    </row>
    <row r="380" spans="1:15" x14ac:dyDescent="0.25">
      <c r="A380">
        <v>535</v>
      </c>
      <c r="B380">
        <v>94243.148839999994</v>
      </c>
      <c r="C380" s="1">
        <v>1.08E-6</v>
      </c>
      <c r="D380">
        <v>590101.62470000004</v>
      </c>
      <c r="E380">
        <v>13866.565629999999</v>
      </c>
      <c r="F380">
        <v>950995.43259999994</v>
      </c>
      <c r="G380">
        <v>10633.934600000001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5.1361023450789004E-3</v>
      </c>
      <c r="M380" s="1">
        <f t="shared" si="23"/>
        <v>22116783.268653132</v>
      </c>
      <c r="N380" s="1">
        <f t="shared" si="24"/>
        <v>7935799.9950434724</v>
      </c>
      <c r="O380" s="1"/>
    </row>
    <row r="381" spans="1:15" x14ac:dyDescent="0.25">
      <c r="A381">
        <v>536</v>
      </c>
      <c r="B381">
        <v>200645.52729999999</v>
      </c>
      <c r="C381">
        <v>0</v>
      </c>
      <c r="D381">
        <v>639738.95779999997</v>
      </c>
      <c r="E381">
        <v>19406.372609999999</v>
      </c>
      <c r="F381">
        <v>1024634.566</v>
      </c>
      <c r="G381">
        <v>23476.023539999998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0</v>
      </c>
      <c r="M381" s="1">
        <f t="shared" si="23"/>
        <v>21553583.542243604</v>
      </c>
      <c r="N381" s="1">
        <f t="shared" si="24"/>
        <v>12199536.645293357</v>
      </c>
      <c r="O381" s="1"/>
    </row>
    <row r="382" spans="1:15" x14ac:dyDescent="0.25">
      <c r="A382">
        <v>537</v>
      </c>
      <c r="B382">
        <v>444844.63760000002</v>
      </c>
      <c r="C382">
        <v>1327.1896509999999</v>
      </c>
      <c r="D382">
        <v>802409.20279999997</v>
      </c>
      <c r="E382">
        <v>22168.627469999999</v>
      </c>
      <c r="F382">
        <v>1219656.855</v>
      </c>
      <c r="G382">
        <v>12409.11709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4602522.794221242</v>
      </c>
      <c r="M382" s="1">
        <f t="shared" si="23"/>
        <v>25783680.079350527</v>
      </c>
      <c r="N382" s="1">
        <f t="shared" si="24"/>
        <v>6752905.2958168695</v>
      </c>
      <c r="O382" s="1"/>
    </row>
    <row r="383" spans="1:15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 s="1">
        <v>-2.4199999999999999E-5</v>
      </c>
      <c r="F383">
        <v>771253.88320000004</v>
      </c>
      <c r="G383">
        <v>15164.46148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1.8183173882327999E-2</v>
      </c>
      <c r="M383" s="1">
        <f t="shared" si="23"/>
        <v>-0.12298352837642255</v>
      </c>
      <c r="N383" s="1">
        <f t="shared" si="24"/>
        <v>36058051.374507576</v>
      </c>
      <c r="O383" s="1"/>
    </row>
    <row r="384" spans="1:15" x14ac:dyDescent="0.25">
      <c r="A384">
        <v>539</v>
      </c>
      <c r="B384">
        <v>503027.81449999998</v>
      </c>
      <c r="C384">
        <v>10922.80935</v>
      </c>
      <c r="D384">
        <v>884773.91429999995</v>
      </c>
      <c r="E384">
        <v>21218.757020000001</v>
      </c>
      <c r="F384">
        <v>1272131.2849999999</v>
      </c>
      <c r="G384">
        <v>16747.304649999998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56283975.488907233</v>
      </c>
      <c r="M384" s="1">
        <f t="shared" si="23"/>
        <v>36670217.715497173</v>
      </c>
      <c r="N384" s="1">
        <f t="shared" si="24"/>
        <v>13541979.361456823</v>
      </c>
      <c r="O384" s="1"/>
    </row>
    <row r="385" spans="1:15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 s="1">
        <v>2.1799999999999999E-6</v>
      </c>
      <c r="F385">
        <v>653720.53989999997</v>
      </c>
      <c r="G385">
        <v>8506.4365789999993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1.7867822696223501E-2</v>
      </c>
      <c r="M385" s="1">
        <f t="shared" si="23"/>
        <v>1.1876229451962596E-2</v>
      </c>
      <c r="N385" s="1">
        <f t="shared" si="24"/>
        <v>21682703.5778527</v>
      </c>
      <c r="O385" s="1"/>
    </row>
    <row r="386" spans="1:15" x14ac:dyDescent="0.25">
      <c r="A386">
        <v>541</v>
      </c>
      <c r="B386">
        <v>288456.43430000002</v>
      </c>
      <c r="C386" s="1">
        <v>-1.6500000000000001E-5</v>
      </c>
      <c r="D386">
        <v>694681.9719</v>
      </c>
      <c r="E386">
        <v>22463.93346</v>
      </c>
      <c r="F386">
        <v>1100117.1980000001</v>
      </c>
      <c r="G386">
        <v>25611.439579999998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-9.854304548356127E-2</v>
      </c>
      <c r="M386" s="1">
        <f t="shared" si="23"/>
        <v>44995696.301919557</v>
      </c>
      <c r="N386" s="1">
        <f t="shared" si="24"/>
        <v>24002851.66004708</v>
      </c>
      <c r="O386" s="1"/>
    </row>
    <row r="387" spans="1:15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501.49411350000003</v>
      </c>
      <c r="F387">
        <v>806393.81310000003</v>
      </c>
      <c r="G387">
        <v>13091.584699999999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3.0542828132748751E-2</v>
      </c>
      <c r="M387" s="1">
        <f t="shared" ref="M387:M450" si="27">$U$3*$K387*E387</f>
        <v>1657129.8148739559</v>
      </c>
      <c r="N387" s="1">
        <f t="shared" ref="N387:N450" si="28">$U$4*$K387*G387</f>
        <v>20240749.474291392</v>
      </c>
      <c r="O387" s="1"/>
    </row>
    <row r="388" spans="1:15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 s="1">
        <v>-2.1500000000000001E-5</v>
      </c>
      <c r="F388">
        <v>711747.63520000002</v>
      </c>
      <c r="G388">
        <v>11781.13932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-3.4732928203759499E-2</v>
      </c>
      <c r="M388" s="1">
        <f t="shared" si="27"/>
        <v>-5.8244448833996702E-2</v>
      </c>
      <c r="N388" s="1">
        <f t="shared" si="28"/>
        <v>14932999.480617138</v>
      </c>
      <c r="O388" s="1"/>
    </row>
    <row r="389" spans="1:15" x14ac:dyDescent="0.25">
      <c r="A389">
        <v>544</v>
      </c>
      <c r="B389">
        <v>24217.011689999999</v>
      </c>
      <c r="C389" s="1">
        <v>-3.9999999999999998E-6</v>
      </c>
      <c r="D389">
        <v>310253.00689999998</v>
      </c>
      <c r="E389" s="1">
        <v>-2.9600000000000001E-5</v>
      </c>
      <c r="F389">
        <v>701348.4105</v>
      </c>
      <c r="G389">
        <v>18295.268810000001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-4.5739538749060005E-2</v>
      </c>
      <c r="M389" s="1">
        <f t="shared" si="27"/>
        <v>-0.11351849832305169</v>
      </c>
      <c r="N389" s="1">
        <f t="shared" si="28"/>
        <v>32828980.761255898</v>
      </c>
      <c r="O389" s="1"/>
    </row>
    <row r="390" spans="1:15" x14ac:dyDescent="0.25">
      <c r="A390">
        <v>545</v>
      </c>
      <c r="B390">
        <v>36291.227480000001</v>
      </c>
      <c r="C390" s="1">
        <v>1.9999999999999999E-7</v>
      </c>
      <c r="D390">
        <v>504315.61359999998</v>
      </c>
      <c r="E390">
        <v>598.54659549999997</v>
      </c>
      <c r="F390">
        <v>826451.88659999997</v>
      </c>
      <c r="G390">
        <v>9031.4456609999997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2.7359460694280002E-3</v>
      </c>
      <c r="M390" s="1">
        <f t="shared" si="27"/>
        <v>2746114.4827803574</v>
      </c>
      <c r="N390" s="1">
        <f t="shared" si="28"/>
        <v>19387491.70970371</v>
      </c>
      <c r="O390" s="1"/>
    </row>
    <row r="391" spans="1:15" x14ac:dyDescent="0.25">
      <c r="A391">
        <v>548</v>
      </c>
      <c r="B391">
        <v>6632.596415</v>
      </c>
      <c r="C391" s="1">
        <v>-2.9999999999999999E-7</v>
      </c>
      <c r="D391">
        <v>34289.275399999999</v>
      </c>
      <c r="E391" s="1">
        <v>-3.0000000000000001E-6</v>
      </c>
      <c r="F391">
        <v>240745.09789999999</v>
      </c>
      <c r="G391" s="1">
        <v>2.6100000000000001E-5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-3.9593518191435003E-3</v>
      </c>
      <c r="M391" s="1">
        <f t="shared" si="27"/>
        <v>-1.3279056870358201E-2</v>
      </c>
      <c r="N391" s="1">
        <f t="shared" si="28"/>
        <v>5.4054289297045269E-2</v>
      </c>
      <c r="O391" s="1"/>
    </row>
    <row r="392" spans="1:15" x14ac:dyDescent="0.25">
      <c r="A392">
        <v>549</v>
      </c>
      <c r="B392">
        <v>6319.2327670000004</v>
      </c>
      <c r="C392" s="1">
        <v>-3.9999999999999998E-7</v>
      </c>
      <c r="D392">
        <v>36004.943140000003</v>
      </c>
      <c r="E392" s="1">
        <v>-2.9000000000000002E-6</v>
      </c>
      <c r="F392">
        <v>330597.53779999999</v>
      </c>
      <c r="G392" s="1">
        <v>4.2700000000000001E-5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-7.4358469012100002E-3</v>
      </c>
      <c r="M392" s="1">
        <f t="shared" si="27"/>
        <v>-1.8080547734403703E-2</v>
      </c>
      <c r="N392" s="1">
        <f t="shared" si="28"/>
        <v>0.12456187535973091</v>
      </c>
      <c r="O392" s="1"/>
    </row>
    <row r="393" spans="1:15" x14ac:dyDescent="0.25">
      <c r="A393">
        <v>550</v>
      </c>
      <c r="B393">
        <v>19062.927169999999</v>
      </c>
      <c r="C393" s="1">
        <v>4.9999999999999998E-7</v>
      </c>
      <c r="D393">
        <v>96180.548880000002</v>
      </c>
      <c r="E393" s="1">
        <v>1.8E-7</v>
      </c>
      <c r="F393">
        <v>585143.9817</v>
      </c>
      <c r="G393">
        <v>1064.6131379999999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5.8812649220649996E-3</v>
      </c>
      <c r="M393" s="1">
        <f t="shared" si="27"/>
        <v>7.1009487859024795E-4</v>
      </c>
      <c r="N393" s="1">
        <f t="shared" si="28"/>
        <v>1965076.1052832997</v>
      </c>
      <c r="O393" s="1"/>
    </row>
    <row r="394" spans="1:15" x14ac:dyDescent="0.25">
      <c r="A394">
        <v>551</v>
      </c>
      <c r="B394">
        <v>8137.5718539999998</v>
      </c>
      <c r="C394" s="1">
        <v>-4.9999999999999998E-7</v>
      </c>
      <c r="D394">
        <v>34025.320449999999</v>
      </c>
      <c r="E394" s="1">
        <v>2.5000000000000002E-6</v>
      </c>
      <c r="F394">
        <v>327992.00209999998</v>
      </c>
      <c r="G394" s="1">
        <v>4.5600000000000004E-6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-8.5616324611999996E-3</v>
      </c>
      <c r="M394" s="1">
        <f t="shared" si="27"/>
        <v>1.4357199050320001E-2</v>
      </c>
      <c r="N394" s="1">
        <f t="shared" si="28"/>
        <v>1.2252881508779524E-2</v>
      </c>
      <c r="O394" s="1"/>
    </row>
    <row r="395" spans="1:15" x14ac:dyDescent="0.25">
      <c r="A395">
        <v>554</v>
      </c>
      <c r="B395">
        <v>178435.11730000001</v>
      </c>
      <c r="C395" s="1">
        <v>-2.83E-5</v>
      </c>
      <c r="D395">
        <v>611141.28489999997</v>
      </c>
      <c r="E395">
        <v>25047.44613</v>
      </c>
      <c r="F395">
        <v>978622.99529999995</v>
      </c>
      <c r="G395">
        <v>14752.26029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-0.10207218206580525</v>
      </c>
      <c r="M395" s="1">
        <f t="shared" si="27"/>
        <v>30298948.138240192</v>
      </c>
      <c r="N395" s="1">
        <f t="shared" si="28"/>
        <v>8349612.9718243517</v>
      </c>
      <c r="O395" s="1"/>
    </row>
    <row r="396" spans="1:15" x14ac:dyDescent="0.25">
      <c r="A396">
        <v>555</v>
      </c>
      <c r="B396">
        <v>297712.71620000002</v>
      </c>
      <c r="C396">
        <v>82625.173299999995</v>
      </c>
      <c r="D396">
        <v>687591.76800000004</v>
      </c>
      <c r="E396">
        <v>62223.063110000003</v>
      </c>
      <c r="F396">
        <v>1064275.1880000001</v>
      </c>
      <c r="G396">
        <v>75920.562080000003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457195803.68235308</v>
      </c>
      <c r="M396" s="1">
        <f t="shared" si="27"/>
        <v>115474044.11754538</v>
      </c>
      <c r="N396" s="1">
        <f t="shared" si="28"/>
        <v>65922866.305676654</v>
      </c>
      <c r="O396" s="1"/>
    </row>
    <row r="397" spans="1:15" x14ac:dyDescent="0.25">
      <c r="A397">
        <v>556</v>
      </c>
      <c r="B397">
        <v>402571.59789999999</v>
      </c>
      <c r="C397">
        <v>69212.213250000001</v>
      </c>
      <c r="D397">
        <v>779965.09959999996</v>
      </c>
      <c r="E397">
        <v>90371.965710000004</v>
      </c>
      <c r="F397">
        <v>1167884.6040000001</v>
      </c>
      <c r="G397">
        <v>78000.805529999998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333565957.12906003</v>
      </c>
      <c r="M397" s="1">
        <f t="shared" si="27"/>
        <v>146074984.8277477</v>
      </c>
      <c r="N397" s="1">
        <f t="shared" si="28"/>
        <v>58990881.642990664</v>
      </c>
      <c r="O397" s="1"/>
    </row>
    <row r="398" spans="1:15" x14ac:dyDescent="0.25">
      <c r="A398">
        <v>557</v>
      </c>
      <c r="B398">
        <v>227066.4277</v>
      </c>
      <c r="C398">
        <v>85478.17267</v>
      </c>
      <c r="D398">
        <v>660022.7182</v>
      </c>
      <c r="E398">
        <v>65236.801149999999</v>
      </c>
      <c r="F398">
        <v>1002102.949</v>
      </c>
      <c r="G398">
        <v>96682.447329999995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700430609.944139</v>
      </c>
      <c r="M398" s="1">
        <f t="shared" si="27"/>
        <v>179285712.84025505</v>
      </c>
      <c r="N398" s="1">
        <f t="shared" si="28"/>
        <v>124320955.15910208</v>
      </c>
      <c r="O398" s="1"/>
    </row>
    <row r="399" spans="1:15" x14ac:dyDescent="0.25">
      <c r="A399">
        <v>558</v>
      </c>
      <c r="B399">
        <v>303165.2181</v>
      </c>
      <c r="C399">
        <v>3540.269769</v>
      </c>
      <c r="D399">
        <v>699025.64450000005</v>
      </c>
      <c r="E399">
        <v>17815.26311</v>
      </c>
      <c r="F399">
        <v>1078378.4380000001</v>
      </c>
      <c r="G399">
        <v>44699.811350000004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36266246.025831148</v>
      </c>
      <c r="M399" s="1">
        <f t="shared" si="27"/>
        <v>61207074.841530412</v>
      </c>
      <c r="N399" s="1">
        <f t="shared" si="28"/>
        <v>71855290.947283506</v>
      </c>
      <c r="O399" s="1"/>
    </row>
    <row r="400" spans="1:15" x14ac:dyDescent="0.25">
      <c r="A400">
        <v>559</v>
      </c>
      <c r="B400">
        <v>394301.38130000001</v>
      </c>
      <c r="C400">
        <v>81625.670499999993</v>
      </c>
      <c r="D400">
        <v>779948.71719999996</v>
      </c>
      <c r="E400">
        <v>78992.286959999998</v>
      </c>
      <c r="F400">
        <v>1175393.912</v>
      </c>
      <c r="G400">
        <v>67744.866179999997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261311574.65495297</v>
      </c>
      <c r="M400" s="1">
        <f t="shared" si="27"/>
        <v>84812469.687702075</v>
      </c>
      <c r="N400" s="1">
        <f t="shared" si="28"/>
        <v>34032596.888858855</v>
      </c>
      <c r="O400" s="1"/>
    </row>
    <row r="401" spans="1:15" x14ac:dyDescent="0.25">
      <c r="A401">
        <v>560</v>
      </c>
      <c r="B401">
        <v>206737.09779999999</v>
      </c>
      <c r="C401">
        <v>104886.51639999999</v>
      </c>
      <c r="D401">
        <v>634570.81019999995</v>
      </c>
      <c r="E401">
        <v>80346.542990000002</v>
      </c>
      <c r="F401">
        <v>968361.94510000001</v>
      </c>
      <c r="G401">
        <v>122404.43210000001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540101104.33598781</v>
      </c>
      <c r="M401" s="1">
        <f t="shared" si="27"/>
        <v>138760461.7193408</v>
      </c>
      <c r="N401" s="1">
        <f t="shared" si="28"/>
        <v>98909808.790528402</v>
      </c>
      <c r="O401" s="1"/>
    </row>
    <row r="402" spans="1:15" x14ac:dyDescent="0.25">
      <c r="A402">
        <v>561</v>
      </c>
      <c r="B402">
        <v>242560.97409999999</v>
      </c>
      <c r="C402">
        <v>102704.18550000001</v>
      </c>
      <c r="D402">
        <v>659407.01540000003</v>
      </c>
      <c r="E402">
        <v>89842.286120000004</v>
      </c>
      <c r="F402">
        <v>1000601.844</v>
      </c>
      <c r="G402">
        <v>125321.9051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492288970.97291201</v>
      </c>
      <c r="M402" s="1">
        <f t="shared" si="27"/>
        <v>144429495.67834887</v>
      </c>
      <c r="N402" s="1">
        <f t="shared" si="28"/>
        <v>94263978.748925105</v>
      </c>
      <c r="O402" s="1"/>
    </row>
    <row r="403" spans="1:15" x14ac:dyDescent="0.25">
      <c r="A403">
        <v>562</v>
      </c>
      <c r="B403">
        <v>283675.45159999997</v>
      </c>
      <c r="C403">
        <v>110715.545</v>
      </c>
      <c r="D403">
        <v>697337.67090000003</v>
      </c>
      <c r="E403">
        <v>65907.538459999996</v>
      </c>
      <c r="F403">
        <v>1030261.588</v>
      </c>
      <c r="G403">
        <v>121093.6266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459098454.59064353</v>
      </c>
      <c r="M403" s="1">
        <f t="shared" si="27"/>
        <v>91659072.299938306</v>
      </c>
      <c r="N403" s="1">
        <f t="shared" si="28"/>
        <v>78796210.136099637</v>
      </c>
      <c r="O403" s="1"/>
    </row>
    <row r="404" spans="1:15" x14ac:dyDescent="0.25">
      <c r="A404">
        <v>563</v>
      </c>
      <c r="B404">
        <v>340554.25020000001</v>
      </c>
      <c r="C404">
        <v>86965.188389999996</v>
      </c>
      <c r="D404">
        <v>748919.65910000005</v>
      </c>
      <c r="E404">
        <v>59631.24871</v>
      </c>
      <c r="F404">
        <v>1090556.433</v>
      </c>
      <c r="G404">
        <v>109577.764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207245434.70169109</v>
      </c>
      <c r="M404" s="1">
        <f t="shared" si="27"/>
        <v>47660277.990997709</v>
      </c>
      <c r="N404" s="1">
        <f t="shared" si="28"/>
        <v>40977813.323183186</v>
      </c>
      <c r="O404" s="1"/>
    </row>
    <row r="405" spans="1:15" x14ac:dyDescent="0.25">
      <c r="A405">
        <v>564</v>
      </c>
      <c r="B405">
        <v>84255.662590000007</v>
      </c>
      <c r="C405" s="1">
        <v>2.8000000000000002E-7</v>
      </c>
      <c r="D405">
        <v>603815.84680000006</v>
      </c>
      <c r="E405">
        <v>16574.24078</v>
      </c>
      <c r="F405">
        <v>981813.47979999997</v>
      </c>
      <c r="G405">
        <v>14020.851189999999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2.2791212068079001E-3</v>
      </c>
      <c r="M405" s="1">
        <f t="shared" si="27"/>
        <v>45246623.051426105</v>
      </c>
      <c r="N405" s="1">
        <f t="shared" si="28"/>
        <v>17908969.049625997</v>
      </c>
      <c r="O405" s="1"/>
    </row>
    <row r="406" spans="1:15" x14ac:dyDescent="0.25">
      <c r="A406">
        <v>565</v>
      </c>
      <c r="B406">
        <v>142798.01029999999</v>
      </c>
      <c r="C406">
        <v>5354.4096630000004</v>
      </c>
      <c r="D406">
        <v>680613.81810000003</v>
      </c>
      <c r="E406">
        <v>21783.872309999999</v>
      </c>
      <c r="F406">
        <v>1034483.255</v>
      </c>
      <c r="G406">
        <v>50387.576000000001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148899502.35125989</v>
      </c>
      <c r="M406" s="1">
        <f t="shared" si="27"/>
        <v>203170135.43983349</v>
      </c>
      <c r="N406" s="1">
        <f t="shared" si="28"/>
        <v>219883140.82904869</v>
      </c>
      <c r="O406" s="1"/>
    </row>
    <row r="407" spans="1:15" x14ac:dyDescent="0.25">
      <c r="A407">
        <v>566</v>
      </c>
      <c r="B407">
        <v>168280.97080000001</v>
      </c>
      <c r="C407">
        <v>28291.496169999999</v>
      </c>
      <c r="D407">
        <v>707490.83629999997</v>
      </c>
      <c r="E407">
        <v>24141.98921</v>
      </c>
      <c r="F407">
        <v>1077620.0260000001</v>
      </c>
      <c r="G407">
        <v>37263.197310000003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671411580.41168082</v>
      </c>
      <c r="M407" s="1">
        <f t="shared" si="27"/>
        <v>192153854.56389657</v>
      </c>
      <c r="N407" s="1">
        <f t="shared" si="28"/>
        <v>138771359.68130893</v>
      </c>
      <c r="O407" s="1"/>
    </row>
    <row r="408" spans="1:15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>
        <v>34199.734700000001</v>
      </c>
      <c r="F408">
        <v>954962.74289999995</v>
      </c>
      <c r="G408">
        <v>44300.578450000001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-2.7602720056610401E-2</v>
      </c>
      <c r="M408" s="1">
        <f t="shared" si="27"/>
        <v>104146378.15774743</v>
      </c>
      <c r="N408" s="1">
        <f t="shared" si="28"/>
        <v>63121092.844498113</v>
      </c>
      <c r="O408" s="1"/>
    </row>
    <row r="409" spans="1:15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 s="1">
        <v>-3.4199999999999999E-6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-7.8836733655160002E-3</v>
      </c>
      <c r="M409" s="1">
        <f t="shared" si="27"/>
        <v>3.1728753114138239E-2</v>
      </c>
      <c r="N409" s="1">
        <f t="shared" si="28"/>
        <v>-1.0577463910871544E-2</v>
      </c>
      <c r="O409" s="1"/>
    </row>
    <row r="410" spans="1:15" x14ac:dyDescent="0.25">
      <c r="A410">
        <v>571</v>
      </c>
      <c r="B410">
        <v>4219.4067370000002</v>
      </c>
      <c r="C410" s="1">
        <v>2.9999999999999999E-7</v>
      </c>
      <c r="D410">
        <v>32003.196240000001</v>
      </c>
      <c r="E410" s="1">
        <v>-4.5000000000000001E-6</v>
      </c>
      <c r="F410">
        <v>298894.8357</v>
      </c>
      <c r="G410" s="1">
        <v>3.0300000000000001E-5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6.0608963268164997E-3</v>
      </c>
      <c r="M410" s="1">
        <f t="shared" si="27"/>
        <v>-3.0490970751830701E-2</v>
      </c>
      <c r="N410" s="1">
        <f t="shared" si="28"/>
        <v>9.6060544552097837E-2</v>
      </c>
      <c r="O410" s="1"/>
    </row>
    <row r="411" spans="1:15" x14ac:dyDescent="0.25">
      <c r="A411">
        <v>572</v>
      </c>
      <c r="B411">
        <v>5662.1937090000001</v>
      </c>
      <c r="C411" s="1">
        <v>1.9999999999999999E-7</v>
      </c>
      <c r="D411">
        <v>33929.631329999997</v>
      </c>
      <c r="E411">
        <v>0</v>
      </c>
      <c r="F411">
        <v>367027.41840000002</v>
      </c>
      <c r="G411" s="1">
        <v>-1.5999999999999999E-5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7.1767362018950003E-3</v>
      </c>
      <c r="M411" s="1">
        <f t="shared" si="27"/>
        <v>0</v>
      </c>
      <c r="N411" s="1">
        <f t="shared" si="28"/>
        <v>-9.0095642165327991E-2</v>
      </c>
      <c r="O411" s="1"/>
    </row>
    <row r="412" spans="1:15" x14ac:dyDescent="0.25">
      <c r="A412">
        <v>573</v>
      </c>
      <c r="B412">
        <v>9370.5683229999995</v>
      </c>
      <c r="C412" s="1">
        <v>1.9999999999999999E-7</v>
      </c>
      <c r="D412">
        <v>53973.093560000001</v>
      </c>
      <c r="E412">
        <v>0</v>
      </c>
      <c r="F412">
        <v>509767.67469999997</v>
      </c>
      <c r="G412" s="1">
        <v>3.6699999999999998E-5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3.3748105737580001E-3</v>
      </c>
      <c r="M412" s="1">
        <f t="shared" si="27"/>
        <v>0</v>
      </c>
      <c r="N412" s="1">
        <f t="shared" si="28"/>
        <v>9.7178968475428437E-2</v>
      </c>
      <c r="O412" s="1"/>
    </row>
    <row r="413" spans="1:15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 s="1">
        <v>3.6799999999999999E-6</v>
      </c>
      <c r="F413">
        <v>588063.48190000001</v>
      </c>
      <c r="G413">
        <v>1332.2351940000001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-0.20444653606377</v>
      </c>
      <c r="M413" s="1">
        <f t="shared" si="27"/>
        <v>6.0078823843149762E-2</v>
      </c>
      <c r="N413" s="1">
        <f t="shared" si="28"/>
        <v>10176494.067701669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 s="1">
        <v>-1.7999999999999999E-6</v>
      </c>
      <c r="F414">
        <v>127784.98540000001</v>
      </c>
      <c r="G414" s="1">
        <v>4.85E-5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-1.5251570343188817E-2</v>
      </c>
      <c r="N414" s="1">
        <f t="shared" si="28"/>
        <v>0.19227706036634837</v>
      </c>
      <c r="O414" s="1"/>
    </row>
    <row r="415" spans="1:15" x14ac:dyDescent="0.25">
      <c r="A415">
        <v>577</v>
      </c>
      <c r="B415">
        <v>100875.2743</v>
      </c>
      <c r="C415" s="1">
        <v>4.0899999999999998E-5</v>
      </c>
      <c r="D415">
        <v>583245.87049999996</v>
      </c>
      <c r="E415">
        <v>12303.22178</v>
      </c>
      <c r="F415">
        <v>945346.68830000004</v>
      </c>
      <c r="G415">
        <v>8957.7384149999998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0.53455972420182152</v>
      </c>
      <c r="M415" s="1">
        <f t="shared" si="27"/>
        <v>53930558.264033109</v>
      </c>
      <c r="N415" s="1">
        <f t="shared" si="28"/>
        <v>18372071.093196731</v>
      </c>
      <c r="O415" s="1"/>
    </row>
    <row r="416" spans="1:15" x14ac:dyDescent="0.25">
      <c r="A416">
        <v>578</v>
      </c>
      <c r="B416">
        <v>180165.15100000001</v>
      </c>
      <c r="C416">
        <v>512.02502949999996</v>
      </c>
      <c r="D416">
        <v>633523.53249999997</v>
      </c>
      <c r="E416">
        <v>23130.955259999999</v>
      </c>
      <c r="F416">
        <v>979334.48360000004</v>
      </c>
      <c r="G416">
        <v>48982.867579999998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7432287.7675689775</v>
      </c>
      <c r="M416" s="1">
        <f t="shared" si="27"/>
        <v>112607685.14735623</v>
      </c>
      <c r="N416" s="1">
        <f t="shared" si="28"/>
        <v>111573831.35339954</v>
      </c>
      <c r="O416" s="1"/>
    </row>
    <row r="417" spans="1:15" x14ac:dyDescent="0.25">
      <c r="A417">
        <v>579</v>
      </c>
      <c r="B417">
        <v>340741.16680000001</v>
      </c>
      <c r="C417" s="1">
        <v>-2.2900000000000001E-5</v>
      </c>
      <c r="D417">
        <v>725873.68980000005</v>
      </c>
      <c r="E417">
        <v>10491.77543</v>
      </c>
      <c r="F417">
        <v>1137053.7250000001</v>
      </c>
      <c r="G417">
        <v>21575.001179999999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-0.19225038743937001</v>
      </c>
      <c r="M417" s="1">
        <f t="shared" si="27"/>
        <v>29540909.661610421</v>
      </c>
      <c r="N417" s="1">
        <f t="shared" si="28"/>
        <v>28422965.284360513</v>
      </c>
      <c r="O417" s="1"/>
    </row>
    <row r="418" spans="1:15" x14ac:dyDescent="0.25">
      <c r="A418">
        <v>580</v>
      </c>
      <c r="B418">
        <v>103161.03350000001</v>
      </c>
      <c r="C418" s="1">
        <v>-4.0800000000000002E-5</v>
      </c>
      <c r="D418">
        <v>608110.09420000005</v>
      </c>
      <c r="E418">
        <v>14955.83949</v>
      </c>
      <c r="F418">
        <v>957039.66390000004</v>
      </c>
      <c r="G418">
        <v>3740.573848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-0.22682453696315402</v>
      </c>
      <c r="M418" s="1">
        <f t="shared" si="27"/>
        <v>27885844.572125256</v>
      </c>
      <c r="N418" s="1">
        <f t="shared" si="28"/>
        <v>3263284.350188782</v>
      </c>
      <c r="O418" s="1"/>
    </row>
    <row r="419" spans="1:15" x14ac:dyDescent="0.25">
      <c r="A419">
        <v>600</v>
      </c>
      <c r="B419">
        <v>36623.220020000001</v>
      </c>
      <c r="C419">
        <v>0</v>
      </c>
      <c r="D419">
        <v>358476.56189999997</v>
      </c>
      <c r="E419">
        <v>15431.131380000001</v>
      </c>
      <c r="F419">
        <v>744860.34979999997</v>
      </c>
      <c r="G419">
        <v>18968.243729999998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0</v>
      </c>
      <c r="M419" s="1">
        <f t="shared" si="27"/>
        <v>35528099.197564915</v>
      </c>
      <c r="N419" s="1">
        <f t="shared" si="28"/>
        <v>20433605.454754334</v>
      </c>
      <c r="O419" s="1"/>
    </row>
    <row r="420" spans="1:15" x14ac:dyDescent="0.25">
      <c r="A420">
        <v>601</v>
      </c>
      <c r="B420">
        <v>19013.956699999999</v>
      </c>
      <c r="C420" s="1">
        <v>5.9999999999999997E-7</v>
      </c>
      <c r="D420">
        <v>154627.27530000001</v>
      </c>
      <c r="E420">
        <v>5650.2666989999998</v>
      </c>
      <c r="F420">
        <v>644632.75529999996</v>
      </c>
      <c r="G420">
        <v>37775.589310000003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1.0534378858984499E-2</v>
      </c>
      <c r="M420" s="1">
        <f t="shared" si="27"/>
        <v>33271299.778005645</v>
      </c>
      <c r="N420" s="1">
        <f t="shared" si="28"/>
        <v>104077235.07723173</v>
      </c>
      <c r="O420" s="1"/>
    </row>
    <row r="421" spans="1:15" x14ac:dyDescent="0.25">
      <c r="A421">
        <v>602</v>
      </c>
      <c r="B421">
        <v>31121.914870000001</v>
      </c>
      <c r="C421" s="1">
        <v>-2.0999999999999998E-6</v>
      </c>
      <c r="D421">
        <v>328399.35350000003</v>
      </c>
      <c r="E421">
        <v>13102.43599</v>
      </c>
      <c r="F421">
        <v>746517.67989999999</v>
      </c>
      <c r="G421">
        <v>31736.34575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-3.1583917995493496E-2</v>
      </c>
      <c r="M421" s="1">
        <f t="shared" si="27"/>
        <v>66090934.446271844</v>
      </c>
      <c r="N421" s="1">
        <f t="shared" si="28"/>
        <v>74901487.507510722</v>
      </c>
      <c r="O421" s="1"/>
    </row>
    <row r="422" spans="1:15" x14ac:dyDescent="0.25">
      <c r="A422">
        <v>603</v>
      </c>
      <c r="B422">
        <v>17824.366429999998</v>
      </c>
      <c r="C422" s="1">
        <v>5.9999999999999997E-7</v>
      </c>
      <c r="D422">
        <v>149384.2029</v>
      </c>
      <c r="E422">
        <v>9613.7340370000002</v>
      </c>
      <c r="F422">
        <v>647929.93649999995</v>
      </c>
      <c r="G422">
        <v>27725.69745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8.372986919602499E-3</v>
      </c>
      <c r="M422" s="1">
        <f t="shared" si="27"/>
        <v>44995015.169727586</v>
      </c>
      <c r="N422" s="1">
        <f t="shared" si="28"/>
        <v>60715343.622415528</v>
      </c>
      <c r="O422" s="1"/>
    </row>
    <row r="423" spans="1:15" x14ac:dyDescent="0.25">
      <c r="A423">
        <v>604</v>
      </c>
      <c r="B423">
        <v>31793.696479999999</v>
      </c>
      <c r="C423" s="1">
        <v>-3.9999999999999998E-7</v>
      </c>
      <c r="D423">
        <v>184477.13579999999</v>
      </c>
      <c r="E423">
        <v>66756.941460000002</v>
      </c>
      <c r="F423">
        <v>707446.59510000004</v>
      </c>
      <c r="G423">
        <v>33775.918559999998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-5.4438702169799999E-3</v>
      </c>
      <c r="M423" s="1">
        <f t="shared" si="27"/>
        <v>304710443.59687752</v>
      </c>
      <c r="N423" s="1">
        <f t="shared" si="28"/>
        <v>72134289.01612483</v>
      </c>
      <c r="O423" s="1"/>
    </row>
    <row r="424" spans="1:15" x14ac:dyDescent="0.25">
      <c r="A424">
        <v>605</v>
      </c>
      <c r="B424">
        <v>33606.65756</v>
      </c>
      <c r="C424" s="1">
        <v>-3.7000000000000002E-6</v>
      </c>
      <c r="D424">
        <v>192936.33300000001</v>
      </c>
      <c r="E424">
        <v>127061.7224</v>
      </c>
      <c r="F424">
        <v>715113.90009999997</v>
      </c>
      <c r="G424">
        <v>53442.967049999999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-3.6970897075121752E-2</v>
      </c>
      <c r="M424" s="1">
        <f t="shared" si="27"/>
        <v>425810277.63255882</v>
      </c>
      <c r="N424" s="1">
        <f t="shared" si="28"/>
        <v>83798383.487674296</v>
      </c>
      <c r="O424" s="1"/>
    </row>
    <row r="425" spans="1:15" x14ac:dyDescent="0.25">
      <c r="A425">
        <v>606</v>
      </c>
      <c r="B425">
        <v>29044.149099999999</v>
      </c>
      <c r="C425" s="1">
        <v>-4.5000000000000001E-6</v>
      </c>
      <c r="D425">
        <v>153207.4037</v>
      </c>
      <c r="E425">
        <v>56145.229379999997</v>
      </c>
      <c r="F425">
        <v>695182.20799999998</v>
      </c>
      <c r="G425">
        <v>41835.681069999999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-4.8240683898322506E-2</v>
      </c>
      <c r="M425" s="1">
        <f t="shared" si="27"/>
        <v>201863100.62100065</v>
      </c>
      <c r="N425" s="1">
        <f t="shared" si="28"/>
        <v>70377624.051018208</v>
      </c>
      <c r="O425" s="1"/>
    </row>
    <row r="426" spans="1:15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>
        <v>12009.687529999999</v>
      </c>
      <c r="F426">
        <v>535576.12309999997</v>
      </c>
      <c r="G426">
        <v>122902.538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4.60097496716E-2</v>
      </c>
      <c r="M426" s="1">
        <f t="shared" si="27"/>
        <v>42118416.881782189</v>
      </c>
      <c r="N426" s="1">
        <f t="shared" si="28"/>
        <v>201671654.10951024</v>
      </c>
      <c r="O426" s="1"/>
    </row>
    <row r="427" spans="1:15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>
        <v>5763.9417199999998</v>
      </c>
      <c r="F427">
        <v>587367.99840000004</v>
      </c>
      <c r="G427">
        <v>58134.757799999999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-3.1528837810352997E-2</v>
      </c>
      <c r="M427" s="1">
        <f t="shared" si="27"/>
        <v>50791312.350165576</v>
      </c>
      <c r="N427" s="1">
        <f t="shared" si="28"/>
        <v>239689714.97650781</v>
      </c>
      <c r="O427" s="1"/>
    </row>
    <row r="428" spans="1:15" x14ac:dyDescent="0.25">
      <c r="A428">
        <v>609</v>
      </c>
      <c r="B428">
        <v>75617.0236</v>
      </c>
      <c r="C428">
        <v>4729.2480420000002</v>
      </c>
      <c r="D428">
        <v>625790.52910000004</v>
      </c>
      <c r="E428">
        <v>27319.238689999998</v>
      </c>
      <c r="F428">
        <v>952798.62450000003</v>
      </c>
      <c r="G428">
        <v>32274.464120000001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30371619.947378039</v>
      </c>
      <c r="M428" s="1">
        <f t="shared" si="27"/>
        <v>58842022.75121472</v>
      </c>
      <c r="N428" s="1">
        <f t="shared" si="28"/>
        <v>32525330.5695071</v>
      </c>
      <c r="O428" s="1"/>
    </row>
    <row r="429" spans="1:15" x14ac:dyDescent="0.25">
      <c r="A429">
        <v>610</v>
      </c>
      <c r="B429">
        <v>38289.765299999999</v>
      </c>
      <c r="C429" s="1">
        <v>-2.1500000000000002E-6</v>
      </c>
      <c r="D429">
        <v>301541.87459999998</v>
      </c>
      <c r="E429">
        <v>1353.282342</v>
      </c>
      <c r="F429">
        <v>762655.40150000004</v>
      </c>
      <c r="G429">
        <v>12988.27471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-1.9163311535405375E-2</v>
      </c>
      <c r="M429" s="1">
        <f t="shared" si="27"/>
        <v>4045420.3242173609</v>
      </c>
      <c r="N429" s="1">
        <f t="shared" si="28"/>
        <v>18166463.088848662</v>
      </c>
      <c r="O429" s="1"/>
    </row>
    <row r="430" spans="1:15" x14ac:dyDescent="0.25">
      <c r="A430">
        <v>611</v>
      </c>
      <c r="B430">
        <v>207488.09450000001</v>
      </c>
      <c r="C430">
        <v>84989.657579999999</v>
      </c>
      <c r="D430">
        <v>773021.14029999997</v>
      </c>
      <c r="E430">
        <v>16959.812549999999</v>
      </c>
      <c r="F430">
        <v>1134748.328</v>
      </c>
      <c r="G430">
        <v>31134.8262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814081194.5038892</v>
      </c>
      <c r="M430" s="1">
        <f t="shared" si="27"/>
        <v>54483604.02036795</v>
      </c>
      <c r="N430" s="1">
        <f t="shared" si="28"/>
        <v>46798820.123953484</v>
      </c>
      <c r="O430" s="1"/>
    </row>
    <row r="431" spans="1:15" x14ac:dyDescent="0.25">
      <c r="A431">
        <v>612</v>
      </c>
      <c r="B431">
        <v>37665.722500000003</v>
      </c>
      <c r="C431">
        <v>1127.1620740000001</v>
      </c>
      <c r="D431">
        <v>542270.86239999998</v>
      </c>
      <c r="E431">
        <v>27189.759310000001</v>
      </c>
      <c r="F431">
        <v>911262.47840000002</v>
      </c>
      <c r="G431">
        <v>17724.475439999998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18941585.628916029</v>
      </c>
      <c r="M431" s="1">
        <f t="shared" si="27"/>
        <v>153242230.34303412</v>
      </c>
      <c r="N431" s="1">
        <f t="shared" si="28"/>
        <v>46740157.367025256</v>
      </c>
      <c r="O431" s="1"/>
    </row>
    <row r="432" spans="1:15" x14ac:dyDescent="0.25">
      <c r="A432">
        <v>613</v>
      </c>
      <c r="B432">
        <v>223122.3921</v>
      </c>
      <c r="C432">
        <v>96923.118979999999</v>
      </c>
      <c r="D432">
        <v>794252.72120000003</v>
      </c>
      <c r="E432">
        <v>21504.673610000002</v>
      </c>
      <c r="F432">
        <v>1140106.689</v>
      </c>
      <c r="G432">
        <v>32438.785950000001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711027313.84063959</v>
      </c>
      <c r="M432" s="1">
        <f t="shared" si="27"/>
        <v>52909650.819227904</v>
      </c>
      <c r="N432" s="1">
        <f t="shared" si="28"/>
        <v>37343095.058037601</v>
      </c>
      <c r="O432" s="1"/>
    </row>
    <row r="433" spans="1:15" x14ac:dyDescent="0.25">
      <c r="A433">
        <v>614</v>
      </c>
      <c r="B433">
        <v>36675.468849999997</v>
      </c>
      <c r="C433">
        <v>4113.3093749999998</v>
      </c>
      <c r="D433">
        <v>504259.97240000003</v>
      </c>
      <c r="E433">
        <v>43006.791530000002</v>
      </c>
      <c r="F433">
        <v>894085.15540000005</v>
      </c>
      <c r="G433">
        <v>16681.37599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52403780.859232686</v>
      </c>
      <c r="M433" s="1">
        <f t="shared" si="27"/>
        <v>183760188.27819717</v>
      </c>
      <c r="N433" s="1">
        <f t="shared" si="28"/>
        <v>33349546.518279109</v>
      </c>
      <c r="O433" s="1"/>
    </row>
    <row r="434" spans="1:15" x14ac:dyDescent="0.25">
      <c r="A434">
        <v>615</v>
      </c>
      <c r="B434">
        <v>60481.518580000004</v>
      </c>
      <c r="C434">
        <v>278311.348</v>
      </c>
      <c r="D434">
        <v>567068.78209999995</v>
      </c>
      <c r="E434">
        <v>230045.61379999999</v>
      </c>
      <c r="F434">
        <v>942035.95830000006</v>
      </c>
      <c r="G434">
        <v>199034.8168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3804219796.8443499</v>
      </c>
      <c r="M434" s="1">
        <f t="shared" si="27"/>
        <v>1054609746.1739533</v>
      </c>
      <c r="N434" s="1">
        <f t="shared" si="28"/>
        <v>426923985.39012963</v>
      </c>
      <c r="O434" s="1"/>
    </row>
    <row r="435" spans="1:15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>
        <v>7580.6393500000004</v>
      </c>
      <c r="F435">
        <v>780993.34169999999</v>
      </c>
      <c r="G435">
        <v>1098.8860609999999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4.661293967672063E-2</v>
      </c>
      <c r="M435" s="1">
        <f t="shared" si="27"/>
        <v>52671167.775514789</v>
      </c>
      <c r="N435" s="1">
        <f t="shared" si="28"/>
        <v>3572427.751551575</v>
      </c>
      <c r="O435" s="1"/>
    </row>
    <row r="436" spans="1:15" x14ac:dyDescent="0.25">
      <c r="A436">
        <v>617</v>
      </c>
      <c r="B436">
        <v>36317.416360000003</v>
      </c>
      <c r="C436">
        <v>1376.7553270000001</v>
      </c>
      <c r="D436">
        <v>538125.93550000002</v>
      </c>
      <c r="E436">
        <v>41788.705349999997</v>
      </c>
      <c r="F436">
        <v>904031.57519999996</v>
      </c>
      <c r="G436">
        <v>16605.61363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6716405.0708804745</v>
      </c>
      <c r="M436" s="1">
        <f t="shared" si="27"/>
        <v>68372611.602460146</v>
      </c>
      <c r="N436" s="1">
        <f t="shared" si="28"/>
        <v>12712233.434254857</v>
      </c>
      <c r="O436" s="1"/>
    </row>
    <row r="437" spans="1:15" x14ac:dyDescent="0.25">
      <c r="A437">
        <v>618</v>
      </c>
      <c r="B437">
        <v>70816.307310000004</v>
      </c>
      <c r="C437">
        <v>4931.0323250000001</v>
      </c>
      <c r="D437">
        <v>606883.22389999998</v>
      </c>
      <c r="E437">
        <v>52310.945110000001</v>
      </c>
      <c r="F437">
        <v>956780.28119999997</v>
      </c>
      <c r="G437">
        <v>33309.011319999998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26175589.431594208</v>
      </c>
      <c r="M437" s="1">
        <f t="shared" si="27"/>
        <v>93131012.399489641</v>
      </c>
      <c r="N437" s="1">
        <f t="shared" si="28"/>
        <v>27746434.173305038</v>
      </c>
      <c r="O437" s="1"/>
    </row>
    <row r="438" spans="1:15" x14ac:dyDescent="0.25">
      <c r="A438">
        <v>619</v>
      </c>
      <c r="B438">
        <v>32321.082170000001</v>
      </c>
      <c r="C438">
        <v>3751.3934490000001</v>
      </c>
      <c r="D438">
        <v>469484.61550000001</v>
      </c>
      <c r="E438">
        <v>142620.66930000001</v>
      </c>
      <c r="F438">
        <v>872674.35860000004</v>
      </c>
      <c r="G438">
        <v>90375.287110000005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32477889.370824885</v>
      </c>
      <c r="M438" s="1">
        <f t="shared" si="27"/>
        <v>414114835.9045853</v>
      </c>
      <c r="N438" s="1">
        <f t="shared" si="28"/>
        <v>122781147.40149716</v>
      </c>
      <c r="O438" s="1"/>
    </row>
    <row r="439" spans="1:15" x14ac:dyDescent="0.25">
      <c r="A439">
        <v>620</v>
      </c>
      <c r="B439">
        <v>38628.572840000001</v>
      </c>
      <c r="C439">
        <v>300.64005700000001</v>
      </c>
      <c r="D439">
        <v>512226.68040000001</v>
      </c>
      <c r="E439">
        <v>63042.359550000001</v>
      </c>
      <c r="F439">
        <v>877329.43859999999</v>
      </c>
      <c r="G439">
        <v>48067.101439999999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3460551.0274608652</v>
      </c>
      <c r="M439" s="1">
        <f t="shared" si="27"/>
        <v>243373904.10159037</v>
      </c>
      <c r="N439" s="1">
        <f t="shared" si="28"/>
        <v>86822674.83366856</v>
      </c>
      <c r="O439" s="1"/>
    </row>
    <row r="440" spans="1:15" x14ac:dyDescent="0.25">
      <c r="A440">
        <v>621</v>
      </c>
      <c r="B440">
        <v>39478.271959999998</v>
      </c>
      <c r="C440">
        <v>397.73210840000002</v>
      </c>
      <c r="D440">
        <v>536789.08400000003</v>
      </c>
      <c r="E440">
        <v>41612.859989999997</v>
      </c>
      <c r="F440">
        <v>888171.93460000004</v>
      </c>
      <c r="G440">
        <v>19153.314040000001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6823336.2597691044</v>
      </c>
      <c r="M440" s="1">
        <f t="shared" si="27"/>
        <v>239429039.86482805</v>
      </c>
      <c r="N440" s="1">
        <f t="shared" si="28"/>
        <v>51562844.364614323</v>
      </c>
      <c r="O440" s="1"/>
    </row>
    <row r="441" spans="1:15" x14ac:dyDescent="0.25">
      <c r="A441">
        <v>622</v>
      </c>
      <c r="B441">
        <v>40987.505069999999</v>
      </c>
      <c r="C441" s="1">
        <v>-3.2499999999999998E-6</v>
      </c>
      <c r="D441">
        <v>482049.50540000002</v>
      </c>
      <c r="E441">
        <v>21431.746220000001</v>
      </c>
      <c r="F441">
        <v>859972.71499999997</v>
      </c>
      <c r="G441">
        <v>7276.1706139999997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-2.3946744533123752E-2</v>
      </c>
      <c r="M441" s="1">
        <f t="shared" si="27"/>
        <v>52961931.481722876</v>
      </c>
      <c r="N441" s="1">
        <f t="shared" si="28"/>
        <v>8413037.2000159919</v>
      </c>
      <c r="O441" s="1"/>
    </row>
    <row r="442" spans="1:15" x14ac:dyDescent="0.25">
      <c r="A442">
        <v>624</v>
      </c>
      <c r="B442">
        <v>19080.807830000002</v>
      </c>
      <c r="C442">
        <v>45816.240319999997</v>
      </c>
      <c r="D442">
        <v>67832.263229999997</v>
      </c>
      <c r="E442">
        <v>566960.35519999999</v>
      </c>
      <c r="F442">
        <v>503871.57610000001</v>
      </c>
      <c r="G442">
        <v>474659.98080000002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782132038.36732936</v>
      </c>
      <c r="M442" s="1">
        <f t="shared" si="27"/>
        <v>3246059356.0166106</v>
      </c>
      <c r="N442" s="1">
        <f t="shared" si="28"/>
        <v>1271540098.9692338</v>
      </c>
      <c r="O442" s="1"/>
    </row>
    <row r="443" spans="1:15" x14ac:dyDescent="0.25">
      <c r="A443">
        <v>625</v>
      </c>
      <c r="B443">
        <v>17223.300879999999</v>
      </c>
      <c r="C443" s="1">
        <v>2.7E-6</v>
      </c>
      <c r="D443">
        <v>61604.892339999999</v>
      </c>
      <c r="E443">
        <v>3131.7840879999999</v>
      </c>
      <c r="F443">
        <v>454646.54100000003</v>
      </c>
      <c r="G443">
        <v>62323.929530000001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3.5545250646711005E-2</v>
      </c>
      <c r="M443" s="1">
        <f t="shared" si="27"/>
        <v>13827789.733730134</v>
      </c>
      <c r="N443" s="1">
        <f t="shared" si="28"/>
        <v>128753623.38236123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 s="1">
        <v>3.7E-7</v>
      </c>
      <c r="F444">
        <v>24235.37775</v>
      </c>
      <c r="G444" s="1">
        <v>3.5700000000000001E-6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9.7808793624156991E-3</v>
      </c>
      <c r="N444" s="1">
        <f t="shared" si="28"/>
        <v>4.4155832023680307E-2</v>
      </c>
      <c r="O444" s="1"/>
    </row>
    <row r="445" spans="1:15" x14ac:dyDescent="0.25">
      <c r="A445">
        <v>627</v>
      </c>
      <c r="B445">
        <v>14787.806500000001</v>
      </c>
      <c r="C445" s="1">
        <v>-3.0299999999999998E-6</v>
      </c>
      <c r="D445">
        <v>50891.689230000004</v>
      </c>
      <c r="E445">
        <v>4868.9480739999999</v>
      </c>
      <c r="F445">
        <v>431776.10930000001</v>
      </c>
      <c r="G445">
        <v>129641.6161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-6.766577403946912E-2</v>
      </c>
      <c r="M445" s="1">
        <f t="shared" si="27"/>
        <v>36467392.008312739</v>
      </c>
      <c r="N445" s="1">
        <f t="shared" si="28"/>
        <v>454315628.69544995</v>
      </c>
      <c r="O445" s="1"/>
    </row>
    <row r="446" spans="1:15" x14ac:dyDescent="0.25">
      <c r="A446">
        <v>628</v>
      </c>
      <c r="B446">
        <v>14843.494489999999</v>
      </c>
      <c r="C446" s="1">
        <v>3.1999999999999999E-6</v>
      </c>
      <c r="D446">
        <v>49450.807869999997</v>
      </c>
      <c r="E446">
        <v>194.20662400000001</v>
      </c>
      <c r="F446">
        <v>260402.1256</v>
      </c>
      <c r="G446">
        <v>133134.13949999999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4.7210699276103996E-2</v>
      </c>
      <c r="M446" s="1">
        <f t="shared" si="27"/>
        <v>960943.00674707966</v>
      </c>
      <c r="N446" s="1">
        <f t="shared" si="28"/>
        <v>308224179.79729456</v>
      </c>
      <c r="O446" s="1"/>
    </row>
    <row r="447" spans="1:15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>
        <v>1493.252305</v>
      </c>
      <c r="F447">
        <v>404636.86690000002</v>
      </c>
      <c r="G447">
        <v>72867.477369999993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0.18553448675536771</v>
      </c>
      <c r="M447" s="1">
        <f t="shared" si="27"/>
        <v>21760712.088261206</v>
      </c>
      <c r="N447" s="1">
        <f t="shared" si="28"/>
        <v>496840879.67217976</v>
      </c>
      <c r="O447" s="1"/>
    </row>
    <row r="448" spans="1:15" x14ac:dyDescent="0.25">
      <c r="A448">
        <v>630</v>
      </c>
      <c r="B448">
        <v>14860.122069999999</v>
      </c>
      <c r="C448" s="1">
        <v>-1.0300000000000001E-6</v>
      </c>
      <c r="D448">
        <v>47515.13594</v>
      </c>
      <c r="E448">
        <v>19330.524010000001</v>
      </c>
      <c r="F448">
        <v>450944.23149999999</v>
      </c>
      <c r="G448">
        <v>147871.0264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-1.4120645403198752E-2</v>
      </c>
      <c r="M448" s="1">
        <f t="shared" si="27"/>
        <v>88880008.290820092</v>
      </c>
      <c r="N448" s="1">
        <f t="shared" si="28"/>
        <v>318117254.0381583</v>
      </c>
      <c r="O448" s="1"/>
    </row>
    <row r="449" spans="1:15" x14ac:dyDescent="0.25">
      <c r="A449">
        <v>631</v>
      </c>
      <c r="B449">
        <v>8389.6977330000009</v>
      </c>
      <c r="C449">
        <v>182321.05470000001</v>
      </c>
      <c r="D449">
        <v>42536.300219999997</v>
      </c>
      <c r="E449">
        <v>679816.48259999999</v>
      </c>
      <c r="F449">
        <v>458714.64299999998</v>
      </c>
      <c r="G449">
        <v>623901.10030000005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4266996880.0872345</v>
      </c>
      <c r="M449" s="1">
        <f t="shared" si="27"/>
        <v>5336055375.8642597</v>
      </c>
      <c r="N449" s="1">
        <f t="shared" si="28"/>
        <v>2291332248.5313721</v>
      </c>
      <c r="O449" s="1"/>
    </row>
    <row r="450" spans="1:15" x14ac:dyDescent="0.25">
      <c r="A450">
        <v>632</v>
      </c>
      <c r="B450">
        <v>4017.5058859999999</v>
      </c>
      <c r="C450">
        <v>135026.34400000001</v>
      </c>
      <c r="D450">
        <v>31227.07346</v>
      </c>
      <c r="E450">
        <v>668120.12459999998</v>
      </c>
      <c r="F450">
        <v>182262.26329999999</v>
      </c>
      <c r="G450">
        <v>854524.81629999995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5955829625.0978184</v>
      </c>
      <c r="M450" s="1">
        <f t="shared" si="27"/>
        <v>9883743069.4293156</v>
      </c>
      <c r="N450" s="1">
        <f t="shared" si="28"/>
        <v>5914734456.0199614</v>
      </c>
      <c r="O450" s="1"/>
    </row>
    <row r="451" spans="1:15" x14ac:dyDescent="0.25">
      <c r="A451">
        <v>633</v>
      </c>
      <c r="B451">
        <v>5557.3761029999996</v>
      </c>
      <c r="C451">
        <v>1127.162071</v>
      </c>
      <c r="D451">
        <v>33280.225680000003</v>
      </c>
      <c r="E451">
        <v>7708.4787759999999</v>
      </c>
      <c r="F451">
        <v>188164.80910000001</v>
      </c>
      <c r="G451">
        <v>185682.64629999999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37191169.152368434</v>
      </c>
      <c r="M451" s="1">
        <f t="shared" ref="M451:M514" si="31">$U$3*$K451*E451</f>
        <v>85303192.048936412</v>
      </c>
      <c r="N451" s="1">
        <f t="shared" ref="N451:N514" si="32">$U$4*$K451*G451</f>
        <v>961416556.68811929</v>
      </c>
      <c r="O451" s="1"/>
    </row>
    <row r="452" spans="1:15" x14ac:dyDescent="0.25">
      <c r="A452">
        <v>634</v>
      </c>
      <c r="B452">
        <v>3296.027619</v>
      </c>
      <c r="C452">
        <v>13634.696749999999</v>
      </c>
      <c r="D452">
        <v>20582.933079999999</v>
      </c>
      <c r="E452">
        <v>501880.76880000002</v>
      </c>
      <c r="F452">
        <v>84572.685469999997</v>
      </c>
      <c r="G452">
        <v>817008.37199999997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302012328.53882539</v>
      </c>
      <c r="M452" s="1">
        <f t="shared" si="31"/>
        <v>3728403269.3162718</v>
      </c>
      <c r="N452" s="1">
        <f t="shared" si="32"/>
        <v>2839831096.9256101</v>
      </c>
      <c r="O452" s="1"/>
    </row>
    <row r="453" spans="1:15" x14ac:dyDescent="0.25">
      <c r="A453">
        <v>635</v>
      </c>
      <c r="B453">
        <v>240.5971844</v>
      </c>
      <c r="C453">
        <v>0</v>
      </c>
      <c r="D453">
        <v>2656.0804159999998</v>
      </c>
      <c r="E453" s="1">
        <v>1.9000000000000001E-7</v>
      </c>
      <c r="F453">
        <v>16009.738950000001</v>
      </c>
      <c r="G453">
        <v>1181.5082520000001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0</v>
      </c>
      <c r="M453" s="1">
        <f t="shared" si="31"/>
        <v>3.6772870771751205E-3</v>
      </c>
      <c r="N453" s="1">
        <f t="shared" si="32"/>
        <v>10699275.536427988</v>
      </c>
      <c r="O453" s="1"/>
    </row>
    <row r="454" spans="1:15" x14ac:dyDescent="0.25">
      <c r="A454">
        <v>636</v>
      </c>
      <c r="B454">
        <v>33288.516130000004</v>
      </c>
      <c r="C454">
        <v>168097.7892</v>
      </c>
      <c r="D454">
        <v>407756.9253</v>
      </c>
      <c r="E454">
        <v>319323.38949999999</v>
      </c>
      <c r="F454">
        <v>813690.16090000002</v>
      </c>
      <c r="G454">
        <v>270515.96120000002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1842523080.8814983</v>
      </c>
      <c r="M454" s="1">
        <f t="shared" si="31"/>
        <v>1173882971.2594428</v>
      </c>
      <c r="N454" s="1">
        <f t="shared" si="32"/>
        <v>465297420.69280702</v>
      </c>
      <c r="O454" s="1"/>
    </row>
    <row r="455" spans="1:15" x14ac:dyDescent="0.25">
      <c r="A455">
        <v>637</v>
      </c>
      <c r="B455">
        <v>34250.602720000003</v>
      </c>
      <c r="C455">
        <v>365541.62709999998</v>
      </c>
      <c r="D455">
        <v>431063.75219999999</v>
      </c>
      <c r="E455">
        <v>374814.6899</v>
      </c>
      <c r="F455">
        <v>848985.83860000002</v>
      </c>
      <c r="G455">
        <v>319809.6899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2743174793.3602009</v>
      </c>
      <c r="M455" s="1">
        <f t="shared" si="31"/>
        <v>943357662.48884583</v>
      </c>
      <c r="N455" s="1">
        <f t="shared" si="32"/>
        <v>376612798.13329828</v>
      </c>
      <c r="O455" s="1"/>
    </row>
    <row r="456" spans="1:15" x14ac:dyDescent="0.25">
      <c r="A456">
        <v>638</v>
      </c>
      <c r="B456">
        <v>11018.893609999999</v>
      </c>
      <c r="C456">
        <v>46071.768680000001</v>
      </c>
      <c r="D456">
        <v>91931.688380000007</v>
      </c>
      <c r="E456">
        <v>529759.11840000004</v>
      </c>
      <c r="F456">
        <v>640522.61990000005</v>
      </c>
      <c r="G456">
        <v>334705.43560000003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724753529.01072991</v>
      </c>
      <c r="M456" s="1">
        <f t="shared" si="31"/>
        <v>2794969231.8957157</v>
      </c>
      <c r="N456" s="1">
        <f t="shared" si="32"/>
        <v>826237751.13646507</v>
      </c>
      <c r="O456" s="1"/>
    </row>
    <row r="457" spans="1:15" x14ac:dyDescent="0.25">
      <c r="A457">
        <v>639</v>
      </c>
      <c r="B457">
        <v>9939.0719950000002</v>
      </c>
      <c r="C457" s="1">
        <v>-1.9999999999999999E-7</v>
      </c>
      <c r="D457">
        <v>58068.459139999999</v>
      </c>
      <c r="E457">
        <v>35748.34087</v>
      </c>
      <c r="F457">
        <v>536722.9264</v>
      </c>
      <c r="G457">
        <v>106183.716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-2.5290170072244998E-3</v>
      </c>
      <c r="M457" s="1">
        <f t="shared" si="31"/>
        <v>151607533.26756099</v>
      </c>
      <c r="N457" s="1">
        <f t="shared" si="32"/>
        <v>210700947.79029399</v>
      </c>
      <c r="O457" s="1"/>
    </row>
    <row r="458" spans="1:15" x14ac:dyDescent="0.25">
      <c r="A458">
        <v>640</v>
      </c>
      <c r="B458">
        <v>27721.051100000001</v>
      </c>
      <c r="C458">
        <v>17097.46153</v>
      </c>
      <c r="D458">
        <v>191680.34760000001</v>
      </c>
      <c r="E458">
        <v>449967.77970000001</v>
      </c>
      <c r="F458">
        <v>706479.13619999995</v>
      </c>
      <c r="G458">
        <v>277177.97840000002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472727456.14913225</v>
      </c>
      <c r="M458" s="1">
        <f t="shared" si="31"/>
        <v>4172571098.8603568</v>
      </c>
      <c r="N458" s="1">
        <f t="shared" si="32"/>
        <v>1202609775.7051339</v>
      </c>
      <c r="O458" s="1"/>
    </row>
    <row r="459" spans="1:15" x14ac:dyDescent="0.25">
      <c r="A459">
        <v>641</v>
      </c>
      <c r="B459">
        <v>18885.373950000001</v>
      </c>
      <c r="C459">
        <v>97.092049770000003</v>
      </c>
      <c r="D459">
        <v>75046.139169999995</v>
      </c>
      <c r="E459">
        <v>72123.44743</v>
      </c>
      <c r="F459">
        <v>548632.82539999997</v>
      </c>
      <c r="G459">
        <v>144151.3259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1886756.3256406686</v>
      </c>
      <c r="M459" s="1">
        <f t="shared" si="31"/>
        <v>470058336.39895701</v>
      </c>
      <c r="N459" s="1">
        <f t="shared" si="32"/>
        <v>439579672.73691064</v>
      </c>
      <c r="O459" s="1"/>
    </row>
    <row r="460" spans="1:15" x14ac:dyDescent="0.25">
      <c r="A460">
        <v>642</v>
      </c>
      <c r="B460">
        <v>16338.67324</v>
      </c>
      <c r="C460">
        <v>45128.116959999999</v>
      </c>
      <c r="D460">
        <v>139304.74479999999</v>
      </c>
      <c r="E460">
        <v>490277.75</v>
      </c>
      <c r="F460">
        <v>671484.39020000002</v>
      </c>
      <c r="G460">
        <v>308296.02189999999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462172476.00326473</v>
      </c>
      <c r="M460" s="1">
        <f t="shared" si="31"/>
        <v>1684000387.7708201</v>
      </c>
      <c r="N460" s="1">
        <f t="shared" si="32"/>
        <v>495463426.52023631</v>
      </c>
      <c r="O460" s="1"/>
    </row>
    <row r="461" spans="1:15" x14ac:dyDescent="0.25">
      <c r="A461">
        <v>643</v>
      </c>
      <c r="B461">
        <v>12034.13349</v>
      </c>
      <c r="C461">
        <v>300.6400615</v>
      </c>
      <c r="D461">
        <v>73876.642080000005</v>
      </c>
      <c r="E461">
        <v>174874.4246</v>
      </c>
      <c r="F461">
        <v>639023.99419999996</v>
      </c>
      <c r="G461">
        <v>116159.5787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4955020.7513626954</v>
      </c>
      <c r="M461" s="1">
        <f t="shared" si="31"/>
        <v>966647342.91642272</v>
      </c>
      <c r="N461" s="1">
        <f t="shared" si="32"/>
        <v>300428043.39997685</v>
      </c>
      <c r="O461" s="1"/>
    </row>
    <row r="462" spans="1:15" x14ac:dyDescent="0.25">
      <c r="A462">
        <v>644</v>
      </c>
      <c r="B462">
        <v>27329.85053</v>
      </c>
      <c r="C462">
        <v>10229.39194</v>
      </c>
      <c r="D462">
        <v>97428.536080000005</v>
      </c>
      <c r="E462">
        <v>463309.04920000001</v>
      </c>
      <c r="F462">
        <v>623786.56149999995</v>
      </c>
      <c r="G462">
        <v>302071.9852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206872946.05578709</v>
      </c>
      <c r="M462" s="1">
        <f t="shared" si="31"/>
        <v>3142445830.2986717</v>
      </c>
      <c r="N462" s="1">
        <f t="shared" si="32"/>
        <v>958630285.13394487</v>
      </c>
      <c r="O462" s="1"/>
    </row>
    <row r="463" spans="1:15" x14ac:dyDescent="0.25">
      <c r="A463">
        <v>645</v>
      </c>
      <c r="B463">
        <v>14236.28282</v>
      </c>
      <c r="C463">
        <v>300.64006289999998</v>
      </c>
      <c r="D463">
        <v>70807.954800000007</v>
      </c>
      <c r="E463">
        <v>117854.49069999999</v>
      </c>
      <c r="F463">
        <v>598318.3382</v>
      </c>
      <c r="G463">
        <v>123218.04519999999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6316362.6890182272</v>
      </c>
      <c r="M463" s="1">
        <f t="shared" si="31"/>
        <v>830442329.93072987</v>
      </c>
      <c r="N463" s="1">
        <f t="shared" si="32"/>
        <v>406238739.1465559</v>
      </c>
      <c r="O463" s="1"/>
    </row>
    <row r="464" spans="1:15" x14ac:dyDescent="0.25">
      <c r="A464">
        <v>646</v>
      </c>
      <c r="B464">
        <v>12968.25432</v>
      </c>
      <c r="C464">
        <v>194.20662809999999</v>
      </c>
      <c r="D464">
        <v>54273.331489999997</v>
      </c>
      <c r="E464">
        <v>125613.8918</v>
      </c>
      <c r="F464">
        <v>564316.99639999995</v>
      </c>
      <c r="G464">
        <v>164219.73929999999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3471664.8523804676</v>
      </c>
      <c r="M464" s="1">
        <f t="shared" si="31"/>
        <v>753103303.92411482</v>
      </c>
      <c r="N464" s="1">
        <f t="shared" si="32"/>
        <v>460665743.66932565</v>
      </c>
      <c r="O464" s="1"/>
    </row>
    <row r="465" spans="1:15" x14ac:dyDescent="0.25">
      <c r="A465">
        <v>647</v>
      </c>
      <c r="B465">
        <v>12496.165069999999</v>
      </c>
      <c r="C465">
        <v>130822.076</v>
      </c>
      <c r="D465">
        <v>55474.78196</v>
      </c>
      <c r="E465">
        <v>643760.08459999994</v>
      </c>
      <c r="F465">
        <v>519095.32740000001</v>
      </c>
      <c r="G465">
        <v>517691.75209999998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1625007298.2959836</v>
      </c>
      <c r="M465" s="1">
        <f t="shared" si="31"/>
        <v>2681893091.6664071</v>
      </c>
      <c r="N465" s="1">
        <f t="shared" si="32"/>
        <v>1009095664.2736868</v>
      </c>
      <c r="O465" s="1"/>
    </row>
    <row r="466" spans="1:15" x14ac:dyDescent="0.25">
      <c r="A466">
        <v>650</v>
      </c>
      <c r="B466">
        <v>30705.845700000002</v>
      </c>
      <c r="C466" s="1">
        <v>9.9999999999999995E-8</v>
      </c>
      <c r="D466">
        <v>472798.94280000002</v>
      </c>
      <c r="E466">
        <v>12613.984759999999</v>
      </c>
      <c r="F466">
        <v>861827.21</v>
      </c>
      <c r="G466">
        <v>14406.74338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1.08329745108E-3</v>
      </c>
      <c r="M466" s="1">
        <f t="shared" si="31"/>
        <v>45829293.282868497</v>
      </c>
      <c r="N466" s="1">
        <f t="shared" si="32"/>
        <v>24490652.537778489</v>
      </c>
      <c r="O466" s="1"/>
    </row>
    <row r="467" spans="1:15" x14ac:dyDescent="0.25">
      <c r="A467">
        <v>651</v>
      </c>
      <c r="B467">
        <v>45071.268219999998</v>
      </c>
      <c r="C467" s="1">
        <v>-3.8999999999999999E-6</v>
      </c>
      <c r="D467">
        <v>480779.71500000003</v>
      </c>
      <c r="E467">
        <v>17340.110100000002</v>
      </c>
      <c r="F467">
        <v>867778.02339999995</v>
      </c>
      <c r="G467">
        <v>12254.95399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-5.0810157925478251E-2</v>
      </c>
      <c r="M467" s="1">
        <f t="shared" si="31"/>
        <v>75767145.448720843</v>
      </c>
      <c r="N467" s="1">
        <f t="shared" si="32"/>
        <v>25054424.873901274</v>
      </c>
      <c r="O467" s="1"/>
    </row>
    <row r="468" spans="1:15" x14ac:dyDescent="0.25">
      <c r="A468">
        <v>652</v>
      </c>
      <c r="B468">
        <v>27093.59722</v>
      </c>
      <c r="C468" s="1">
        <v>-3.3000000000000002E-6</v>
      </c>
      <c r="D468">
        <v>495984.49949999998</v>
      </c>
      <c r="E468">
        <v>28909.039069999999</v>
      </c>
      <c r="F468">
        <v>885015.75560000003</v>
      </c>
      <c r="G468">
        <v>20167.179359999998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-3.3626421249885755E-2</v>
      </c>
      <c r="M468" s="1">
        <f t="shared" si="31"/>
        <v>98796942.005592138</v>
      </c>
      <c r="N468" s="1">
        <f t="shared" si="32"/>
        <v>32247695.568903893</v>
      </c>
      <c r="O468" s="1"/>
    </row>
    <row r="469" spans="1:15" x14ac:dyDescent="0.25">
      <c r="A469">
        <v>653</v>
      </c>
      <c r="B469">
        <v>45654.624470000002</v>
      </c>
      <c r="C469" s="1">
        <v>5.9999999999999997E-7</v>
      </c>
      <c r="D469">
        <v>437161.72690000001</v>
      </c>
      <c r="E469">
        <v>26377.876970000001</v>
      </c>
      <c r="F469">
        <v>836965.28639999998</v>
      </c>
      <c r="G469">
        <v>14441.800010000001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3.2693433833190003E-3</v>
      </c>
      <c r="M469" s="1">
        <f t="shared" si="31"/>
        <v>48205019.444246478</v>
      </c>
      <c r="N469" s="1">
        <f t="shared" si="32"/>
        <v>12348591.633853327</v>
      </c>
      <c r="O469" s="1"/>
    </row>
    <row r="470" spans="1:15" x14ac:dyDescent="0.25">
      <c r="A470">
        <v>654</v>
      </c>
      <c r="B470">
        <v>162619.7028</v>
      </c>
      <c r="C470">
        <v>68690.499819999997</v>
      </c>
      <c r="D470">
        <v>639860.3358</v>
      </c>
      <c r="E470">
        <v>96617.780710000006</v>
      </c>
      <c r="F470">
        <v>992389.61679999996</v>
      </c>
      <c r="G470">
        <v>96302.613230000003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637753921.78641021</v>
      </c>
      <c r="M470" s="1">
        <f t="shared" si="31"/>
        <v>300854599.9080199</v>
      </c>
      <c r="N470" s="1">
        <f t="shared" si="32"/>
        <v>140307649.33945414</v>
      </c>
      <c r="O470" s="1"/>
    </row>
    <row r="471" spans="1:15" x14ac:dyDescent="0.25">
      <c r="A471">
        <v>655</v>
      </c>
      <c r="B471">
        <v>31310.227640000001</v>
      </c>
      <c r="C471" s="1">
        <v>4.4000000000000002E-6</v>
      </c>
      <c r="D471">
        <v>422992.3873</v>
      </c>
      <c r="E471">
        <v>32829.79767</v>
      </c>
      <c r="F471">
        <v>836755.81310000003</v>
      </c>
      <c r="G471">
        <v>25581.519189999999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6.1762390204658013E-2</v>
      </c>
      <c r="M471" s="1">
        <f t="shared" si="31"/>
        <v>154554893.9648684</v>
      </c>
      <c r="N471" s="1">
        <f t="shared" si="32"/>
        <v>56348786.21138256</v>
      </c>
      <c r="O471" s="1"/>
    </row>
    <row r="472" spans="1:15" x14ac:dyDescent="0.25">
      <c r="A472">
        <v>656</v>
      </c>
      <c r="B472">
        <v>220385.34830000001</v>
      </c>
      <c r="C472">
        <v>162647.04259999999</v>
      </c>
      <c r="D472">
        <v>744627.52049999998</v>
      </c>
      <c r="E472">
        <v>71116.307750000007</v>
      </c>
      <c r="F472">
        <v>1104564.1640000001</v>
      </c>
      <c r="G472">
        <v>76251.585479999994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4605680248.0669422</v>
      </c>
      <c r="M472" s="1">
        <f t="shared" si="31"/>
        <v>675398279.83017385</v>
      </c>
      <c r="N472" s="1">
        <f t="shared" si="32"/>
        <v>338831131.43969101</v>
      </c>
      <c r="O472" s="1"/>
    </row>
    <row r="473" spans="1:15" x14ac:dyDescent="0.25">
      <c r="A473">
        <v>657</v>
      </c>
      <c r="B473">
        <v>50289.980539999997</v>
      </c>
      <c r="C473">
        <v>170234.788</v>
      </c>
      <c r="D473">
        <v>549606.08510000003</v>
      </c>
      <c r="E473">
        <v>193590.4615</v>
      </c>
      <c r="F473">
        <v>922206.03929999995</v>
      </c>
      <c r="G473">
        <v>173908.3811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2358335109.6129284</v>
      </c>
      <c r="M473" s="1">
        <f t="shared" si="31"/>
        <v>899465053.28568399</v>
      </c>
      <c r="N473" s="1">
        <f t="shared" si="32"/>
        <v>378063307.7762596</v>
      </c>
      <c r="O473" s="1"/>
    </row>
    <row r="474" spans="1:15" x14ac:dyDescent="0.25">
      <c r="A474">
        <v>658</v>
      </c>
      <c r="B474">
        <v>31434.613359999999</v>
      </c>
      <c r="C474" s="1">
        <v>-3.5999999999999998E-6</v>
      </c>
      <c r="D474">
        <v>347926.40710000001</v>
      </c>
      <c r="E474">
        <v>86745.528340000004</v>
      </c>
      <c r="F474">
        <v>790822.29509999999</v>
      </c>
      <c r="G474">
        <v>51873.108030000003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-2.8481347965096E-2</v>
      </c>
      <c r="M474" s="1">
        <f t="shared" si="31"/>
        <v>230169764.0174123</v>
      </c>
      <c r="N474" s="1">
        <f t="shared" si="32"/>
        <v>64400186.351714298</v>
      </c>
      <c r="O474" s="1"/>
    </row>
    <row r="475" spans="1:15" x14ac:dyDescent="0.25">
      <c r="A475">
        <v>659</v>
      </c>
      <c r="B475">
        <v>29674.379949999999</v>
      </c>
      <c r="C475">
        <v>1127.1620680000001</v>
      </c>
      <c r="D475">
        <v>291904.86139999999</v>
      </c>
      <c r="E475">
        <v>160869.9938</v>
      </c>
      <c r="F475">
        <v>797337.68480000005</v>
      </c>
      <c r="G475">
        <v>54694.480369999997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7556211.7495018085</v>
      </c>
      <c r="M475" s="1">
        <f t="shared" si="31"/>
        <v>361689529.50095439</v>
      </c>
      <c r="N475" s="1">
        <f t="shared" si="32"/>
        <v>57537113.466234341</v>
      </c>
      <c r="O475" s="1"/>
    </row>
    <row r="476" spans="1:15" x14ac:dyDescent="0.25">
      <c r="A476">
        <v>660</v>
      </c>
      <c r="B476">
        <v>34998.118540000003</v>
      </c>
      <c r="C476">
        <v>2008.9223790000001</v>
      </c>
      <c r="D476">
        <v>441757.5454</v>
      </c>
      <c r="E476">
        <v>116218.4219</v>
      </c>
      <c r="F476">
        <v>853986.71660000004</v>
      </c>
      <c r="G476">
        <v>55547.904580000002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24912606.700325217</v>
      </c>
      <c r="M476" s="1">
        <f t="shared" si="31"/>
        <v>483363804.22247756</v>
      </c>
      <c r="N476" s="1">
        <f t="shared" si="32"/>
        <v>108096220.87638339</v>
      </c>
      <c r="O476" s="1"/>
    </row>
    <row r="477" spans="1:15" x14ac:dyDescent="0.25">
      <c r="A477">
        <v>661</v>
      </c>
      <c r="B477">
        <v>35998.752699999997</v>
      </c>
      <c r="C477" s="1">
        <v>3.63E-6</v>
      </c>
      <c r="D477">
        <v>298925.78000000003</v>
      </c>
      <c r="E477">
        <v>120305.14539999999</v>
      </c>
      <c r="F477">
        <v>773754.88329999999</v>
      </c>
      <c r="G477">
        <v>25951.400109999999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3.8479078432144348E-2</v>
      </c>
      <c r="M477" s="1">
        <f t="shared" si="31"/>
        <v>427706033.22267187</v>
      </c>
      <c r="N477" s="1">
        <f t="shared" si="32"/>
        <v>43168369.547013454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>
        <v>494.84668670000002</v>
      </c>
      <c r="F478">
        <v>509482.50900000002</v>
      </c>
      <c r="G478">
        <v>64876.797500000001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3729943.3905563056</v>
      </c>
      <c r="N478" s="1">
        <f t="shared" si="32"/>
        <v>228804549.54859376</v>
      </c>
      <c r="O478" s="1"/>
    </row>
    <row r="479" spans="1:15" x14ac:dyDescent="0.25">
      <c r="A479">
        <v>663</v>
      </c>
      <c r="B479">
        <v>31694.657729999999</v>
      </c>
      <c r="C479">
        <v>0</v>
      </c>
      <c r="D479">
        <v>263689.72610000003</v>
      </c>
      <c r="E479">
        <v>151017.77069999999</v>
      </c>
      <c r="F479">
        <v>761800.27359999996</v>
      </c>
      <c r="G479">
        <v>64598.860959999998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0</v>
      </c>
      <c r="M479" s="1">
        <f t="shared" si="31"/>
        <v>362523819.72987479</v>
      </c>
      <c r="N479" s="1">
        <f t="shared" si="32"/>
        <v>72556617.927595869</v>
      </c>
      <c r="O479" s="1"/>
    </row>
    <row r="480" spans="1:15" x14ac:dyDescent="0.25">
      <c r="A480">
        <v>664</v>
      </c>
      <c r="B480">
        <v>8330.3015570000007</v>
      </c>
      <c r="C480" s="1">
        <v>2.9999999999999999E-7</v>
      </c>
      <c r="D480">
        <v>63716.938439999998</v>
      </c>
      <c r="E480">
        <v>16430.199120000001</v>
      </c>
      <c r="F480">
        <v>671864.20689999999</v>
      </c>
      <c r="G480">
        <v>52524.655059999997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2.6427720569542497E-3</v>
      </c>
      <c r="M480" s="1">
        <f t="shared" si="31"/>
        <v>48542754.385372348</v>
      </c>
      <c r="N480" s="1">
        <f t="shared" si="32"/>
        <v>72608668.978258058</v>
      </c>
      <c r="O480" s="1"/>
    </row>
    <row r="481" spans="1:15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>
        <v>61545.259050000001</v>
      </c>
      <c r="F481">
        <v>1054766.544</v>
      </c>
      <c r="G481">
        <v>100752.39139999999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4.9067500061008004E-2</v>
      </c>
      <c r="M481" s="1">
        <f t="shared" si="31"/>
        <v>230186047.7194255</v>
      </c>
      <c r="N481" s="1">
        <f t="shared" si="32"/>
        <v>176312633.93669671</v>
      </c>
      <c r="O481" s="1"/>
    </row>
    <row r="482" spans="1:15" x14ac:dyDescent="0.25">
      <c r="A482">
        <v>666</v>
      </c>
      <c r="B482">
        <v>292110.3162</v>
      </c>
      <c r="C482">
        <v>43696.488969999999</v>
      </c>
      <c r="D482">
        <v>837432.28890000004</v>
      </c>
      <c r="E482">
        <v>86159.434200000003</v>
      </c>
      <c r="F482">
        <v>1425845.378</v>
      </c>
      <c r="G482">
        <v>64159.727639999997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241320716.58096358</v>
      </c>
      <c r="M482" s="1">
        <f t="shared" si="31"/>
        <v>159585724.24459645</v>
      </c>
      <c r="N482" s="1">
        <f t="shared" si="32"/>
        <v>55602893.261714064</v>
      </c>
      <c r="O482" s="1"/>
    </row>
    <row r="483" spans="1:15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-4.7899999999999999E-5</v>
      </c>
      <c r="F483">
        <v>1105269.828</v>
      </c>
      <c r="G483">
        <v>4844.4277050000001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2.9984714552445255E-2</v>
      </c>
      <c r="M483" s="1">
        <f t="shared" si="31"/>
        <v>-0.16610418371328584</v>
      </c>
      <c r="N483" s="1">
        <f t="shared" si="32"/>
        <v>7860156.898804781</v>
      </c>
      <c r="O483" s="1"/>
    </row>
    <row r="484" spans="1:15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>
        <v>28914.33611</v>
      </c>
      <c r="F484">
        <v>1396795.28</v>
      </c>
      <c r="G484">
        <v>13719.40244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1.508736873321925E-2</v>
      </c>
      <c r="M484" s="1">
        <f t="shared" si="31"/>
        <v>35685025.374777399</v>
      </c>
      <c r="N484" s="1">
        <f t="shared" si="32"/>
        <v>7922306.8322679931</v>
      </c>
      <c r="O484" s="1"/>
    </row>
    <row r="485" spans="1:15" x14ac:dyDescent="0.25">
      <c r="A485">
        <v>700</v>
      </c>
      <c r="B485">
        <v>8330.3015570000007</v>
      </c>
      <c r="C485" s="1">
        <v>2.9999999999999999E-7</v>
      </c>
      <c r="D485">
        <v>63716.938439999998</v>
      </c>
      <c r="E485">
        <v>16430.199120000001</v>
      </c>
      <c r="F485">
        <v>656567.8371</v>
      </c>
      <c r="G485">
        <v>54458.111239999998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2.6980258630065002E-3</v>
      </c>
      <c r="M485" s="1">
        <f t="shared" si="31"/>
        <v>49557662.927708961</v>
      </c>
      <c r="N485" s="1">
        <f t="shared" si="32"/>
        <v>76855374.578217983</v>
      </c>
      <c r="O485" s="1"/>
    </row>
    <row r="486" spans="1:15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6.9999999999999997E-7</v>
      </c>
      <c r="F486">
        <v>467385.46779999998</v>
      </c>
      <c r="G486">
        <v>50514.259749999997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6.9420705887422501E-3</v>
      </c>
      <c r="M486" s="1">
        <f t="shared" si="31"/>
        <v>5.4326152402157301E-3</v>
      </c>
      <c r="N486" s="1">
        <f t="shared" si="32"/>
        <v>183429245.15949368</v>
      </c>
      <c r="O486" s="1"/>
    </row>
    <row r="487" spans="1:15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>
        <v>35622.923410000003</v>
      </c>
      <c r="F487">
        <v>799764.56469999999</v>
      </c>
      <c r="G487">
        <v>80762.957680000007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-0.13653710058686425</v>
      </c>
      <c r="M487" s="1">
        <f t="shared" si="31"/>
        <v>332910344.59930748</v>
      </c>
      <c r="N487" s="1">
        <f t="shared" si="32"/>
        <v>353145459.2771039</v>
      </c>
      <c r="O487" s="1"/>
    </row>
    <row r="488" spans="1:15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>
        <v>11226.170770000001</v>
      </c>
      <c r="F488">
        <v>733438.21030000004</v>
      </c>
      <c r="G488">
        <v>62162.97827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0.13471520994181249</v>
      </c>
      <c r="M488" s="1">
        <f t="shared" si="31"/>
        <v>144918346.1814748</v>
      </c>
      <c r="N488" s="1">
        <f t="shared" si="32"/>
        <v>375463061.16995192</v>
      </c>
      <c r="O488" s="1"/>
    </row>
    <row r="489" spans="1:15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>
        <v>11226.170770000001</v>
      </c>
      <c r="F489">
        <v>718207.58649999998</v>
      </c>
      <c r="G489">
        <v>65730.962650000001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7.8881977907069994E-3</v>
      </c>
      <c r="M489" s="1">
        <f t="shared" si="31"/>
        <v>98999116.367133036</v>
      </c>
      <c r="N489" s="1">
        <f t="shared" si="32"/>
        <v>271214774.89431274</v>
      </c>
      <c r="O489" s="1"/>
    </row>
    <row r="490" spans="1:15" x14ac:dyDescent="0.25">
      <c r="A490">
        <v>705</v>
      </c>
      <c r="B490">
        <v>55727.411160000003</v>
      </c>
      <c r="C490">
        <v>0</v>
      </c>
      <c r="D490">
        <v>588835.69739999995</v>
      </c>
      <c r="E490">
        <v>65723.050789999994</v>
      </c>
      <c r="F490">
        <v>1182686.344</v>
      </c>
      <c r="G490">
        <v>92616.626130000004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0</v>
      </c>
      <c r="M490" s="1">
        <f t="shared" si="31"/>
        <v>415815817.73619026</v>
      </c>
      <c r="N490" s="1">
        <f t="shared" si="32"/>
        <v>274167470.84609956</v>
      </c>
      <c r="O490" s="1"/>
    </row>
    <row r="491" spans="1:15" x14ac:dyDescent="0.25">
      <c r="A491">
        <v>706</v>
      </c>
      <c r="B491">
        <v>54658.289069999999</v>
      </c>
      <c r="C491">
        <v>16430.199110000001</v>
      </c>
      <c r="D491">
        <v>618718.5416</v>
      </c>
      <c r="E491">
        <v>87330.598419999995</v>
      </c>
      <c r="F491">
        <v>1125994.219</v>
      </c>
      <c r="G491">
        <v>92064.729949999994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344859790.86455488</v>
      </c>
      <c r="M491" s="1">
        <f t="shared" si="31"/>
        <v>614765244.80817938</v>
      </c>
      <c r="N491" s="1">
        <f t="shared" si="32"/>
        <v>303235353.10779876</v>
      </c>
      <c r="O491" s="1"/>
    </row>
    <row r="492" spans="1:15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>
        <v>73462.564979999996</v>
      </c>
      <c r="F492">
        <v>1133504.2379999999</v>
      </c>
      <c r="G492">
        <v>60554.606509999998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7.3493796216437993E-2</v>
      </c>
      <c r="M492" s="1">
        <f t="shared" si="31"/>
        <v>502987746.18742561</v>
      </c>
      <c r="N492" s="1">
        <f t="shared" si="32"/>
        <v>193991267.90721282</v>
      </c>
      <c r="O492" s="1"/>
    </row>
    <row r="493" spans="1:15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-3.4799999999999999E-5</v>
      </c>
      <c r="F493">
        <v>1155837.2819999999</v>
      </c>
      <c r="G493">
        <v>973.36638049999999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-1.0631163576734999E-2</v>
      </c>
      <c r="M493" s="1">
        <f t="shared" si="31"/>
        <v>-6.2040199506571074E-2</v>
      </c>
      <c r="N493" s="1">
        <f t="shared" si="32"/>
        <v>811921.35041644471</v>
      </c>
      <c r="O493" s="1"/>
    </row>
    <row r="494" spans="1:15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>
        <v>16455.191360000001</v>
      </c>
      <c r="F494">
        <v>1414763.8640000001</v>
      </c>
      <c r="G494">
        <v>12585.367920000001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2.0173428517424E-2</v>
      </c>
      <c r="M494" s="1">
        <f t="shared" si="31"/>
        <v>39761957.476838171</v>
      </c>
      <c r="N494" s="1">
        <f t="shared" si="32"/>
        <v>14229001.126461165</v>
      </c>
      <c r="O494" s="1"/>
    </row>
    <row r="495" spans="1:15" x14ac:dyDescent="0.25">
      <c r="A495">
        <v>712</v>
      </c>
      <c r="B495">
        <v>44955.68677</v>
      </c>
      <c r="C495" s="1">
        <v>-5.9999999999999997E-7</v>
      </c>
      <c r="D495">
        <v>303729.89</v>
      </c>
      <c r="E495">
        <v>7917.8646980000003</v>
      </c>
      <c r="F495">
        <v>1220735.7209999999</v>
      </c>
      <c r="G495">
        <v>475.2820767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-3.6626424250845E-3</v>
      </c>
      <c r="M495" s="1">
        <f t="shared" si="31"/>
        <v>16210428.104246823</v>
      </c>
      <c r="N495" s="1">
        <f t="shared" si="32"/>
        <v>455283.09332404082</v>
      </c>
      <c r="O495" s="1"/>
    </row>
    <row r="496" spans="1:15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>
        <v>34520.936820000003</v>
      </c>
      <c r="F496">
        <v>986783.28559999994</v>
      </c>
      <c r="G496">
        <v>39708.73863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5.0418619220112003E-2</v>
      </c>
      <c r="M496" s="1">
        <f t="shared" si="31"/>
        <v>182417575.56034088</v>
      </c>
      <c r="N496" s="1">
        <f t="shared" si="32"/>
        <v>98177931.161099061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 s="1">
        <v>-1.9999999999999999E-6</v>
      </c>
      <c r="F497">
        <v>796301.72459999996</v>
      </c>
      <c r="G497">
        <v>23119.892309999999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-4.9643140311941992E-3</v>
      </c>
      <c r="N497" s="1">
        <f t="shared" si="32"/>
        <v>26850893.098650578</v>
      </c>
      <c r="O497" s="1"/>
    </row>
    <row r="498" spans="1:15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2.9999999999999999E-7</v>
      </c>
      <c r="F498">
        <v>511907.77140000003</v>
      </c>
      <c r="G498">
        <v>35066.785080000001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0.12659994253538451</v>
      </c>
      <c r="M498" s="1">
        <f t="shared" si="31"/>
        <v>2.5995718184659796E-3</v>
      </c>
      <c r="N498" s="1">
        <f t="shared" si="32"/>
        <v>142174004.25586352</v>
      </c>
      <c r="O498" s="1"/>
    </row>
    <row r="499" spans="1:15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>
        <v>2665.0947620000002</v>
      </c>
      <c r="F499">
        <v>914289.54390000005</v>
      </c>
      <c r="G499">
        <v>42882.553440000003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-3.2600239746815002E-2</v>
      </c>
      <c r="M499" s="1">
        <f t="shared" si="31"/>
        <v>14569565.188647253</v>
      </c>
      <c r="N499" s="1">
        <f t="shared" si="32"/>
        <v>109687781.0431999</v>
      </c>
      <c r="O499" s="1"/>
    </row>
    <row r="500" spans="1:15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>
        <v>13249.85547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-6.0464218347195009E-2</v>
      </c>
      <c r="M500" s="1">
        <f t="shared" si="31"/>
        <v>-1.3985357665451998E-2</v>
      </c>
      <c r="N500" s="1">
        <f t="shared" si="32"/>
        <v>43350928.238248974</v>
      </c>
      <c r="O500" s="1"/>
    </row>
    <row r="501" spans="1:15" x14ac:dyDescent="0.25">
      <c r="A501">
        <v>718</v>
      </c>
      <c r="B501">
        <v>30682.4195</v>
      </c>
      <c r="C501" s="1">
        <v>-1.3999999999999999E-6</v>
      </c>
      <c r="D501">
        <v>403620.6655</v>
      </c>
      <c r="E501">
        <v>36007.414729999997</v>
      </c>
      <c r="F501">
        <v>1156202.5179999999</v>
      </c>
      <c r="G501">
        <v>39152.943550000004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-2.7095450242133001E-2</v>
      </c>
      <c r="M501" s="1">
        <f t="shared" si="31"/>
        <v>233724055.92074117</v>
      </c>
      <c r="N501" s="1">
        <f t="shared" si="32"/>
        <v>118910325.98548448</v>
      </c>
      <c r="O501" s="1"/>
    </row>
    <row r="502" spans="1:15" x14ac:dyDescent="0.25">
      <c r="A502">
        <v>719</v>
      </c>
      <c r="B502">
        <v>233001.28570000001</v>
      </c>
      <c r="C502">
        <v>45032.828600000001</v>
      </c>
      <c r="D502">
        <v>843943.79909999995</v>
      </c>
      <c r="E502">
        <v>76234.842229999995</v>
      </c>
      <c r="F502">
        <v>1478434.932</v>
      </c>
      <c r="G502">
        <v>51990.749029999999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241944880.58995789</v>
      </c>
      <c r="M502" s="1">
        <f t="shared" si="31"/>
        <v>137367455.33743268</v>
      </c>
      <c r="N502" s="1">
        <f t="shared" si="32"/>
        <v>43832889.424284898</v>
      </c>
      <c r="O502" s="1"/>
    </row>
    <row r="503" spans="1:15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>
        <v>50232.801740000003</v>
      </c>
      <c r="F503">
        <v>1190381.48</v>
      </c>
      <c r="G503">
        <v>37777.973449999998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1.54555166343825E-2</v>
      </c>
      <c r="M503" s="1">
        <f t="shared" si="31"/>
        <v>86794620.937824309</v>
      </c>
      <c r="N503" s="1">
        <f t="shared" si="32"/>
        <v>30541315.846724622</v>
      </c>
      <c r="O503" s="1"/>
    </row>
    <row r="504" spans="1:15" x14ac:dyDescent="0.25">
      <c r="A504">
        <v>723</v>
      </c>
      <c r="B504">
        <v>36384.605519999997</v>
      </c>
      <c r="C504" s="1">
        <v>-2.2000000000000001E-6</v>
      </c>
      <c r="D504">
        <v>579893.08369999996</v>
      </c>
      <c r="E504">
        <v>19552.332149999998</v>
      </c>
      <c r="F504">
        <v>1094792.3230000001</v>
      </c>
      <c r="G504">
        <v>43549.137990000003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-3.0039086602954006E-2</v>
      </c>
      <c r="M504" s="1">
        <f t="shared" si="31"/>
        <v>89537661.067201838</v>
      </c>
      <c r="N504" s="1">
        <f t="shared" si="32"/>
        <v>93310479.308875263</v>
      </c>
      <c r="O504" s="1"/>
    </row>
    <row r="505" spans="1:15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>
        <v>45166.053229999998</v>
      </c>
      <c r="F505">
        <v>919138.26280000003</v>
      </c>
      <c r="G505">
        <v>79602.621010000003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4.6922895852787505E-3</v>
      </c>
      <c r="M505" s="1">
        <f t="shared" si="31"/>
        <v>142157599.56025192</v>
      </c>
      <c r="N505" s="1">
        <f t="shared" si="32"/>
        <v>117227360.15896517</v>
      </c>
      <c r="O505" s="1"/>
    </row>
    <row r="506" spans="1:15" x14ac:dyDescent="0.25">
      <c r="A506">
        <v>725</v>
      </c>
      <c r="B506">
        <v>123856.0983</v>
      </c>
      <c r="C506">
        <v>11226.17078</v>
      </c>
      <c r="D506">
        <v>629308.99159999995</v>
      </c>
      <c r="E506">
        <v>36483.57372</v>
      </c>
      <c r="F506">
        <v>1113954.3810000001</v>
      </c>
      <c r="G506">
        <v>50873.900990000002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264866156.86313489</v>
      </c>
      <c r="M506" s="1">
        <f t="shared" si="31"/>
        <v>288692389.4216814</v>
      </c>
      <c r="N506" s="1">
        <f t="shared" si="32"/>
        <v>188354795.12733689</v>
      </c>
      <c r="O506" s="1"/>
    </row>
    <row r="507" spans="1:15" x14ac:dyDescent="0.25">
      <c r="A507">
        <v>726</v>
      </c>
      <c r="B507">
        <v>9338.9612359999992</v>
      </c>
      <c r="C507" s="1">
        <v>-4.9999999999999998E-7</v>
      </c>
      <c r="D507">
        <v>335287.24680000002</v>
      </c>
      <c r="E507">
        <v>52243.659220000001</v>
      </c>
      <c r="F507">
        <v>819309.12410000002</v>
      </c>
      <c r="G507">
        <v>71571.44515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-1.051004678728875E-2</v>
      </c>
      <c r="M507" s="1">
        <f t="shared" si="31"/>
        <v>368308184.60805696</v>
      </c>
      <c r="N507" s="1">
        <f t="shared" si="32"/>
        <v>236081114.43187013</v>
      </c>
      <c r="O507" s="1"/>
    </row>
    <row r="508" spans="1:15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>
        <v>38383.611279999997</v>
      </c>
      <c r="F508">
        <v>880030.08790000004</v>
      </c>
      <c r="G508">
        <v>87161.165729999993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4.9704007014983752E-2</v>
      </c>
      <c r="M508" s="1">
        <f t="shared" si="31"/>
        <v>220639047.2053546</v>
      </c>
      <c r="N508" s="1">
        <f t="shared" si="32"/>
        <v>234424635.37059116</v>
      </c>
      <c r="O508" s="1"/>
    </row>
    <row r="509" spans="1:15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>
        <v>90546.111810000002</v>
      </c>
      <c r="F509">
        <v>870999.06740000006</v>
      </c>
      <c r="G509">
        <v>131796.74979999999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-6.7814378676408008E-2</v>
      </c>
      <c r="M509" s="1">
        <f t="shared" si="31"/>
        <v>735489874.9688015</v>
      </c>
      <c r="N509" s="1">
        <f t="shared" si="32"/>
        <v>500904889.73857915</v>
      </c>
      <c r="O509" s="1"/>
    </row>
    <row r="510" spans="1:15" x14ac:dyDescent="0.25">
      <c r="A510">
        <v>731</v>
      </c>
      <c r="B510">
        <v>7708.3923649999997</v>
      </c>
      <c r="C510">
        <v>4713.6068219999997</v>
      </c>
      <c r="D510">
        <v>497472.8089</v>
      </c>
      <c r="E510">
        <v>92428.000679999997</v>
      </c>
      <c r="F510">
        <v>941581.09640000004</v>
      </c>
      <c r="G510">
        <v>104153.4923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66568312.311357662</v>
      </c>
      <c r="M510" s="1">
        <f t="shared" si="31"/>
        <v>437785011.66069305</v>
      </c>
      <c r="N510" s="1">
        <f t="shared" si="32"/>
        <v>230820748.2288712</v>
      </c>
      <c r="O510" s="1"/>
    </row>
    <row r="511" spans="1:15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>
        <v>45829.373449999999</v>
      </c>
      <c r="F511">
        <v>806528.34299999999</v>
      </c>
      <c r="G511">
        <v>74474.833440000002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3.1101952349390002E-3</v>
      </c>
      <c r="M511" s="1">
        <f t="shared" si="31"/>
        <v>239025762.81173632</v>
      </c>
      <c r="N511" s="1">
        <f t="shared" si="32"/>
        <v>181741459.63824844</v>
      </c>
      <c r="O511" s="1"/>
    </row>
    <row r="512" spans="1:15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>
        <v>78984.455839999995</v>
      </c>
      <c r="F512">
        <v>1059884.294</v>
      </c>
      <c r="G512">
        <v>85578.007400000002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-7.4317203913819754E-2</v>
      </c>
      <c r="M512" s="1">
        <f t="shared" si="31"/>
        <v>457831503.58818418</v>
      </c>
      <c r="N512" s="1">
        <f t="shared" si="32"/>
        <v>232097194.66954774</v>
      </c>
      <c r="O512" s="1"/>
    </row>
    <row r="513" spans="1:15" x14ac:dyDescent="0.25">
      <c r="A513">
        <v>734</v>
      </c>
      <c r="B513">
        <v>96731.795029999994</v>
      </c>
      <c r="C513">
        <v>35622.923439999999</v>
      </c>
      <c r="D513">
        <v>642789.57620000001</v>
      </c>
      <c r="E513">
        <v>80609.909459999995</v>
      </c>
      <c r="F513">
        <v>1100479.395</v>
      </c>
      <c r="G513">
        <v>100389.2252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769544146.20661509</v>
      </c>
      <c r="M513" s="1">
        <f t="shared" si="31"/>
        <v>584030531.91885233</v>
      </c>
      <c r="N513" s="1">
        <f t="shared" si="32"/>
        <v>340312498.01829278</v>
      </c>
      <c r="O513" s="1"/>
    </row>
    <row r="514" spans="1:15" x14ac:dyDescent="0.25">
      <c r="A514">
        <v>735</v>
      </c>
      <c r="B514">
        <v>19869.147120000001</v>
      </c>
      <c r="C514" s="1">
        <v>4.6E-6</v>
      </c>
      <c r="D514">
        <v>360184.26179999998</v>
      </c>
      <c r="E514">
        <v>60525.736640000003</v>
      </c>
      <c r="F514">
        <v>888504.04229999997</v>
      </c>
      <c r="G514">
        <v>77721.70031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0.12158018028306801</v>
      </c>
      <c r="M514" s="1">
        <f t="shared" si="31"/>
        <v>536522787.28948474</v>
      </c>
      <c r="N514" s="1">
        <f t="shared" si="32"/>
        <v>322354739.20763576</v>
      </c>
      <c r="O514" s="1"/>
    </row>
    <row r="515" spans="1:15" x14ac:dyDescent="0.25">
      <c r="A515">
        <v>736</v>
      </c>
      <c r="B515">
        <v>527613.74470000004</v>
      </c>
      <c r="C515">
        <v>90676.195829999997</v>
      </c>
      <c r="D515">
        <v>973510.88419999997</v>
      </c>
      <c r="E515">
        <v>123785.5193</v>
      </c>
      <c r="F515">
        <v>1494061.423</v>
      </c>
      <c r="G515">
        <v>56923.379540000002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111663372.28988773</v>
      </c>
      <c r="M515" s="1">
        <f t="shared" ref="M515:M578" si="35">$U$3*$K515*E515</f>
        <v>51124659.412358053</v>
      </c>
      <c r="N515" s="1">
        <f t="shared" ref="N515:N578" si="36">$U$4*$K515*G515</f>
        <v>11000057.0926874</v>
      </c>
      <c r="O515" s="1"/>
    </row>
    <row r="516" spans="1:15" x14ac:dyDescent="0.25">
      <c r="A516">
        <v>737</v>
      </c>
      <c r="B516">
        <v>164880.4981</v>
      </c>
      <c r="C516">
        <v>45032.828580000001</v>
      </c>
      <c r="D516">
        <v>706906.34169999999</v>
      </c>
      <c r="E516">
        <v>91666.161959999998</v>
      </c>
      <c r="F516">
        <v>1161913.196</v>
      </c>
      <c r="G516">
        <v>112416.3689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1270781891.3527968</v>
      </c>
      <c r="M516" s="1">
        <f t="shared" si="35"/>
        <v>867548924.79376376</v>
      </c>
      <c r="N516" s="1">
        <f t="shared" si="36"/>
        <v>497803744.86203271</v>
      </c>
      <c r="O516" s="1"/>
    </row>
    <row r="517" spans="1:15" x14ac:dyDescent="0.25">
      <c r="A517">
        <v>738</v>
      </c>
      <c r="B517">
        <v>327384.52409999998</v>
      </c>
      <c r="C517">
        <v>59781.118119999999</v>
      </c>
      <c r="D517">
        <v>766954.16480000003</v>
      </c>
      <c r="E517">
        <v>100124.14599999999</v>
      </c>
      <c r="F517">
        <v>1296339.426</v>
      </c>
      <c r="G517">
        <v>86084.579970000006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647148879.11417758</v>
      </c>
      <c r="M517" s="1">
        <f t="shared" si="35"/>
        <v>363514828.62968546</v>
      </c>
      <c r="N517" s="1">
        <f t="shared" si="36"/>
        <v>146235343.48773092</v>
      </c>
      <c r="O517" s="1"/>
    </row>
    <row r="518" spans="1:15" x14ac:dyDescent="0.25">
      <c r="A518">
        <v>739</v>
      </c>
      <c r="B518">
        <v>104718.4164</v>
      </c>
      <c r="C518">
        <v>11226.1708</v>
      </c>
      <c r="D518">
        <v>688364.78870000003</v>
      </c>
      <c r="E518">
        <v>75973.959130000003</v>
      </c>
      <c r="F518">
        <v>1285517.7239999999</v>
      </c>
      <c r="G518">
        <v>93255.330199999997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52431520.823291853</v>
      </c>
      <c r="M518" s="1">
        <f t="shared" si="35"/>
        <v>119005958.14000143</v>
      </c>
      <c r="N518" s="1">
        <f t="shared" si="36"/>
        <v>68347288.353273481</v>
      </c>
      <c r="O518" s="1"/>
    </row>
    <row r="519" spans="1:15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>
        <v>37422.729520000001</v>
      </c>
      <c r="F519">
        <v>1314005.852</v>
      </c>
      <c r="G519">
        <v>45993.68288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1.4100523589827999E-2</v>
      </c>
      <c r="M519" s="1">
        <f t="shared" si="35"/>
        <v>43164824.587455072</v>
      </c>
      <c r="N519" s="1">
        <f t="shared" si="36"/>
        <v>24821977.885221705</v>
      </c>
      <c r="O519" s="1"/>
    </row>
    <row r="520" spans="1:15" x14ac:dyDescent="0.25">
      <c r="A520">
        <v>741</v>
      </c>
      <c r="B520">
        <v>137649.59950000001</v>
      </c>
      <c r="C520">
        <v>34520.936750000001</v>
      </c>
      <c r="D520">
        <v>758052.65540000005</v>
      </c>
      <c r="E520">
        <v>74967.544330000004</v>
      </c>
      <c r="F520">
        <v>1369110.0449999999</v>
      </c>
      <c r="G520">
        <v>82609.454599999997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151035569.42528298</v>
      </c>
      <c r="M520" s="1">
        <f t="shared" si="35"/>
        <v>110005167.65848812</v>
      </c>
      <c r="N520" s="1">
        <f t="shared" si="36"/>
        <v>56716997.91880212</v>
      </c>
      <c r="O520" s="1"/>
    </row>
    <row r="521" spans="1:15" x14ac:dyDescent="0.25">
      <c r="A521">
        <v>742</v>
      </c>
      <c r="B521">
        <v>136749.69459999999</v>
      </c>
      <c r="C521">
        <v>34520.936759999997</v>
      </c>
      <c r="D521">
        <v>760184.36360000004</v>
      </c>
      <c r="E521">
        <v>73286.079519999999</v>
      </c>
      <c r="F521">
        <v>1372938.9569999999</v>
      </c>
      <c r="G521">
        <v>82281.74699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151591559.79823676</v>
      </c>
      <c r="M521" s="1">
        <f t="shared" si="35"/>
        <v>107933702.6878393</v>
      </c>
      <c r="N521" s="1">
        <f t="shared" si="36"/>
        <v>56699962.090442836</v>
      </c>
      <c r="O521" s="1"/>
    </row>
    <row r="522" spans="1:15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>
        <v>32469.655910000001</v>
      </c>
      <c r="F522">
        <v>1017598.987</v>
      </c>
      <c r="G522">
        <v>35252.772709999997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-2.9066084427841501E-2</v>
      </c>
      <c r="M522" s="1">
        <f t="shared" si="35"/>
        <v>121740198.63018872</v>
      </c>
      <c r="N522" s="1">
        <f t="shared" si="36"/>
        <v>61843388.713754676</v>
      </c>
      <c r="O522" s="1"/>
    </row>
    <row r="523" spans="1:15" x14ac:dyDescent="0.25">
      <c r="A523">
        <v>744</v>
      </c>
      <c r="B523">
        <v>202444.2567</v>
      </c>
      <c r="C523">
        <v>59579.283360000001</v>
      </c>
      <c r="D523">
        <v>742707.62789999996</v>
      </c>
      <c r="E523">
        <v>93323.301560000007</v>
      </c>
      <c r="F523">
        <v>1203552.3219999999</v>
      </c>
      <c r="G523">
        <v>106347.68889999999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869105387.74582875</v>
      </c>
      <c r="M523" s="1">
        <f t="shared" si="35"/>
        <v>456573182.32971537</v>
      </c>
      <c r="N523" s="1">
        <f t="shared" si="36"/>
        <v>243440055.6923677</v>
      </c>
      <c r="O523" s="1"/>
    </row>
    <row r="524" spans="1:15" x14ac:dyDescent="0.25">
      <c r="A524">
        <v>745</v>
      </c>
      <c r="B524">
        <v>49689.949919999999</v>
      </c>
      <c r="C524">
        <v>2665.094775</v>
      </c>
      <c r="D524">
        <v>529637.23959999997</v>
      </c>
      <c r="E524">
        <v>76141.805120000005</v>
      </c>
      <c r="F524">
        <v>959678.84439999994</v>
      </c>
      <c r="G524">
        <v>103426.2645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14195370.166447908</v>
      </c>
      <c r="M524" s="1">
        <f t="shared" si="35"/>
        <v>136019248.04560247</v>
      </c>
      <c r="N524" s="1">
        <f t="shared" si="36"/>
        <v>86447356.726058051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 s="1">
        <v>-1.6999999999999999E-7</v>
      </c>
      <c r="F525">
        <v>428586.30359999998</v>
      </c>
      <c r="G525">
        <v>1882.2824459999999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-3.3137594802467701E-4</v>
      </c>
      <c r="N525" s="1">
        <f t="shared" si="36"/>
        <v>1716724.2109911686</v>
      </c>
      <c r="O525" s="1"/>
    </row>
    <row r="526" spans="1:15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>
        <v>37660.310590000001</v>
      </c>
      <c r="F526">
        <v>890066.26139999996</v>
      </c>
      <c r="G526">
        <v>101491.27710000001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7.6575062131593999E-2</v>
      </c>
      <c r="M526" s="1">
        <f t="shared" si="35"/>
        <v>235901409.33760387</v>
      </c>
      <c r="N526" s="1">
        <f t="shared" si="36"/>
        <v>297453465.9190346</v>
      </c>
      <c r="O526" s="1"/>
    </row>
    <row r="527" spans="1:15" x14ac:dyDescent="0.25">
      <c r="A527">
        <v>802</v>
      </c>
      <c r="B527">
        <v>44413.053189999999</v>
      </c>
      <c r="C527">
        <v>16430.199110000001</v>
      </c>
      <c r="D527">
        <v>557138.28810000001</v>
      </c>
      <c r="E527">
        <v>51178.147530000002</v>
      </c>
      <c r="F527">
        <v>992475.56449999998</v>
      </c>
      <c r="G527">
        <v>63069.128859999997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130662471.06123671</v>
      </c>
      <c r="M527" s="1">
        <f t="shared" si="35"/>
        <v>136500970.63830775</v>
      </c>
      <c r="N527" s="1">
        <f t="shared" si="36"/>
        <v>78706697.182729587</v>
      </c>
      <c r="O527" s="1"/>
    </row>
    <row r="528" spans="1:15" x14ac:dyDescent="0.25">
      <c r="A528">
        <v>803</v>
      </c>
      <c r="B528">
        <v>11687.333350000001</v>
      </c>
      <c r="C528">
        <v>4713.6068210000003</v>
      </c>
      <c r="D528">
        <v>548387.43570000003</v>
      </c>
      <c r="E528">
        <v>39667.756329999997</v>
      </c>
      <c r="F528">
        <v>946680.06319999998</v>
      </c>
      <c r="G528">
        <v>69516.30889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34914038.467739969</v>
      </c>
      <c r="M528" s="1">
        <f t="shared" si="35"/>
        <v>98543391.772358924</v>
      </c>
      <c r="N528" s="1">
        <f t="shared" si="36"/>
        <v>80801654.19580096</v>
      </c>
      <c r="O528" s="1"/>
    </row>
    <row r="529" spans="1:15" x14ac:dyDescent="0.25">
      <c r="A529">
        <v>804</v>
      </c>
      <c r="B529">
        <v>206007.8714</v>
      </c>
      <c r="C529">
        <v>28083.430509999998</v>
      </c>
      <c r="D529">
        <v>663782.93119999999</v>
      </c>
      <c r="E529">
        <v>62960.430090000002</v>
      </c>
      <c r="F529">
        <v>1101459.385</v>
      </c>
      <c r="G529">
        <v>77870.469259999998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312103390.1073761</v>
      </c>
      <c r="M529" s="1">
        <f t="shared" si="35"/>
        <v>234670852.75085625</v>
      </c>
      <c r="N529" s="1">
        <f t="shared" si="36"/>
        <v>135802553.28782141</v>
      </c>
      <c r="O529" s="1"/>
    </row>
    <row r="530" spans="1:15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>
        <v>25705.904030000002</v>
      </c>
      <c r="F530">
        <v>850004.07279999997</v>
      </c>
      <c r="G530">
        <v>54461.027999999998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-8.5880950607789986E-3</v>
      </c>
      <c r="M530" s="1">
        <f t="shared" si="35"/>
        <v>82267888.786961764</v>
      </c>
      <c r="N530" s="1">
        <f t="shared" si="36"/>
        <v>81550566.715073794</v>
      </c>
      <c r="O530" s="1"/>
    </row>
    <row r="531" spans="1:15" x14ac:dyDescent="0.25">
      <c r="A531">
        <v>806</v>
      </c>
      <c r="B531">
        <v>24284.550329999998</v>
      </c>
      <c r="C531">
        <v>16430.199110000001</v>
      </c>
      <c r="D531">
        <v>564537.66709999996</v>
      </c>
      <c r="E531">
        <v>40177.977579999999</v>
      </c>
      <c r="F531">
        <v>974089.47149999999</v>
      </c>
      <c r="G531">
        <v>78642.942460000006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131519352.82646583</v>
      </c>
      <c r="M531" s="1">
        <f t="shared" si="35"/>
        <v>107864378.56036912</v>
      </c>
      <c r="N531" s="1">
        <f t="shared" si="36"/>
        <v>98785546.373017982</v>
      </c>
      <c r="O531" s="1"/>
    </row>
    <row r="532" spans="1:15" x14ac:dyDescent="0.25">
      <c r="A532">
        <v>807</v>
      </c>
      <c r="B532">
        <v>387054.18469999998</v>
      </c>
      <c r="C532">
        <v>43930.567410000003</v>
      </c>
      <c r="D532">
        <v>762026.59909999999</v>
      </c>
      <c r="E532">
        <v>111208.2363</v>
      </c>
      <c r="F532">
        <v>1270614.585</v>
      </c>
      <c r="G532">
        <v>60992.957289999998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308445736.74015146</v>
      </c>
      <c r="M532" s="1">
        <f t="shared" si="35"/>
        <v>261873799.46542171</v>
      </c>
      <c r="N532" s="1">
        <f t="shared" si="36"/>
        <v>67201422.368755206</v>
      </c>
      <c r="O532" s="1"/>
    </row>
    <row r="533" spans="1:15" x14ac:dyDescent="0.25">
      <c r="A533">
        <v>808</v>
      </c>
      <c r="B533">
        <v>270232.13260000001</v>
      </c>
      <c r="C533">
        <v>55785.49035</v>
      </c>
      <c r="D533">
        <v>696350.03390000004</v>
      </c>
      <c r="E533">
        <v>82293.329930000007</v>
      </c>
      <c r="F533">
        <v>1193933.8729999999</v>
      </c>
      <c r="G533">
        <v>84330.23818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160409662.63653263</v>
      </c>
      <c r="M533" s="1">
        <f t="shared" si="35"/>
        <v>79362811.298729151</v>
      </c>
      <c r="N533" s="1">
        <f t="shared" si="36"/>
        <v>38052168.627951339</v>
      </c>
      <c r="O533" s="1"/>
    </row>
    <row r="534" spans="1:15" x14ac:dyDescent="0.25">
      <c r="A534">
        <v>812</v>
      </c>
      <c r="B534">
        <v>67269.361120000001</v>
      </c>
      <c r="C534" s="1">
        <v>-3.1499999999999999E-6</v>
      </c>
      <c r="D534">
        <v>543548.98340000003</v>
      </c>
      <c r="E534">
        <v>19811.43406</v>
      </c>
      <c r="F534">
        <v>947210.98380000005</v>
      </c>
      <c r="G534">
        <v>35105.721790000003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-5.2370337275699626E-2</v>
      </c>
      <c r="M534" s="1">
        <f t="shared" si="35"/>
        <v>110467332.56799576</v>
      </c>
      <c r="N534" s="1">
        <f t="shared" si="36"/>
        <v>91588203.187211797</v>
      </c>
      <c r="O534" s="1"/>
    </row>
    <row r="535" spans="1:15" x14ac:dyDescent="0.25">
      <c r="A535">
        <v>813</v>
      </c>
      <c r="B535">
        <v>66916.768939999994</v>
      </c>
      <c r="C535" s="1">
        <v>5.6199999999999998E-7</v>
      </c>
      <c r="D535">
        <v>534861.18570000003</v>
      </c>
      <c r="E535">
        <v>27203.88838</v>
      </c>
      <c r="F535">
        <v>890907.67879999999</v>
      </c>
      <c r="G535">
        <v>59596.537539999998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1.0969315936820734E-2</v>
      </c>
      <c r="M535" s="1">
        <f t="shared" si="35"/>
        <v>178080903.65274942</v>
      </c>
      <c r="N535" s="1">
        <f t="shared" si="36"/>
        <v>182537069.25737599</v>
      </c>
      <c r="O535" s="1"/>
    </row>
    <row r="536" spans="1:15" x14ac:dyDescent="0.25">
      <c r="A536">
        <v>814</v>
      </c>
      <c r="B536">
        <v>48221.89748</v>
      </c>
      <c r="C536" s="1">
        <v>-4.5399999999999997E-6</v>
      </c>
      <c r="D536">
        <v>491428.41830000002</v>
      </c>
      <c r="E536">
        <v>37963.782650000001</v>
      </c>
      <c r="F536">
        <v>824462.60309999995</v>
      </c>
      <c r="G536">
        <v>46255.591619999999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-7.7226494218314984E-2</v>
      </c>
      <c r="M536" s="1">
        <f t="shared" si="35"/>
        <v>216582360.35546562</v>
      </c>
      <c r="N536" s="1">
        <f t="shared" si="36"/>
        <v>123470021.0905728</v>
      </c>
      <c r="O536" s="1"/>
    </row>
    <row r="537" spans="1:15" x14ac:dyDescent="0.25">
      <c r="A537">
        <v>815</v>
      </c>
      <c r="B537">
        <v>28302.54594</v>
      </c>
      <c r="C537" s="1">
        <v>1.15E-6</v>
      </c>
      <c r="D537">
        <v>464595.00089999998</v>
      </c>
      <c r="E537">
        <v>7776.8450059999996</v>
      </c>
      <c r="F537">
        <v>765344.65289999999</v>
      </c>
      <c r="G537">
        <v>30752.974890000001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1.0623375711807626E-2</v>
      </c>
      <c r="M537" s="1">
        <f t="shared" si="35"/>
        <v>24094131.778687298</v>
      </c>
      <c r="N537" s="1">
        <f t="shared" si="36"/>
        <v>44579854.801672369</v>
      </c>
      <c r="O537" s="1"/>
    </row>
    <row r="538" spans="1:15" x14ac:dyDescent="0.25">
      <c r="A538">
        <v>816</v>
      </c>
      <c r="B538">
        <v>55523.49267</v>
      </c>
      <c r="C538" s="1">
        <v>-2.28E-7</v>
      </c>
      <c r="D538">
        <v>542196.21959999995</v>
      </c>
      <c r="E538">
        <v>25557.90912</v>
      </c>
      <c r="F538">
        <v>934704.92079999996</v>
      </c>
      <c r="G538">
        <v>25157.06799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-2.6324673626791795E-3</v>
      </c>
      <c r="M538" s="1">
        <f t="shared" si="35"/>
        <v>98968413.174393266</v>
      </c>
      <c r="N538" s="1">
        <f t="shared" si="36"/>
        <v>45580069.927708261</v>
      </c>
      <c r="O538" s="1"/>
    </row>
    <row r="539" spans="1:15" x14ac:dyDescent="0.25">
      <c r="A539">
        <v>817</v>
      </c>
      <c r="B539">
        <v>74550.887390000004</v>
      </c>
      <c r="C539" s="1">
        <v>2.2699999999999999E-6</v>
      </c>
      <c r="D539">
        <v>560852.57490000001</v>
      </c>
      <c r="E539">
        <v>4800.0701280000003</v>
      </c>
      <c r="F539">
        <v>968497.2635</v>
      </c>
      <c r="G539">
        <v>6574.2832330000001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1.5578834555729249E-2</v>
      </c>
      <c r="M539" s="1">
        <f t="shared" si="35"/>
        <v>11048411.14662298</v>
      </c>
      <c r="N539" s="1">
        <f t="shared" si="36"/>
        <v>7080180.5642561875</v>
      </c>
      <c r="O539" s="1"/>
    </row>
    <row r="540" spans="1:15" x14ac:dyDescent="0.25">
      <c r="A540">
        <v>818</v>
      </c>
      <c r="B540">
        <v>69928.525129999995</v>
      </c>
      <c r="C540" s="1">
        <v>-4.1500000000000001E-6</v>
      </c>
      <c r="D540">
        <v>489725.35460000002</v>
      </c>
      <c r="E540">
        <v>9839.7237210000003</v>
      </c>
      <c r="F540">
        <v>865398.9693</v>
      </c>
      <c r="G540">
        <v>8184.3014480000002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-5.8986477488029009E-2</v>
      </c>
      <c r="M540" s="1">
        <f t="shared" si="35"/>
        <v>46906216.831535771</v>
      </c>
      <c r="N540" s="1">
        <f t="shared" si="36"/>
        <v>18254620.032624617</v>
      </c>
      <c r="O540" s="1"/>
    </row>
    <row r="541" spans="1:15" x14ac:dyDescent="0.25">
      <c r="A541">
        <v>819</v>
      </c>
      <c r="B541">
        <v>73984.874679999994</v>
      </c>
      <c r="C541">
        <v>0</v>
      </c>
      <c r="D541">
        <v>522863.5969</v>
      </c>
      <c r="E541">
        <v>4361.1478950000001</v>
      </c>
      <c r="F541">
        <v>950898.42379999999</v>
      </c>
      <c r="G541">
        <v>3009.0253050000001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0</v>
      </c>
      <c r="M541" s="1">
        <f t="shared" si="35"/>
        <v>17391684.499521472</v>
      </c>
      <c r="N541" s="1">
        <f t="shared" si="36"/>
        <v>5614490.5066265967</v>
      </c>
      <c r="O541" s="1"/>
    </row>
    <row r="542" spans="1:15" x14ac:dyDescent="0.25">
      <c r="A542">
        <v>820</v>
      </c>
      <c r="B542">
        <v>79883.119390000007</v>
      </c>
      <c r="C542">
        <v>0</v>
      </c>
      <c r="D542">
        <v>560586.45120000001</v>
      </c>
      <c r="E542" s="1">
        <v>3.2899999999999998E-6</v>
      </c>
      <c r="F542">
        <v>939738.55390000006</v>
      </c>
      <c r="G542">
        <v>3009.0252759999998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0</v>
      </c>
      <c r="M542" s="1">
        <f t="shared" si="35"/>
        <v>1.9260368158123025E-2</v>
      </c>
      <c r="N542" s="1">
        <f t="shared" si="36"/>
        <v>8242106.0908946916</v>
      </c>
      <c r="O542" s="1"/>
    </row>
    <row r="543" spans="1:15" x14ac:dyDescent="0.25">
      <c r="A543">
        <v>821</v>
      </c>
      <c r="B543">
        <v>36934.174120000003</v>
      </c>
      <c r="C543" s="1">
        <v>-4.33E-6</v>
      </c>
      <c r="D543">
        <v>565422.48479999998</v>
      </c>
      <c r="E543">
        <v>12974.05651</v>
      </c>
      <c r="F543">
        <v>992707.06449999998</v>
      </c>
      <c r="G543">
        <v>16402.264780000001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-8.9776618175842648E-2</v>
      </c>
      <c r="M543" s="1">
        <f t="shared" si="35"/>
        <v>90218222.779476464</v>
      </c>
      <c r="N543" s="1">
        <f t="shared" si="36"/>
        <v>53366163.070548758</v>
      </c>
      <c r="O543" s="1"/>
    </row>
    <row r="544" spans="1:15" x14ac:dyDescent="0.25">
      <c r="A544">
        <v>824</v>
      </c>
      <c r="B544">
        <v>275614.56390000001</v>
      </c>
      <c r="C544">
        <v>30173.345079999999</v>
      </c>
      <c r="D544">
        <v>711584.32310000004</v>
      </c>
      <c r="E544">
        <v>42621.583619999998</v>
      </c>
      <c r="F544">
        <v>1172868.523</v>
      </c>
      <c r="G544">
        <v>40636.543599999997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249847185.46116665</v>
      </c>
      <c r="M544" s="1">
        <f t="shared" si="35"/>
        <v>118365114.03070657</v>
      </c>
      <c r="N544" s="1">
        <f t="shared" si="36"/>
        <v>52802511.308621153</v>
      </c>
      <c r="O544" s="1"/>
    </row>
    <row r="545" spans="1:15" x14ac:dyDescent="0.25">
      <c r="A545">
        <v>825</v>
      </c>
      <c r="B545">
        <v>282809.29830000002</v>
      </c>
      <c r="C545">
        <v>30173.345099999999</v>
      </c>
      <c r="D545">
        <v>726990.39569999999</v>
      </c>
      <c r="E545">
        <v>42621.583700000003</v>
      </c>
      <c r="F545">
        <v>1189934.2879999999</v>
      </c>
      <c r="G545">
        <v>52105.96286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221709404.10001877</v>
      </c>
      <c r="M545" s="1">
        <f t="shared" si="35"/>
        <v>105034839.1213717</v>
      </c>
      <c r="N545" s="1">
        <f t="shared" si="36"/>
        <v>60080687.753281929</v>
      </c>
      <c r="O545" s="1"/>
    </row>
    <row r="546" spans="1:15" x14ac:dyDescent="0.25">
      <c r="A546">
        <v>826</v>
      </c>
      <c r="B546">
        <v>439768.94699999999</v>
      </c>
      <c r="C546">
        <v>35368.421730000002</v>
      </c>
      <c r="D546">
        <v>839954.20750000002</v>
      </c>
      <c r="E546">
        <v>79603.004679999998</v>
      </c>
      <c r="F546">
        <v>1302781.389</v>
      </c>
      <c r="G546">
        <v>51920.778059999997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364595273.82285672</v>
      </c>
      <c r="M546" s="1">
        <f t="shared" si="35"/>
        <v>275212371.13180971</v>
      </c>
      <c r="N546" s="1">
        <f t="shared" si="36"/>
        <v>83989183.898651034</v>
      </c>
      <c r="O546" s="1"/>
    </row>
    <row r="547" spans="1:15" x14ac:dyDescent="0.25">
      <c r="A547">
        <v>827</v>
      </c>
      <c r="B547">
        <v>384295.02720000001</v>
      </c>
      <c r="C547">
        <v>70371.002470000007</v>
      </c>
      <c r="D547">
        <v>771764.36120000004</v>
      </c>
      <c r="E547">
        <v>139514.90059999999</v>
      </c>
      <c r="F547">
        <v>1281372.4620000001</v>
      </c>
      <c r="G547">
        <v>71661.529420000006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117925742.21117221</v>
      </c>
      <c r="M547" s="1">
        <f t="shared" si="35"/>
        <v>78411292.289659649</v>
      </c>
      <c r="N547" s="1">
        <f t="shared" si="36"/>
        <v>18844636.663458258</v>
      </c>
      <c r="O547" s="1"/>
    </row>
    <row r="548" spans="1:15" x14ac:dyDescent="0.25">
      <c r="A548">
        <v>828</v>
      </c>
      <c r="B548">
        <v>509968.62050000002</v>
      </c>
      <c r="C548">
        <v>82388.223769999997</v>
      </c>
      <c r="D548">
        <v>946018.53989999997</v>
      </c>
      <c r="E548">
        <v>107349.7653</v>
      </c>
      <c r="F548">
        <v>1408322.97</v>
      </c>
      <c r="G548">
        <v>61473.729549999996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217764818.04143706</v>
      </c>
      <c r="M548" s="1">
        <f t="shared" si="35"/>
        <v>95162712.604471594</v>
      </c>
      <c r="N548" s="1">
        <f t="shared" si="36"/>
        <v>25497579.472034983</v>
      </c>
      <c r="O548" s="1"/>
    </row>
    <row r="549" spans="1:15" x14ac:dyDescent="0.25">
      <c r="A549">
        <v>829</v>
      </c>
      <c r="B549">
        <v>10935.07163</v>
      </c>
      <c r="C549" s="1">
        <v>2.5199999999999998E-7</v>
      </c>
      <c r="D549">
        <v>395610.9608</v>
      </c>
      <c r="E549">
        <v>6449.0436799999998</v>
      </c>
      <c r="F549">
        <v>774910.73129999998</v>
      </c>
      <c r="G549">
        <v>28042.927680000001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5.3134042506035395E-3</v>
      </c>
      <c r="M549" s="1">
        <f t="shared" si="35"/>
        <v>45604822.89473442</v>
      </c>
      <c r="N549" s="1">
        <f t="shared" si="36"/>
        <v>92786006.933434248</v>
      </c>
      <c r="O549" s="1"/>
    </row>
    <row r="550" spans="1:15" x14ac:dyDescent="0.25">
      <c r="A550">
        <v>830</v>
      </c>
      <c r="B550">
        <v>11038.609619999999</v>
      </c>
      <c r="C550" s="1">
        <v>8.9999999999999996E-7</v>
      </c>
      <c r="D550">
        <v>465255.15139999997</v>
      </c>
      <c r="E550">
        <v>23491.02534</v>
      </c>
      <c r="F550">
        <v>886091.98490000004</v>
      </c>
      <c r="G550">
        <v>26002.116399999999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7.8089389315762489E-3</v>
      </c>
      <c r="M550" s="1">
        <f t="shared" si="35"/>
        <v>68358831.018456593</v>
      </c>
      <c r="N550" s="1">
        <f t="shared" si="36"/>
        <v>35403404.759063937</v>
      </c>
      <c r="O550" s="1"/>
    </row>
    <row r="551" spans="1:15" x14ac:dyDescent="0.25">
      <c r="A551">
        <v>831</v>
      </c>
      <c r="B551">
        <v>357179.94919999997</v>
      </c>
      <c r="C551">
        <v>37151.775430000002</v>
      </c>
      <c r="D551">
        <v>781191.27930000005</v>
      </c>
      <c r="E551">
        <v>58833.475460000001</v>
      </c>
      <c r="F551">
        <v>1227997.4469999999</v>
      </c>
      <c r="G551">
        <v>64242.602529999996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440731620.51246339</v>
      </c>
      <c r="M551" s="1">
        <f t="shared" si="35"/>
        <v>234078905.71066487</v>
      </c>
      <c r="N551" s="1">
        <f t="shared" si="36"/>
        <v>119592674.64797351</v>
      </c>
      <c r="O551" s="1"/>
    </row>
    <row r="552" spans="1:15" x14ac:dyDescent="0.25">
      <c r="A552">
        <v>832</v>
      </c>
      <c r="B552">
        <v>199618.22039999999</v>
      </c>
      <c r="C552">
        <v>2665.094803</v>
      </c>
      <c r="D552">
        <v>645232.32550000004</v>
      </c>
      <c r="E552">
        <v>31829.848720000002</v>
      </c>
      <c r="F552">
        <v>1077406.531</v>
      </c>
      <c r="G552">
        <v>40517.529840000003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8399890.1943778079</v>
      </c>
      <c r="M552" s="1">
        <f t="shared" si="35"/>
        <v>33646404.20725847</v>
      </c>
      <c r="N552" s="1">
        <f t="shared" si="36"/>
        <v>20039677.228784107</v>
      </c>
      <c r="O552" s="1"/>
    </row>
    <row r="553" spans="1:15" x14ac:dyDescent="0.25">
      <c r="A553">
        <v>833</v>
      </c>
      <c r="B553">
        <v>103592.7975</v>
      </c>
      <c r="C553" s="1">
        <v>-7.2400000000000001E-6</v>
      </c>
      <c r="D553">
        <v>571484.60190000001</v>
      </c>
      <c r="E553">
        <v>20927.579710000002</v>
      </c>
      <c r="F553">
        <v>977630.06909999996</v>
      </c>
      <c r="G553">
        <v>29268.17841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-9.4509392850342613E-2</v>
      </c>
      <c r="M553" s="1">
        <f t="shared" si="35"/>
        <v>91621742.835485816</v>
      </c>
      <c r="N553" s="1">
        <f t="shared" si="36"/>
        <v>59954103.841731794</v>
      </c>
      <c r="O553" s="1"/>
    </row>
    <row r="554" spans="1:15" x14ac:dyDescent="0.25">
      <c r="A554">
        <v>834</v>
      </c>
      <c r="B554">
        <v>63069.551800000001</v>
      </c>
      <c r="C554" s="1">
        <v>9.6200000000000006E-7</v>
      </c>
      <c r="D554">
        <v>568798.6764</v>
      </c>
      <c r="E554">
        <v>14408.570239999999</v>
      </c>
      <c r="F554">
        <v>971616.03079999995</v>
      </c>
      <c r="G554">
        <v>35240.461990000003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1.7365715780495811E-2</v>
      </c>
      <c r="M554" s="1">
        <f t="shared" si="35"/>
        <v>87233167.373853758</v>
      </c>
      <c r="N554" s="1">
        <f t="shared" si="36"/>
        <v>99826541.472819448</v>
      </c>
      <c r="O554" s="1"/>
    </row>
    <row r="555" spans="1:15" x14ac:dyDescent="0.25">
      <c r="A555">
        <v>835</v>
      </c>
      <c r="B555">
        <v>89477.869160000002</v>
      </c>
      <c r="C555" s="1">
        <v>1.06E-6</v>
      </c>
      <c r="D555">
        <v>552964.49809999997</v>
      </c>
      <c r="E555">
        <v>12826.08862</v>
      </c>
      <c r="F555">
        <v>921653.97140000004</v>
      </c>
      <c r="G555">
        <v>38175.469069999999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5.5515718877521504E-3</v>
      </c>
      <c r="M555" s="1">
        <f t="shared" si="35"/>
        <v>22529288.471333716</v>
      </c>
      <c r="N555" s="1">
        <f t="shared" si="36"/>
        <v>31374824.108647168</v>
      </c>
      <c r="O555" s="1"/>
    </row>
    <row r="556" spans="1:15" x14ac:dyDescent="0.25">
      <c r="A556">
        <v>836</v>
      </c>
      <c r="B556">
        <v>518818.85230000003</v>
      </c>
      <c r="C556">
        <v>53059.816019999998</v>
      </c>
      <c r="D556">
        <v>979112.55900000001</v>
      </c>
      <c r="E556">
        <v>78177.220530000006</v>
      </c>
      <c r="F556">
        <v>1414478.6910000001</v>
      </c>
      <c r="G556">
        <v>35169.92007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65270511.12193644</v>
      </c>
      <c r="M556" s="1">
        <f t="shared" si="35"/>
        <v>32253335.673817158</v>
      </c>
      <c r="N556" s="1">
        <f t="shared" si="36"/>
        <v>6789057.238824443</v>
      </c>
      <c r="O556" s="1"/>
    </row>
    <row r="557" spans="1:15" x14ac:dyDescent="0.25">
      <c r="A557">
        <v>837</v>
      </c>
      <c r="B557">
        <v>321856.37209999998</v>
      </c>
      <c r="C557">
        <v>19204.060939999999</v>
      </c>
      <c r="D557">
        <v>748248.54429999995</v>
      </c>
      <c r="E557">
        <v>31317.637739999998</v>
      </c>
      <c r="F557">
        <v>1178496.3529999999</v>
      </c>
      <c r="G557">
        <v>34796.171289999998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82933944.001645833</v>
      </c>
      <c r="M557" s="1">
        <f t="shared" si="35"/>
        <v>45359825.680003911</v>
      </c>
      <c r="N557" s="1">
        <f t="shared" si="36"/>
        <v>23580744.837553315</v>
      </c>
      <c r="O557" s="1"/>
    </row>
    <row r="558" spans="1:15" x14ac:dyDescent="0.25">
      <c r="A558">
        <v>894</v>
      </c>
      <c r="B558">
        <v>51928.881329999997</v>
      </c>
      <c r="C558" s="1">
        <v>-4.6E-6</v>
      </c>
      <c r="D558">
        <v>705302.03130000003</v>
      </c>
      <c r="E558">
        <v>15941.018309999999</v>
      </c>
      <c r="F558">
        <v>1377564.1869999999</v>
      </c>
      <c r="G558">
        <v>17764.805619999999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-1.0908147673522451E-2</v>
      </c>
      <c r="M558" s="1">
        <f t="shared" si="35"/>
        <v>12678047.50187744</v>
      </c>
      <c r="N558" s="1">
        <f t="shared" si="36"/>
        <v>6610593.4968651896</v>
      </c>
      <c r="O558" s="1"/>
    </row>
    <row r="559" spans="1:15" x14ac:dyDescent="0.25">
      <c r="A559">
        <v>895</v>
      </c>
      <c r="B559">
        <v>145127.78599999999</v>
      </c>
      <c r="C559">
        <v>34520.936750000001</v>
      </c>
      <c r="D559">
        <v>857636.65709999995</v>
      </c>
      <c r="E559">
        <v>38123.065470000001</v>
      </c>
      <c r="F559">
        <v>1467284.923</v>
      </c>
      <c r="G559">
        <v>25828.999950000001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118254914.93848321</v>
      </c>
      <c r="M559" s="1">
        <f t="shared" si="35"/>
        <v>43799341.365390539</v>
      </c>
      <c r="N559" s="1">
        <f t="shared" si="36"/>
        <v>13884525.246168757</v>
      </c>
      <c r="O559" s="1"/>
    </row>
    <row r="560" spans="1:15" x14ac:dyDescent="0.25">
      <c r="A560">
        <v>896</v>
      </c>
      <c r="B560">
        <v>176718.43460000001</v>
      </c>
      <c r="C560">
        <v>2665.0947249999999</v>
      </c>
      <c r="D560">
        <v>952114.31940000004</v>
      </c>
      <c r="E560">
        <v>11639.23767</v>
      </c>
      <c r="F560">
        <v>1531125.3060000001</v>
      </c>
      <c r="G560">
        <v>29714.582719999999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6049020.7015876062</v>
      </c>
      <c r="M560" s="1">
        <f t="shared" si="35"/>
        <v>8860130.0084418431</v>
      </c>
      <c r="N560" s="1">
        <f t="shared" si="36"/>
        <v>10583489.227649163</v>
      </c>
      <c r="O560" s="1"/>
    </row>
    <row r="561" spans="1:15" x14ac:dyDescent="0.25">
      <c r="A561">
        <v>897</v>
      </c>
      <c r="B561">
        <v>23169.80687</v>
      </c>
      <c r="C561" s="1">
        <v>-1.5E-6</v>
      </c>
      <c r="D561">
        <v>300402.0147</v>
      </c>
      <c r="E561" s="1">
        <v>-2.1100000000000001E-5</v>
      </c>
      <c r="F561">
        <v>982613.30339999998</v>
      </c>
      <c r="G561" s="1">
        <v>-4.4199999999999997E-5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-1.7143498546833752E-2</v>
      </c>
      <c r="M561" s="1">
        <f t="shared" si="35"/>
        <v>-8.0878630375103483E-2</v>
      </c>
      <c r="N561" s="1">
        <f t="shared" si="36"/>
        <v>-7.9271537280559259E-2</v>
      </c>
      <c r="O561" s="1"/>
    </row>
    <row r="562" spans="1:15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>
        <v>594.94634550000001</v>
      </c>
      <c r="F562">
        <v>1170011.639</v>
      </c>
      <c r="G562">
        <v>3009.025267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-2.0028165707167801E-2</v>
      </c>
      <c r="M562" s="1">
        <f t="shared" si="35"/>
        <v>1542987.2948092921</v>
      </c>
      <c r="N562" s="1">
        <f t="shared" si="36"/>
        <v>3651355.0221456168</v>
      </c>
      <c r="O562" s="1"/>
    </row>
    <row r="563" spans="1:15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 s="1">
        <v>3.1600000000000002E-5</v>
      </c>
      <c r="F563">
        <v>910148.93819999998</v>
      </c>
      <c r="G563" s="1">
        <v>-4.3900000000000003E-5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-5.3893879722773999E-2</v>
      </c>
      <c r="M563" s="1">
        <f t="shared" si="35"/>
        <v>0.13599419730192147</v>
      </c>
      <c r="N563" s="1">
        <f t="shared" si="36"/>
        <v>-8.8397807554079652E-2</v>
      </c>
      <c r="O563" s="1"/>
    </row>
    <row r="564" spans="1:15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>
        <v>65426.729919999998</v>
      </c>
      <c r="F564">
        <v>921892.33779999998</v>
      </c>
      <c r="G564">
        <v>51789.462850000004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-6.4959837804262371E-2</v>
      </c>
      <c r="M564" s="1">
        <f t="shared" si="35"/>
        <v>348513796.68207359</v>
      </c>
      <c r="N564" s="1">
        <f t="shared" si="36"/>
        <v>129077292.03836711</v>
      </c>
      <c r="O564" s="1"/>
    </row>
    <row r="565" spans="1:15" x14ac:dyDescent="0.25">
      <c r="A565">
        <v>901</v>
      </c>
      <c r="B565">
        <v>29041.807290000001</v>
      </c>
      <c r="C565">
        <v>0</v>
      </c>
      <c r="D565">
        <v>444396.93300000002</v>
      </c>
      <c r="E565">
        <v>15743.154979999999</v>
      </c>
      <c r="F565">
        <v>1013672.794</v>
      </c>
      <c r="G565">
        <v>19371.015340000002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0</v>
      </c>
      <c r="M565" s="1">
        <f t="shared" si="35"/>
        <v>51430287.801098257</v>
      </c>
      <c r="N565" s="1">
        <f t="shared" si="36"/>
        <v>29608966.391808633</v>
      </c>
      <c r="O565" s="1"/>
    </row>
    <row r="566" spans="1:15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-1.56E-5</v>
      </c>
      <c r="F566">
        <v>1030705.001</v>
      </c>
      <c r="G566">
        <v>8665.8564819999992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4.5452789026932304E-2</v>
      </c>
      <c r="M566" s="1">
        <f t="shared" si="35"/>
        <v>-8.1721303157700959E-2</v>
      </c>
      <c r="N566" s="1">
        <f t="shared" si="36"/>
        <v>21240554.763008203</v>
      </c>
      <c r="O566" s="1"/>
    </row>
    <row r="567" spans="1:15" x14ac:dyDescent="0.25">
      <c r="A567">
        <v>903</v>
      </c>
      <c r="B567">
        <v>38538.358639999999</v>
      </c>
      <c r="C567">
        <v>0</v>
      </c>
      <c r="D567">
        <v>529953.41500000004</v>
      </c>
      <c r="E567">
        <v>12908.47309</v>
      </c>
      <c r="F567">
        <v>1031875.76</v>
      </c>
      <c r="G567">
        <v>21613.387780000001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0</v>
      </c>
      <c r="M567" s="1">
        <f t="shared" si="35"/>
        <v>42253972.936487295</v>
      </c>
      <c r="N567" s="1">
        <f t="shared" si="36"/>
        <v>33102378.465497054</v>
      </c>
      <c r="O567" s="1"/>
    </row>
    <row r="568" spans="1:15" x14ac:dyDescent="0.25">
      <c r="A568">
        <v>904</v>
      </c>
      <c r="B568">
        <v>83543.235440000004</v>
      </c>
      <c r="C568" s="1">
        <v>3.5099999999999999E-6</v>
      </c>
      <c r="D568">
        <v>802869.48160000006</v>
      </c>
      <c r="E568" s="1">
        <v>-3.4400000000000003E-5</v>
      </c>
      <c r="F568">
        <v>1337769.4569999999</v>
      </c>
      <c r="G568">
        <v>13704.698350000001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2.3443736121008776E-2</v>
      </c>
      <c r="M568" s="1">
        <f t="shared" si="35"/>
        <v>-7.7058630689751925E-2</v>
      </c>
      <c r="N568" s="1">
        <f t="shared" si="36"/>
        <v>14364020.090735607</v>
      </c>
      <c r="O568" s="1"/>
    </row>
    <row r="569" spans="1:15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-2.4300000000000001E-5</v>
      </c>
      <c r="F569">
        <v>938368.72149999999</v>
      </c>
      <c r="G569" s="1">
        <v>1.33E-5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6.5439032877761413E-2</v>
      </c>
      <c r="M569" s="1">
        <f t="shared" si="35"/>
        <v>-0.13467627535612015</v>
      </c>
      <c r="N569" s="1">
        <f t="shared" si="36"/>
        <v>3.4488963481729265E-2</v>
      </c>
      <c r="O569" s="1"/>
    </row>
    <row r="570" spans="1:15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2.9899999999999998E-5</v>
      </c>
      <c r="F570">
        <v>948332.64099999995</v>
      </c>
      <c r="G570" s="1">
        <v>-2.44E-5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5.1282387302889601E-2</v>
      </c>
      <c r="M570" s="1">
        <f t="shared" si="35"/>
        <v>0.17315144103480704</v>
      </c>
      <c r="N570" s="1">
        <f t="shared" si="36"/>
        <v>-6.6113237772303365E-2</v>
      </c>
      <c r="O570" s="1"/>
    </row>
    <row r="571" spans="1:15" x14ac:dyDescent="0.25">
      <c r="A571">
        <v>907</v>
      </c>
      <c r="B571">
        <v>16153.59611</v>
      </c>
      <c r="C571">
        <v>0</v>
      </c>
      <c r="D571">
        <v>131280.02069999999</v>
      </c>
      <c r="E571" s="1">
        <v>-4.8199999999999999E-5</v>
      </c>
      <c r="F571">
        <v>847171.78570000001</v>
      </c>
      <c r="G571" s="1">
        <v>-2.87E-5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0</v>
      </c>
      <c r="M571" s="1">
        <f t="shared" si="35"/>
        <v>-0.32063363703079906</v>
      </c>
      <c r="N571" s="1">
        <f t="shared" si="36"/>
        <v>-8.9328001545924962E-2</v>
      </c>
      <c r="O571" s="1"/>
    </row>
    <row r="572" spans="1:15" x14ac:dyDescent="0.25">
      <c r="A572">
        <v>910</v>
      </c>
      <c r="B572">
        <v>114709.05379999999</v>
      </c>
      <c r="C572">
        <v>34520.936800000003</v>
      </c>
      <c r="D572">
        <v>781465.2439</v>
      </c>
      <c r="E572">
        <v>58861.181989999997</v>
      </c>
      <c r="F572">
        <v>1404221.4480000001</v>
      </c>
      <c r="G572">
        <v>49973.96344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397153797.70870239</v>
      </c>
      <c r="M572" s="1">
        <f t="shared" si="35"/>
        <v>227116278.3097983</v>
      </c>
      <c r="N572" s="1">
        <f t="shared" si="36"/>
        <v>90220817.280890882</v>
      </c>
      <c r="O572" s="1"/>
    </row>
    <row r="573" spans="1:15" x14ac:dyDescent="0.25">
      <c r="A573">
        <v>911</v>
      </c>
      <c r="B573">
        <v>28281.780429999999</v>
      </c>
      <c r="C573">
        <v>0</v>
      </c>
      <c r="D573">
        <v>560803.66229999997</v>
      </c>
      <c r="E573">
        <v>63539.842629999999</v>
      </c>
      <c r="F573">
        <v>1085209.325</v>
      </c>
      <c r="G573">
        <v>90692.099570000006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0</v>
      </c>
      <c r="M573" s="1">
        <f t="shared" si="35"/>
        <v>393146602.11643994</v>
      </c>
      <c r="N573" s="1">
        <f t="shared" si="36"/>
        <v>262555745.23996446</v>
      </c>
      <c r="O573" s="1"/>
    </row>
    <row r="574" spans="1:15" x14ac:dyDescent="0.25">
      <c r="A574">
        <v>912</v>
      </c>
      <c r="B574">
        <v>23326.955580000002</v>
      </c>
      <c r="C574" s="1">
        <v>-1.79E-6</v>
      </c>
      <c r="D574">
        <v>447675.0527</v>
      </c>
      <c r="E574">
        <v>53685.32387</v>
      </c>
      <c r="F574">
        <v>951361.49140000006</v>
      </c>
      <c r="G574">
        <v>100305.26700000001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-2.3867483784431952E-2</v>
      </c>
      <c r="M574" s="1">
        <f t="shared" si="35"/>
        <v>240077975.18742257</v>
      </c>
      <c r="N574" s="1">
        <f t="shared" si="36"/>
        <v>209876666.97790545</v>
      </c>
      <c r="O574" s="1"/>
    </row>
    <row r="575" spans="1:15" x14ac:dyDescent="0.25">
      <c r="A575">
        <v>913</v>
      </c>
      <c r="B575">
        <v>196519.514</v>
      </c>
      <c r="C575">
        <v>38916.933649999999</v>
      </c>
      <c r="D575">
        <v>907269.33</v>
      </c>
      <c r="E575">
        <v>40869.769160000003</v>
      </c>
      <c r="F575">
        <v>1503592.9110000001</v>
      </c>
      <c r="G575">
        <v>41843.289579999997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108845830.14891224</v>
      </c>
      <c r="M575" s="1">
        <f t="shared" si="35"/>
        <v>38337033.448431492</v>
      </c>
      <c r="N575" s="1">
        <f t="shared" si="36"/>
        <v>18364783.681952085</v>
      </c>
      <c r="O575" s="1"/>
    </row>
    <row r="576" spans="1:15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>
        <v>58952.138460000002</v>
      </c>
      <c r="F576">
        <v>1078164.527</v>
      </c>
      <c r="G576">
        <v>45136.545639999997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-1.05627793697725E-2</v>
      </c>
      <c r="M576" s="1">
        <f t="shared" si="35"/>
        <v>208843474.093198</v>
      </c>
      <c r="N576" s="1">
        <f t="shared" si="36"/>
        <v>74815803.164794877</v>
      </c>
      <c r="O576" s="1"/>
    </row>
    <row r="577" spans="1:15" x14ac:dyDescent="0.25">
      <c r="A577">
        <v>915</v>
      </c>
      <c r="B577">
        <v>99848.960269999996</v>
      </c>
      <c r="C577">
        <v>16430.199120000001</v>
      </c>
      <c r="D577">
        <v>808533.88439999998</v>
      </c>
      <c r="E577">
        <v>28093.400559999998</v>
      </c>
      <c r="F577">
        <v>1437621.0390000001</v>
      </c>
      <c r="G577">
        <v>22309.508129999998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66715704.330552571</v>
      </c>
      <c r="M577" s="1">
        <f t="shared" si="35"/>
        <v>38258919.18179404</v>
      </c>
      <c r="N577" s="1">
        <f t="shared" si="36"/>
        <v>14215497.357464692</v>
      </c>
      <c r="O577" s="1"/>
    </row>
    <row r="578" spans="1:15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>
        <v>10524.48019</v>
      </c>
      <c r="F578">
        <v>1086950.43</v>
      </c>
      <c r="G578">
        <v>18046.325089999998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3.0247411616421995E-2</v>
      </c>
      <c r="M578" s="1">
        <f t="shared" si="35"/>
        <v>38130629.664596923</v>
      </c>
      <c r="N578" s="1">
        <f t="shared" si="36"/>
        <v>30591852.506824922</v>
      </c>
      <c r="O578" s="1"/>
    </row>
    <row r="579" spans="1:15" x14ac:dyDescent="0.25">
      <c r="A579">
        <v>917</v>
      </c>
      <c r="B579">
        <v>64347.450060000003</v>
      </c>
      <c r="C579" s="1">
        <v>-3.5999999999999998E-6</v>
      </c>
      <c r="D579">
        <v>767406.18550000002</v>
      </c>
      <c r="E579">
        <v>21573.545340000001</v>
      </c>
      <c r="F579">
        <v>1381109.7949999999</v>
      </c>
      <c r="G579">
        <v>26328.472529999999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-2.9288464374897002E-2</v>
      </c>
      <c r="M579" s="1">
        <f t="shared" ref="M579:M642" si="39">$U$3*$K579*E579</f>
        <v>58865218.410477661</v>
      </c>
      <c r="N579" s="1">
        <f t="shared" ref="N579:N642" si="40">$U$4*$K579*G579</f>
        <v>33612946.168169506</v>
      </c>
      <c r="O579" s="1"/>
    </row>
    <row r="580" spans="1:15" x14ac:dyDescent="0.25">
      <c r="A580">
        <v>918</v>
      </c>
      <c r="B580">
        <v>40422.176809999997</v>
      </c>
      <c r="C580" s="1">
        <v>-2.9999999999999999E-7</v>
      </c>
      <c r="D580">
        <v>609807.63710000005</v>
      </c>
      <c r="E580">
        <v>28621.105739999999</v>
      </c>
      <c r="F580">
        <v>1238590.6000000001</v>
      </c>
      <c r="G580">
        <v>15279.98372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-1.3193149366994999E-3</v>
      </c>
      <c r="M580" s="1">
        <f t="shared" si="39"/>
        <v>42214025.656743787</v>
      </c>
      <c r="N580" s="1">
        <f t="shared" si="40"/>
        <v>10544765.625337237</v>
      </c>
      <c r="O580" s="1"/>
    </row>
    <row r="581" spans="1:15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>
        <v>16118.208860000001</v>
      </c>
      <c r="F581">
        <v>1064059.0930000001</v>
      </c>
      <c r="G581">
        <v>9588.3174629999994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5.7449653694725501E-3</v>
      </c>
      <c r="M581" s="1">
        <f t="shared" si="39"/>
        <v>38340900.806572437</v>
      </c>
      <c r="N581" s="1">
        <f t="shared" si="40"/>
        <v>10671651.056405084</v>
      </c>
      <c r="O581" s="1"/>
    </row>
    <row r="582" spans="1:15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>
        <v>51588.36305</v>
      </c>
      <c r="F582">
        <v>1131263.098</v>
      </c>
      <c r="G582">
        <v>36863.4899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4.1032251481357508E-2</v>
      </c>
      <c r="M582" s="1">
        <f t="shared" si="39"/>
        <v>236645896.19849193</v>
      </c>
      <c r="N582" s="1">
        <f t="shared" si="40"/>
        <v>79120196.298380926</v>
      </c>
      <c r="O582" s="1"/>
    </row>
    <row r="583" spans="1:15" x14ac:dyDescent="0.25">
      <c r="A583">
        <v>921</v>
      </c>
      <c r="B583">
        <v>46915.628530000002</v>
      </c>
      <c r="C583" s="1">
        <v>-2.8999999999999998E-7</v>
      </c>
      <c r="D583">
        <v>711641.15410000004</v>
      </c>
      <c r="E583">
        <v>704.83459400000004</v>
      </c>
      <c r="F583">
        <v>1302510.075</v>
      </c>
      <c r="G583">
        <v>4158.5211120000004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-4.1157987418057249E-3</v>
      </c>
      <c r="M583" s="1">
        <f t="shared" si="39"/>
        <v>3354953.3106963611</v>
      </c>
      <c r="N583" s="1">
        <f t="shared" si="40"/>
        <v>9261511.2359432299</v>
      </c>
      <c r="O583" s="1"/>
    </row>
    <row r="584" spans="1:15" x14ac:dyDescent="0.25">
      <c r="A584">
        <v>922</v>
      </c>
      <c r="B584">
        <v>34691.907919999998</v>
      </c>
      <c r="C584">
        <v>0</v>
      </c>
      <c r="D584">
        <v>479364.7243</v>
      </c>
      <c r="E584">
        <v>74100.220119999998</v>
      </c>
      <c r="F584">
        <v>1125036.0109999999</v>
      </c>
      <c r="G584">
        <v>37622.017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0</v>
      </c>
      <c r="M584" s="1">
        <f t="shared" si="39"/>
        <v>327003076.63149679</v>
      </c>
      <c r="N584" s="1">
        <f t="shared" si="40"/>
        <v>77681587.84826538</v>
      </c>
      <c r="O584" s="1"/>
    </row>
    <row r="585" spans="1:15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 s="1">
        <v>-3.7100000000000001E-5</v>
      </c>
      <c r="F585">
        <v>1053112.8759999999</v>
      </c>
      <c r="G585">
        <v>14522.03888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1.3187604008278701E-2</v>
      </c>
      <c r="M585" s="1">
        <f t="shared" si="39"/>
        <v>-5.7174325220132112E-2</v>
      </c>
      <c r="N585" s="1">
        <f t="shared" si="40"/>
        <v>10471247.177974401</v>
      </c>
      <c r="O585" s="1"/>
    </row>
    <row r="586" spans="1:15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 s="1">
        <v>2.1800000000000001E-5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4.8762168138180254E-2</v>
      </c>
      <c r="M586" s="1">
        <f t="shared" si="39"/>
        <v>-5.0855916419726331E-2</v>
      </c>
      <c r="N586" s="1">
        <f t="shared" si="40"/>
        <v>0.10762040404174454</v>
      </c>
      <c r="O586" s="1"/>
    </row>
    <row r="587" spans="1:15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7.0000000000000005E-8</v>
      </c>
      <c r="F587">
        <v>856359.63780000003</v>
      </c>
      <c r="G587">
        <v>0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4.87840304040765E-2</v>
      </c>
      <c r="M587" s="1">
        <f t="shared" si="39"/>
        <v>3.6243636999328503E-4</v>
      </c>
      <c r="N587" s="1">
        <f t="shared" si="40"/>
        <v>0</v>
      </c>
      <c r="O587" s="1"/>
    </row>
    <row r="588" spans="1:15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 s="1">
        <v>1.49E-5</v>
      </c>
      <c r="F588">
        <v>988816.93350000004</v>
      </c>
      <c r="G588">
        <v>7538.6943819999997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3.9509825131696402E-2</v>
      </c>
      <c r="M588" s="1">
        <f t="shared" si="39"/>
        <v>4.1830447846406854E-2</v>
      </c>
      <c r="N588" s="1">
        <f t="shared" si="40"/>
        <v>9902527.5974316988</v>
      </c>
      <c r="O588" s="1"/>
    </row>
    <row r="589" spans="1:15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 s="1">
        <v>-2.0299999999999999E-5</v>
      </c>
      <c r="F589">
        <v>955232.77919999999</v>
      </c>
      <c r="G589" s="1">
        <v>-3.15E-5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1.1555070421157901E-2</v>
      </c>
      <c r="M589" s="1">
        <f t="shared" si="39"/>
        <v>-9.5939603455520009E-2</v>
      </c>
      <c r="N589" s="1">
        <f t="shared" si="40"/>
        <v>-6.9655612126041905E-2</v>
      </c>
      <c r="O589" s="1"/>
    </row>
    <row r="590" spans="1:15" x14ac:dyDescent="0.25">
      <c r="A590">
        <v>931</v>
      </c>
      <c r="B590">
        <v>26392.8796</v>
      </c>
      <c r="C590" s="1">
        <v>-2.4899999999999999E-6</v>
      </c>
      <c r="D590">
        <v>171970.9933</v>
      </c>
      <c r="E590">
        <v>11226.17073</v>
      </c>
      <c r="F590">
        <v>953439.78480000002</v>
      </c>
      <c r="G590">
        <v>5155.1757340000004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-4.2159506390883374E-2</v>
      </c>
      <c r="M590" s="1">
        <f t="shared" si="39"/>
        <v>63748643.822536342</v>
      </c>
      <c r="N590" s="1">
        <f t="shared" si="40"/>
        <v>13697031.670668764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>
        <v>4713.6067739999999</v>
      </c>
      <c r="F591">
        <v>909519.73369999998</v>
      </c>
      <c r="G591">
        <v>28003.998500000002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37257268.852506898</v>
      </c>
      <c r="N591" s="1">
        <f t="shared" si="40"/>
        <v>103566998.56533474</v>
      </c>
      <c r="O591" s="1"/>
    </row>
    <row r="592" spans="1:15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>
        <v>3555.1115799999998</v>
      </c>
      <c r="F592">
        <v>968801.72580000001</v>
      </c>
      <c r="G592">
        <v>822.18936380000002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-5.4814135654635512E-2</v>
      </c>
      <c r="M592" s="1">
        <f t="shared" si="39"/>
        <v>13503413.958722139</v>
      </c>
      <c r="N592" s="1">
        <f t="shared" si="40"/>
        <v>1461187.2634314781</v>
      </c>
      <c r="O592" s="1"/>
    </row>
    <row r="593" spans="1:15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>
        <v>16461.724279999999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3.6023891513220004E-2</v>
      </c>
      <c r="M593" s="1">
        <f t="shared" si="39"/>
        <v>2.6036406144608653E-2</v>
      </c>
      <c r="N593" s="1">
        <f t="shared" si="40"/>
        <v>46528898.228840373</v>
      </c>
      <c r="O593" s="1"/>
    </row>
    <row r="594" spans="1:15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>
        <v>14033.47841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0.1076120104972965</v>
      </c>
      <c r="M594" s="1">
        <f t="shared" si="39"/>
        <v>-2.478910191609383E-2</v>
      </c>
      <c r="N594" s="1">
        <f t="shared" si="40"/>
        <v>62363329.655462101</v>
      </c>
      <c r="O594" s="1"/>
    </row>
    <row r="595" spans="1:15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-4.95E-6</v>
      </c>
      <c r="F595">
        <v>881063.02419999999</v>
      </c>
      <c r="G595">
        <v>6618.6885540000003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-0.14264198920053225</v>
      </c>
      <c r="M595" s="1">
        <f t="shared" si="39"/>
        <v>-5.0926375697698707E-2</v>
      </c>
      <c r="N595" s="1">
        <f t="shared" si="40"/>
        <v>31860544.558020901</v>
      </c>
      <c r="O595" s="1"/>
    </row>
    <row r="596" spans="1:15" x14ac:dyDescent="0.25">
      <c r="A596">
        <v>939</v>
      </c>
      <c r="B596">
        <v>189359.4944</v>
      </c>
      <c r="C596" s="1">
        <v>4.0899999999999998E-5</v>
      </c>
      <c r="D596">
        <v>818556.12939999998</v>
      </c>
      <c r="E596">
        <v>1127.1621029999999</v>
      </c>
      <c r="F596">
        <v>1311662.7080000001</v>
      </c>
      <c r="G596">
        <v>6952.8797999999997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0.6799745156643725</v>
      </c>
      <c r="M596" s="1">
        <f t="shared" si="39"/>
        <v>6284906.8310573623</v>
      </c>
      <c r="N596" s="1">
        <f t="shared" si="40"/>
        <v>18139314.259797446</v>
      </c>
      <c r="O596" s="1"/>
    </row>
    <row r="597" spans="1:15" x14ac:dyDescent="0.25">
      <c r="A597">
        <v>940</v>
      </c>
      <c r="B597">
        <v>30557.731520000001</v>
      </c>
      <c r="C597" s="1">
        <v>-4.4700000000000004E-6</v>
      </c>
      <c r="D597">
        <v>485873.73570000002</v>
      </c>
      <c r="E597">
        <v>15323.505740000001</v>
      </c>
      <c r="F597">
        <v>981646.17209999997</v>
      </c>
      <c r="G597">
        <v>8991.4990780000007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-4.7632121673341403E-2</v>
      </c>
      <c r="M597" s="1">
        <f t="shared" si="39"/>
        <v>54763812.628333136</v>
      </c>
      <c r="N597" s="1">
        <f t="shared" si="40"/>
        <v>15035273.160255162</v>
      </c>
      <c r="O597" s="1"/>
    </row>
    <row r="598" spans="1:15" x14ac:dyDescent="0.25">
      <c r="A598">
        <v>941</v>
      </c>
      <c r="B598">
        <v>32064.006539999998</v>
      </c>
      <c r="C598" s="1">
        <v>-1.08E-6</v>
      </c>
      <c r="D598">
        <v>483219.22639999999</v>
      </c>
      <c r="E598">
        <v>14483.022080000001</v>
      </c>
      <c r="F598">
        <v>988115.28220000002</v>
      </c>
      <c r="G598">
        <v>8991.4990149999994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-1.23505237463049E-2</v>
      </c>
      <c r="M598" s="1">
        <f t="shared" si="39"/>
        <v>55547427.307081208</v>
      </c>
      <c r="N598" s="1">
        <f t="shared" si="40"/>
        <v>16135429.706784517</v>
      </c>
      <c r="O598" s="1"/>
    </row>
    <row r="599" spans="1:15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 s="1">
        <v>3.2199999999999997E-5</v>
      </c>
      <c r="F599">
        <v>883248.21869999997</v>
      </c>
      <c r="G599" s="1">
        <v>2.5999999999999998E-5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-2.4766149167191252E-2</v>
      </c>
      <c r="M599" s="1">
        <f t="shared" si="39"/>
        <v>0.13175328586132298</v>
      </c>
      <c r="N599" s="1">
        <f t="shared" si="40"/>
        <v>4.9776299804009994E-2</v>
      </c>
      <c r="O599" s="1"/>
    </row>
    <row r="600" spans="1:15" x14ac:dyDescent="0.25">
      <c r="A600">
        <v>943</v>
      </c>
      <c r="B600">
        <v>18569.85785</v>
      </c>
      <c r="C600">
        <v>0</v>
      </c>
      <c r="D600">
        <v>164341.12469999999</v>
      </c>
      <c r="E600" s="1">
        <v>-3.29E-5</v>
      </c>
      <c r="F600">
        <v>860307.59069999994</v>
      </c>
      <c r="G600" s="1">
        <v>3.04E-5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0</v>
      </c>
      <c r="M600" s="1">
        <f t="shared" si="39"/>
        <v>-0.12602515521758065</v>
      </c>
      <c r="N600" s="1">
        <f t="shared" si="40"/>
        <v>5.4485206951656963E-2</v>
      </c>
      <c r="O600" s="1"/>
    </row>
    <row r="601" spans="1:15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 s="1">
        <v>1.8899999999999999E-5</v>
      </c>
      <c r="F601">
        <v>997943.18559999997</v>
      </c>
      <c r="G601">
        <v>8865.2077000000008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-2.8846722049184328E-2</v>
      </c>
      <c r="M601" s="1">
        <f t="shared" si="39"/>
        <v>7.2273800052933573E-2</v>
      </c>
      <c r="N601" s="1">
        <f t="shared" si="40"/>
        <v>15861771.120631956</v>
      </c>
      <c r="O601" s="1"/>
    </row>
    <row r="602" spans="1:15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 s="1">
        <v>-1.8300000000000001E-5</v>
      </c>
      <c r="F602">
        <v>994329.02309999999</v>
      </c>
      <c r="G602">
        <v>8184.3013629999996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-2.3630219803633952E-2</v>
      </c>
      <c r="M602" s="1">
        <f t="shared" si="39"/>
        <v>-4.5607353113022393E-2</v>
      </c>
      <c r="N602" s="1">
        <f t="shared" si="40"/>
        <v>9543530.573285358</v>
      </c>
      <c r="O602" s="1"/>
    </row>
    <row r="603" spans="1:15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 s="1">
        <v>5.0000000000000002E-5</v>
      </c>
      <c r="F603">
        <v>1008806.426</v>
      </c>
      <c r="G603">
        <v>8865.2076699999998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-1.3796014294974599E-2</v>
      </c>
      <c r="M603" s="1">
        <f t="shared" si="39"/>
        <v>0.10861434150612</v>
      </c>
      <c r="N603" s="1">
        <f t="shared" si="40"/>
        <v>9010518.0482559223</v>
      </c>
      <c r="O603" s="1"/>
    </row>
    <row r="604" spans="1:15" x14ac:dyDescent="0.25">
      <c r="A604">
        <v>949</v>
      </c>
      <c r="B604">
        <v>13925.48949</v>
      </c>
      <c r="C604" s="1">
        <v>-4.0400000000000003E-6</v>
      </c>
      <c r="D604">
        <v>410469.69939999998</v>
      </c>
      <c r="E604">
        <v>47788.23936</v>
      </c>
      <c r="F604">
        <v>827276.49080000003</v>
      </c>
      <c r="G604">
        <v>85885.15135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-8.5664047445731306E-2</v>
      </c>
      <c r="M604" s="1">
        <f t="shared" si="39"/>
        <v>339845397.12357002</v>
      </c>
      <c r="N604" s="1">
        <f t="shared" si="40"/>
        <v>285773612.86111265</v>
      </c>
      <c r="O604" s="1"/>
    </row>
    <row r="605" spans="1:15" x14ac:dyDescent="0.25">
      <c r="A605">
        <v>950</v>
      </c>
      <c r="B605">
        <v>86729.290500000003</v>
      </c>
      <c r="C605">
        <v>34520.936800000003</v>
      </c>
      <c r="D605">
        <v>670059.97569999995</v>
      </c>
      <c r="E605">
        <v>75522.042719999998</v>
      </c>
      <c r="F605">
        <v>1096811.7849999999</v>
      </c>
      <c r="G605">
        <v>90320.581999999995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1043100670.8247097</v>
      </c>
      <c r="M605" s="1">
        <f t="shared" si="39"/>
        <v>765350758.93091464</v>
      </c>
      <c r="N605" s="1">
        <f t="shared" si="40"/>
        <v>428269547.41073024</v>
      </c>
      <c r="O605" s="1"/>
    </row>
    <row r="606" spans="1:15" x14ac:dyDescent="0.25">
      <c r="A606">
        <v>951</v>
      </c>
      <c r="B606">
        <v>36406.379240000002</v>
      </c>
      <c r="C606" s="1">
        <v>-3.3900000000000002E-6</v>
      </c>
      <c r="D606">
        <v>560365.92449999996</v>
      </c>
      <c r="E606">
        <v>46508.370470000002</v>
      </c>
      <c r="F606">
        <v>978930.29150000005</v>
      </c>
      <c r="G606">
        <v>80080.468150000001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-8.7703944827611138E-2</v>
      </c>
      <c r="M606" s="1">
        <f t="shared" si="39"/>
        <v>403546597.4965325</v>
      </c>
      <c r="N606" s="1">
        <f t="shared" si="40"/>
        <v>325111886.52619958</v>
      </c>
      <c r="O606" s="1"/>
    </row>
    <row r="607" spans="1:15" x14ac:dyDescent="0.25">
      <c r="A607">
        <v>952</v>
      </c>
      <c r="B607">
        <v>113352.9039</v>
      </c>
      <c r="C607" s="1">
        <v>-4.8399999999999997E-5</v>
      </c>
      <c r="D607">
        <v>821006.4926</v>
      </c>
      <c r="E607" s="1">
        <v>4.6799999999999999E-5</v>
      </c>
      <c r="F607">
        <v>1295351.902</v>
      </c>
      <c r="G607">
        <v>9879.9307019999997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-0.54990959517651306</v>
      </c>
      <c r="M607" s="1">
        <f t="shared" si="39"/>
        <v>0.1783343183035237</v>
      </c>
      <c r="N607" s="1">
        <f t="shared" si="40"/>
        <v>17615162.322196435</v>
      </c>
      <c r="O607" s="1"/>
    </row>
    <row r="608" spans="1:15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>
        <v>0</v>
      </c>
      <c r="F608">
        <v>1327212.416</v>
      </c>
      <c r="G608">
        <v>7174.7446259999997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-7.7399793680572995E-2</v>
      </c>
      <c r="M608" s="1">
        <f t="shared" si="39"/>
        <v>0</v>
      </c>
      <c r="N608" s="1">
        <f t="shared" si="40"/>
        <v>4015811.6188476705</v>
      </c>
      <c r="O608" s="1"/>
    </row>
    <row r="609" spans="1:15" x14ac:dyDescent="0.25">
      <c r="A609">
        <v>954</v>
      </c>
      <c r="B609">
        <v>41311.490330000001</v>
      </c>
      <c r="C609" s="1">
        <v>-3.7900000000000001E-6</v>
      </c>
      <c r="D609">
        <v>635736.66119999997</v>
      </c>
      <c r="E609" s="1">
        <v>-2.9799999999999999E-5</v>
      </c>
      <c r="F609">
        <v>1127839.7009999999</v>
      </c>
      <c r="G609">
        <v>3223.4171940000001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-3.062502557367143E-2</v>
      </c>
      <c r="M609" s="1">
        <f t="shared" si="39"/>
        <v>-8.0760063380068622E-2</v>
      </c>
      <c r="N609" s="1">
        <f t="shared" si="40"/>
        <v>4087338.2862139004</v>
      </c>
      <c r="O609" s="1"/>
    </row>
    <row r="610" spans="1:15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-4.8300000000000002E-5</v>
      </c>
      <c r="F610">
        <v>973206.3689</v>
      </c>
      <c r="G610">
        <v>7538.6944370000001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-2.8438705198186399E-2</v>
      </c>
      <c r="M610" s="1">
        <f t="shared" si="39"/>
        <v>-0.20117064327429215</v>
      </c>
      <c r="N610" s="1">
        <f t="shared" si="40"/>
        <v>14691200.728687391</v>
      </c>
      <c r="O610" s="1"/>
    </row>
    <row r="611" spans="1:15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>
        <v>24839.16099</v>
      </c>
      <c r="F611">
        <v>1059638.862</v>
      </c>
      <c r="G611">
        <v>31360.496419999999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7.9800035176939996E-2</v>
      </c>
      <c r="M611" s="1">
        <f t="shared" si="39"/>
        <v>255687674.98659956</v>
      </c>
      <c r="N611" s="1">
        <f t="shared" si="40"/>
        <v>151042608.98413888</v>
      </c>
      <c r="O611" s="1"/>
    </row>
    <row r="612" spans="1:15" x14ac:dyDescent="0.25">
      <c r="A612">
        <v>959</v>
      </c>
      <c r="B612">
        <v>9915.8390120000004</v>
      </c>
      <c r="C612" s="1">
        <v>-9.9999999999999995E-8</v>
      </c>
      <c r="D612">
        <v>37987.788939999999</v>
      </c>
      <c r="E612" s="1">
        <v>3.9999999999999998E-6</v>
      </c>
      <c r="F612">
        <v>260117.7616</v>
      </c>
      <c r="G612">
        <v>2665.0947900000001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-9.5735328976300003E-4</v>
      </c>
      <c r="M612" s="1">
        <f t="shared" si="39"/>
        <v>1.2843262594974399E-2</v>
      </c>
      <c r="N612" s="1">
        <f t="shared" si="40"/>
        <v>4003793.8615868716</v>
      </c>
      <c r="O612" s="1"/>
    </row>
    <row r="613" spans="1:15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2.6299999999999999E-5</v>
      </c>
      <c r="F613">
        <v>732007.78</v>
      </c>
      <c r="G613" s="1">
        <v>2.3300000000000001E-5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4.2111416985592502E-3</v>
      </c>
      <c r="M613" s="1">
        <f t="shared" si="39"/>
        <v>5.3064087504438688E-2</v>
      </c>
      <c r="N613" s="1">
        <f t="shared" si="40"/>
        <v>2.1996042551199812E-2</v>
      </c>
      <c r="O613" s="1"/>
    </row>
    <row r="614" spans="1:15" x14ac:dyDescent="0.25">
      <c r="A614">
        <v>961</v>
      </c>
      <c r="B614">
        <v>28828.62887</v>
      </c>
      <c r="C614" s="1">
        <v>6.9999999999999997E-7</v>
      </c>
      <c r="D614">
        <v>212322.53779999999</v>
      </c>
      <c r="E614" s="1">
        <v>5.9999999999999997E-7</v>
      </c>
      <c r="F614">
        <v>1035014.44</v>
      </c>
      <c r="G614">
        <v>872.74298669999996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1.6168880983982999E-2</v>
      </c>
      <c r="M614" s="1">
        <f t="shared" si="39"/>
        <v>4.6481090828680797E-3</v>
      </c>
      <c r="N614" s="1">
        <f t="shared" si="40"/>
        <v>3163407.2596020489</v>
      </c>
      <c r="O614" s="1"/>
    </row>
    <row r="615" spans="1:15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-2.6800000000000001E-5</v>
      </c>
      <c r="F615">
        <v>875961.70940000005</v>
      </c>
      <c r="G615">
        <v>843.51927980000005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8.6091698394779991E-3</v>
      </c>
      <c r="M615" s="1">
        <f t="shared" si="39"/>
        <v>-6.4484889577136245E-2</v>
      </c>
      <c r="N615" s="1">
        <f t="shared" si="40"/>
        <v>949646.25096484774</v>
      </c>
      <c r="O615" s="1"/>
    </row>
    <row r="616" spans="1:15" x14ac:dyDescent="0.25">
      <c r="A616">
        <v>963</v>
      </c>
      <c r="B616">
        <v>59156.79148</v>
      </c>
      <c r="C616" s="1">
        <v>2.7E-6</v>
      </c>
      <c r="D616">
        <v>619125.61410000001</v>
      </c>
      <c r="E616">
        <v>13015.296560000001</v>
      </c>
      <c r="F616">
        <v>1339829.706</v>
      </c>
      <c r="G616">
        <v>3593.8786140000002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1.0745003737962E-2</v>
      </c>
      <c r="M616" s="1">
        <f t="shared" si="39"/>
        <v>17371607.647269916</v>
      </c>
      <c r="N616" s="1">
        <f t="shared" si="40"/>
        <v>2244362.616754184</v>
      </c>
      <c r="O616" s="1"/>
    </row>
    <row r="617" spans="1:15" x14ac:dyDescent="0.25">
      <c r="A617">
        <v>964</v>
      </c>
      <c r="B617">
        <v>39832.541929999999</v>
      </c>
      <c r="C617">
        <v>0</v>
      </c>
      <c r="D617">
        <v>367446.44679999998</v>
      </c>
      <c r="E617">
        <v>8249.5908419999996</v>
      </c>
      <c r="F617">
        <v>1229459.7050000001</v>
      </c>
      <c r="G617">
        <v>850.9174064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0</v>
      </c>
      <c r="M617" s="1">
        <f t="shared" si="39"/>
        <v>22339908.066645619</v>
      </c>
      <c r="N617" s="1">
        <f t="shared" si="40"/>
        <v>1078152.1622073848</v>
      </c>
      <c r="O617" s="1"/>
    </row>
    <row r="618" spans="1:15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1.3900000000000001E-5</v>
      </c>
      <c r="F618">
        <v>924957.81240000005</v>
      </c>
      <c r="G618">
        <v>312.7400872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3.7323313986562502E-2</v>
      </c>
      <c r="M618" s="1">
        <f t="shared" si="39"/>
        <v>5.7998515919016252E-2</v>
      </c>
      <c r="N618" s="1">
        <f t="shared" si="40"/>
        <v>610561.35385464341</v>
      </c>
      <c r="O618" s="1"/>
    </row>
    <row r="619" spans="1:15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4.1600000000000002E-5</v>
      </c>
      <c r="F619">
        <v>1056219.1440000001</v>
      </c>
      <c r="G619">
        <v>0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-6.821669183628E-2</v>
      </c>
      <c r="M619" s="1">
        <f t="shared" si="39"/>
        <v>0.20250197542548481</v>
      </c>
      <c r="N619" s="1">
        <f t="shared" si="40"/>
        <v>0</v>
      </c>
      <c r="O619" s="1"/>
    </row>
    <row r="620" spans="1:15" x14ac:dyDescent="0.25">
      <c r="A620">
        <v>967</v>
      </c>
      <c r="B620">
        <v>35399.701130000001</v>
      </c>
      <c r="C620">
        <v>0</v>
      </c>
      <c r="D620">
        <v>283151.55209999997</v>
      </c>
      <c r="E620" s="1">
        <v>3.7200000000000003E-5</v>
      </c>
      <c r="F620">
        <v>1113002.7579999999</v>
      </c>
      <c r="G620">
        <v>9141.1385590000009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0</v>
      </c>
      <c r="M620" s="1">
        <f t="shared" si="39"/>
        <v>5.6452523378126278E-2</v>
      </c>
      <c r="N620" s="1">
        <f t="shared" si="40"/>
        <v>6490593.1854682341</v>
      </c>
      <c r="O620" s="1"/>
    </row>
    <row r="621" spans="1:15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>
        <v>19005.42483</v>
      </c>
      <c r="F621">
        <v>1193329.1510000001</v>
      </c>
      <c r="G621">
        <v>18822.541410000002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1.7004149384241503E-2</v>
      </c>
      <c r="M621" s="1">
        <f t="shared" si="39"/>
        <v>29293678.202338375</v>
      </c>
      <c r="N621" s="1">
        <f t="shared" si="40"/>
        <v>13574325.656766983</v>
      </c>
      <c r="O621" s="1"/>
    </row>
    <row r="622" spans="1:15" x14ac:dyDescent="0.25">
      <c r="A622">
        <v>969</v>
      </c>
      <c r="B622">
        <v>93465.793579999998</v>
      </c>
      <c r="C622" s="1">
        <v>-3.4599999999999999E-6</v>
      </c>
      <c r="D622">
        <v>841825.47569999995</v>
      </c>
      <c r="E622" s="1">
        <v>2.1399999999999998E-5</v>
      </c>
      <c r="F622">
        <v>1504763.4509999999</v>
      </c>
      <c r="G622">
        <v>12326.69024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-1.8428157266882999E-2</v>
      </c>
      <c r="M622" s="1">
        <f t="shared" si="39"/>
        <v>3.8226340276328395E-2</v>
      </c>
      <c r="N622" s="1">
        <f t="shared" si="40"/>
        <v>10302416.631806545</v>
      </c>
      <c r="O622" s="1"/>
    </row>
    <row r="623" spans="1:15" x14ac:dyDescent="0.25">
      <c r="A623">
        <v>970</v>
      </c>
      <c r="B623">
        <v>150778.6139</v>
      </c>
      <c r="C623">
        <v>0</v>
      </c>
      <c r="D623">
        <v>963034.52190000005</v>
      </c>
      <c r="E623">
        <v>9723.4983350000002</v>
      </c>
      <c r="F623">
        <v>1582930.62</v>
      </c>
      <c r="G623">
        <v>16494.865839999999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0</v>
      </c>
      <c r="M623" s="1">
        <f t="shared" si="39"/>
        <v>24953978.874129713</v>
      </c>
      <c r="N623" s="1">
        <f t="shared" si="40"/>
        <v>19806590.59079913</v>
      </c>
      <c r="O623" s="1"/>
    </row>
    <row r="624" spans="1:15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>
        <v>872.74297799999999</v>
      </c>
      <c r="F624">
        <v>1558722.6540000001</v>
      </c>
      <c r="G624">
        <v>15627.88991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1.0892213870470142E-2</v>
      </c>
      <c r="M624" s="1">
        <f t="shared" si="39"/>
        <v>672616.19316172984</v>
      </c>
      <c r="N624" s="1">
        <f t="shared" si="40"/>
        <v>5635402.9739941573</v>
      </c>
      <c r="O624" s="1"/>
    </row>
    <row r="625" spans="1:15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>
        <v>8304.3531629999998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-9.9627709394226008E-2</v>
      </c>
      <c r="M625" s="1">
        <f t="shared" si="39"/>
        <v>4.3044580107684506E-2</v>
      </c>
      <c r="N625" s="1">
        <f t="shared" si="40"/>
        <v>38185093.090633176</v>
      </c>
      <c r="O625" s="1"/>
    </row>
    <row r="626" spans="1:15" x14ac:dyDescent="0.25">
      <c r="A626">
        <v>973</v>
      </c>
      <c r="B626">
        <v>20651.81091</v>
      </c>
      <c r="C626">
        <v>0</v>
      </c>
      <c r="D626">
        <v>208951.47750000001</v>
      </c>
      <c r="E626" s="1">
        <v>-2.1699999999999999E-5</v>
      </c>
      <c r="F626">
        <v>1096784.1939999999</v>
      </c>
      <c r="G626">
        <v>-1.9479E-4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0</v>
      </c>
      <c r="M626" s="1">
        <f t="shared" si="39"/>
        <v>-0.13565985360121025</v>
      </c>
      <c r="N626" s="1">
        <f t="shared" si="40"/>
        <v>-0.56977310575063089</v>
      </c>
      <c r="O626" s="1"/>
    </row>
    <row r="627" spans="1:15" x14ac:dyDescent="0.25">
      <c r="A627">
        <v>974</v>
      </c>
      <c r="B627">
        <v>53872.163809999998</v>
      </c>
      <c r="C627">
        <v>0</v>
      </c>
      <c r="D627">
        <v>728534.63950000005</v>
      </c>
      <c r="E627" s="1">
        <v>-1.0699999999999999E-5</v>
      </c>
      <c r="F627">
        <v>1431634.64</v>
      </c>
      <c r="G627">
        <v>4314.4340679999996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0</v>
      </c>
      <c r="M627" s="1">
        <f t="shared" si="39"/>
        <v>-6.7792509395616471E-2</v>
      </c>
      <c r="N627" s="1">
        <f t="shared" si="40"/>
        <v>12789849.881398052</v>
      </c>
      <c r="O627" s="1"/>
    </row>
    <row r="628" spans="1:15" x14ac:dyDescent="0.25">
      <c r="A628">
        <v>975</v>
      </c>
      <c r="B628">
        <v>29532.687290000002</v>
      </c>
      <c r="C628" s="1">
        <v>-1.7E-6</v>
      </c>
      <c r="D628">
        <v>534582.18359999999</v>
      </c>
      <c r="E628">
        <v>19822.165379999999</v>
      </c>
      <c r="F628">
        <v>1214880.43</v>
      </c>
      <c r="G628">
        <v>20659.76658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-1.4503268161203252E-2</v>
      </c>
      <c r="M628" s="1">
        <f t="shared" si="39"/>
        <v>56716730.542194866</v>
      </c>
      <c r="N628" s="1">
        <f t="shared" si="40"/>
        <v>27658535.525317386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 s="1">
        <v>8.9999999999999996E-7</v>
      </c>
      <c r="F629">
        <v>74366.285369999998</v>
      </c>
      <c r="G629" s="1">
        <v>-1.3200000000000001E-6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4.3838260109890191E-3</v>
      </c>
      <c r="N629" s="1">
        <f t="shared" si="40"/>
        <v>-3.0083503268071446E-3</v>
      </c>
      <c r="O629" s="1"/>
    </row>
    <row r="630" spans="1:15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 s="1">
        <v>1.9599999999999999E-5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-6.0689890294838997E-2</v>
      </c>
      <c r="M630" s="1">
        <f t="shared" si="39"/>
        <v>-2.7082733864819134E-2</v>
      </c>
      <c r="N630" s="1">
        <f t="shared" si="40"/>
        <v>5.185095242625732E-2</v>
      </c>
      <c r="O630" s="1"/>
    </row>
    <row r="631" spans="1:15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>
        <v>0</v>
      </c>
      <c r="F631">
        <v>441928.91629999998</v>
      </c>
      <c r="G631">
        <v>12680.990760000001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1.1912957454073001E-2</v>
      </c>
      <c r="M631" s="1">
        <f t="shared" si="39"/>
        <v>0</v>
      </c>
      <c r="N631" s="1">
        <f t="shared" si="40"/>
        <v>59265179.025907815</v>
      </c>
      <c r="O631" s="1"/>
    </row>
    <row r="632" spans="1:15" x14ac:dyDescent="0.25">
      <c r="A632">
        <v>979</v>
      </c>
      <c r="B632">
        <v>22360.274600000001</v>
      </c>
      <c r="C632" s="1">
        <v>3.9999999999999998E-7</v>
      </c>
      <c r="D632">
        <v>305439.67609999998</v>
      </c>
      <c r="E632" s="1">
        <v>-1.75E-6</v>
      </c>
      <c r="F632">
        <v>1114099.9990000001</v>
      </c>
      <c r="G632">
        <v>1127.162071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6.4126422684349996E-3</v>
      </c>
      <c r="M632" s="1">
        <f t="shared" si="39"/>
        <v>-9.4093193284921252E-3</v>
      </c>
      <c r="N632" s="1">
        <f t="shared" si="40"/>
        <v>2835634.1856418303</v>
      </c>
      <c r="O632" s="1"/>
    </row>
    <row r="633" spans="1:15" x14ac:dyDescent="0.25">
      <c r="A633">
        <v>980</v>
      </c>
      <c r="B633">
        <v>30688.757310000001</v>
      </c>
      <c r="C633" s="1">
        <v>-6.9999999999999997E-7</v>
      </c>
      <c r="D633">
        <v>350625.09850000002</v>
      </c>
      <c r="E633">
        <v>14332.91078</v>
      </c>
      <c r="F633">
        <v>1137815.531</v>
      </c>
      <c r="G633">
        <v>11389.541499999999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-5.6742967536937495E-3</v>
      </c>
      <c r="M633" s="1">
        <f t="shared" si="39"/>
        <v>38966512.584540844</v>
      </c>
      <c r="N633" s="1">
        <f t="shared" si="40"/>
        <v>14487954.093780318</v>
      </c>
      <c r="O633" s="1"/>
    </row>
    <row r="634" spans="1:15" x14ac:dyDescent="0.25">
      <c r="A634">
        <v>981</v>
      </c>
      <c r="B634">
        <v>9729.7194710000003</v>
      </c>
      <c r="C634" s="1">
        <v>9.9999999999999995E-8</v>
      </c>
      <c r="D634">
        <v>96835.998749999999</v>
      </c>
      <c r="E634" s="1">
        <v>4.4100000000000001E-6</v>
      </c>
      <c r="F634">
        <v>801889.15489999996</v>
      </c>
      <c r="G634">
        <v>4278.7368429999997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1.8063060254004998E-3</v>
      </c>
      <c r="M634" s="1">
        <f t="shared" si="39"/>
        <v>2.6716099795377424E-2</v>
      </c>
      <c r="N634" s="1">
        <f t="shared" si="40"/>
        <v>12128126.620655835</v>
      </c>
      <c r="O634" s="1"/>
    </row>
    <row r="635" spans="1:15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-3.5099999999999999E-5</v>
      </c>
      <c r="F635">
        <v>1008634.853</v>
      </c>
      <c r="G635">
        <v>2240.832731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-3.8280291321675E-2</v>
      </c>
      <c r="M635" s="1">
        <f t="shared" si="39"/>
        <v>-0.18025423577550323</v>
      </c>
      <c r="N635" s="1">
        <f t="shared" si="40"/>
        <v>5384327.6517379126</v>
      </c>
      <c r="O635" s="1"/>
    </row>
    <row r="636" spans="1:15" x14ac:dyDescent="0.25">
      <c r="A636">
        <v>983</v>
      </c>
      <c r="B636">
        <v>23665.963169999999</v>
      </c>
      <c r="C636" s="1">
        <v>-2.7E-6</v>
      </c>
      <c r="D636">
        <v>150244.77249999999</v>
      </c>
      <c r="E636">
        <v>0</v>
      </c>
      <c r="F636">
        <v>972884.66619999998</v>
      </c>
      <c r="G636">
        <v>2247.9905950000002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-7.8029433026473499E-2</v>
      </c>
      <c r="M636" s="1">
        <f t="shared" si="39"/>
        <v>0</v>
      </c>
      <c r="N636" s="1">
        <f t="shared" si="40"/>
        <v>10194736.194201067</v>
      </c>
      <c r="O636" s="1"/>
    </row>
    <row r="637" spans="1:15" x14ac:dyDescent="0.25">
      <c r="A637">
        <v>984</v>
      </c>
      <c r="B637">
        <v>3024.2682639999998</v>
      </c>
      <c r="C637">
        <v>0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0</v>
      </c>
      <c r="M637" s="1">
        <f t="shared" si="39"/>
        <v>5.6411372379344002E-2</v>
      </c>
      <c r="N637" s="1">
        <f t="shared" si="40"/>
        <v>-3.2827925359974905E-2</v>
      </c>
      <c r="O637" s="1"/>
    </row>
    <row r="638" spans="1:15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2.6100000000000001E-5</v>
      </c>
      <c r="F638">
        <v>729847.50410000002</v>
      </c>
      <c r="G638">
        <v>70782.823420000001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-7.9540670481967508E-3</v>
      </c>
      <c r="M638" s="1">
        <f t="shared" si="39"/>
        <v>6.8261011600045052E-2</v>
      </c>
      <c r="N638" s="1">
        <f t="shared" si="40"/>
        <v>86617126.668207869</v>
      </c>
      <c r="O638" s="1"/>
    </row>
    <row r="639" spans="1:15" x14ac:dyDescent="0.25">
      <c r="A639">
        <v>1000</v>
      </c>
      <c r="B639">
        <v>9102.3904789999997</v>
      </c>
      <c r="C639">
        <v>0</v>
      </c>
      <c r="D639">
        <v>56052.59302</v>
      </c>
      <c r="E639" s="1">
        <v>2.8999999999999998E-7</v>
      </c>
      <c r="F639">
        <v>200462.03820000001</v>
      </c>
      <c r="G639" s="1">
        <v>1.36E-5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0</v>
      </c>
      <c r="M639" s="1">
        <f t="shared" si="39"/>
        <v>2.7920548299899166E-3</v>
      </c>
      <c r="N639" s="1">
        <f t="shared" si="40"/>
        <v>6.126444891113593E-2</v>
      </c>
      <c r="O639" s="1"/>
    </row>
    <row r="640" spans="1:15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>
        <v>0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-1.7994525482049998E-2</v>
      </c>
      <c r="M640" s="1">
        <f t="shared" si="39"/>
        <v>-2.3778242810834439E-2</v>
      </c>
      <c r="N640" s="1">
        <f t="shared" si="40"/>
        <v>0</v>
      </c>
      <c r="O640" s="1"/>
    </row>
    <row r="641" spans="1:15" x14ac:dyDescent="0.25">
      <c r="A641">
        <v>1002</v>
      </c>
      <c r="B641">
        <v>10370.900030000001</v>
      </c>
      <c r="C641">
        <v>0</v>
      </c>
      <c r="D641">
        <v>63756.014289999999</v>
      </c>
      <c r="E641" s="1">
        <v>3.9199999999999997E-6</v>
      </c>
      <c r="F641">
        <v>198836.57949999999</v>
      </c>
      <c r="G641">
        <v>0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0</v>
      </c>
      <c r="M641" s="1">
        <f t="shared" si="39"/>
        <v>3.217360162291464E-2</v>
      </c>
      <c r="N641" s="1">
        <f t="shared" si="40"/>
        <v>0</v>
      </c>
      <c r="O641" s="1"/>
    </row>
    <row r="642" spans="1:15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-1.8E-5</v>
      </c>
      <c r="F642">
        <v>414755.84029999998</v>
      </c>
      <c r="G642">
        <v>8249.5908770000005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-2.3060338619683627E-2</v>
      </c>
      <c r="M642" s="1">
        <f t="shared" si="39"/>
        <v>-6.9956527826547002E-2</v>
      </c>
      <c r="N642" s="1">
        <f t="shared" si="40"/>
        <v>15001401.335865658</v>
      </c>
      <c r="O642" s="1"/>
    </row>
    <row r="643" spans="1:15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>
        <v>0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-4.0026716190240006E-3</v>
      </c>
      <c r="M643" s="1">
        <f t="shared" ref="M643:M706" si="43">$U$3*$K643*E643</f>
        <v>-9.9004543007474403E-3</v>
      </c>
      <c r="N643" s="1">
        <f t="shared" ref="N643:N706" si="44">$U$4*$K643*G643</f>
        <v>0</v>
      </c>
      <c r="O643" s="1"/>
    </row>
    <row r="644" spans="1:15" x14ac:dyDescent="0.25">
      <c r="A644">
        <v>1005</v>
      </c>
      <c r="B644">
        <v>4097.4531889999998</v>
      </c>
      <c r="C644" s="1">
        <v>-3.1E-7</v>
      </c>
      <c r="D644">
        <v>98114.865969999999</v>
      </c>
      <c r="E644" s="1">
        <v>-4.1200000000000004E-6</v>
      </c>
      <c r="F644">
        <v>240782.86960000001</v>
      </c>
      <c r="G644">
        <v>0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-7.5704570979040244E-3</v>
      </c>
      <c r="M644" s="1">
        <f t="shared" si="43"/>
        <v>-3.3744326288106599E-2</v>
      </c>
      <c r="N644" s="1">
        <f t="shared" si="44"/>
        <v>0</v>
      </c>
      <c r="O644" s="1"/>
    </row>
    <row r="645" spans="1:15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-4.2299999999999998E-5</v>
      </c>
      <c r="F645">
        <v>860006.26930000004</v>
      </c>
      <c r="G645">
        <v>24519.666389999999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-2.2791205221026779E-2</v>
      </c>
      <c r="M645" s="1">
        <f t="shared" si="43"/>
        <v>-0.11506532703267247</v>
      </c>
      <c r="N645" s="1">
        <f t="shared" si="44"/>
        <v>31207741.780373104</v>
      </c>
      <c r="O645" s="1"/>
    </row>
    <row r="646" spans="1:15" x14ac:dyDescent="0.25">
      <c r="A646">
        <v>1007</v>
      </c>
      <c r="B646">
        <v>103879.3089</v>
      </c>
      <c r="C646" s="1">
        <v>3.15E-5</v>
      </c>
      <c r="D646">
        <v>637266.78570000001</v>
      </c>
      <c r="E646">
        <v>86059.342340000003</v>
      </c>
      <c r="F646">
        <v>1303767.1680000001</v>
      </c>
      <c r="G646">
        <v>105184.5726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0.33058962317028379</v>
      </c>
      <c r="M646" s="1">
        <f t="shared" si="43"/>
        <v>302914333.13176775</v>
      </c>
      <c r="N646" s="1">
        <f t="shared" si="44"/>
        <v>173227774.27860603</v>
      </c>
      <c r="O646" s="1"/>
    </row>
    <row r="647" spans="1:15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>
        <v>0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-3.0348852025648002E-3</v>
      </c>
      <c r="M647" s="1">
        <f t="shared" si="43"/>
        <v>-2.9136065208161529E-2</v>
      </c>
      <c r="N647" s="1">
        <f t="shared" si="44"/>
        <v>0</v>
      </c>
      <c r="O647" s="1"/>
    </row>
    <row r="648" spans="1:15" x14ac:dyDescent="0.25">
      <c r="A648">
        <v>1009</v>
      </c>
      <c r="B648">
        <v>76153.406050000005</v>
      </c>
      <c r="C648" s="1">
        <v>7.8000000000000005E-7</v>
      </c>
      <c r="D648">
        <v>371765.51819999999</v>
      </c>
      <c r="E648">
        <v>57104.008119999999</v>
      </c>
      <c r="F648">
        <v>1135935.004</v>
      </c>
      <c r="G648">
        <v>69776.324930000002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1.16998069023966E-2</v>
      </c>
      <c r="M648" s="1">
        <f t="shared" si="43"/>
        <v>287272345.76292205</v>
      </c>
      <c r="N648" s="1">
        <f t="shared" si="44"/>
        <v>164240023.39263898</v>
      </c>
      <c r="O648" s="1"/>
    </row>
    <row r="649" spans="1:15" x14ac:dyDescent="0.25">
      <c r="A649">
        <v>1010</v>
      </c>
      <c r="B649">
        <v>31374.42986</v>
      </c>
      <c r="C649" s="1">
        <v>-1.68E-6</v>
      </c>
      <c r="D649">
        <v>150772.27369999999</v>
      </c>
      <c r="E649">
        <v>0</v>
      </c>
      <c r="F649">
        <v>347676.27510000003</v>
      </c>
      <c r="G649">
        <v>8180.608236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-3.0636441762817806E-2</v>
      </c>
      <c r="M649" s="1">
        <f t="shared" si="43"/>
        <v>0</v>
      </c>
      <c r="N649" s="1">
        <f t="shared" si="44"/>
        <v>23410002.047873124</v>
      </c>
      <c r="O649" s="1"/>
    </row>
    <row r="650" spans="1:15" x14ac:dyDescent="0.25">
      <c r="A650">
        <v>1011</v>
      </c>
      <c r="B650">
        <v>50970.113790000003</v>
      </c>
      <c r="C650" s="1">
        <v>3.19E-6</v>
      </c>
      <c r="D650">
        <v>172544.1</v>
      </c>
      <c r="E650">
        <v>0</v>
      </c>
      <c r="F650">
        <v>844267.11399999994</v>
      </c>
      <c r="G650">
        <v>48076.681380000002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6.2738609826746436E-2</v>
      </c>
      <c r="M650" s="1">
        <f t="shared" si="43"/>
        <v>0</v>
      </c>
      <c r="N650" s="1">
        <f t="shared" si="44"/>
        <v>148376630.71916655</v>
      </c>
      <c r="O650" s="1"/>
    </row>
    <row r="651" spans="1:15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>
        <v>0</v>
      </c>
      <c r="F651">
        <v>319813.01380000002</v>
      </c>
      <c r="G651">
        <v>0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-1.4618374646660199E-2</v>
      </c>
      <c r="M651" s="1">
        <f t="shared" si="43"/>
        <v>0</v>
      </c>
      <c r="N651" s="1">
        <f t="shared" si="44"/>
        <v>0</v>
      </c>
      <c r="O651" s="1"/>
    </row>
    <row r="652" spans="1:15" x14ac:dyDescent="0.25">
      <c r="A652">
        <v>1013</v>
      </c>
      <c r="B652">
        <v>64062.242010000002</v>
      </c>
      <c r="C652" s="1">
        <v>3.3000000000000002E-7</v>
      </c>
      <c r="D652">
        <v>198821.93350000001</v>
      </c>
      <c r="E652">
        <v>0</v>
      </c>
      <c r="F652">
        <v>821857.69739999995</v>
      </c>
      <c r="G652">
        <v>29753.510389999999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3.8183842604943758E-3</v>
      </c>
      <c r="M652" s="1">
        <f t="shared" si="43"/>
        <v>0</v>
      </c>
      <c r="N652" s="1">
        <f t="shared" si="44"/>
        <v>54024495.33006271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 s="1">
        <v>-4.4900000000000002E-6</v>
      </c>
      <c r="F653">
        <v>130128.86169999999</v>
      </c>
      <c r="G653" s="1">
        <v>1.43E-5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-0.10681925828589169</v>
      </c>
      <c r="N653" s="1">
        <f t="shared" si="44"/>
        <v>0.15917795931407369</v>
      </c>
      <c r="O653" s="1"/>
    </row>
    <row r="654" spans="1:15" x14ac:dyDescent="0.25">
      <c r="A654">
        <v>1015</v>
      </c>
      <c r="B654">
        <v>58984.214469999999</v>
      </c>
      <c r="C654" s="1">
        <v>3.9999999999999998E-7</v>
      </c>
      <c r="D654">
        <v>148137.21049999999</v>
      </c>
      <c r="E654" s="1">
        <v>7.1799999999999999E-6</v>
      </c>
      <c r="F654">
        <v>496476.37650000001</v>
      </c>
      <c r="G654">
        <v>19436.402880000001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3.3934243058819998E-3</v>
      </c>
      <c r="M654" s="1">
        <f t="shared" si="43"/>
        <v>2.0428936386687468E-2</v>
      </c>
      <c r="N654" s="1">
        <f t="shared" si="44"/>
        <v>25875031.227286559</v>
      </c>
      <c r="O654" s="1"/>
    </row>
    <row r="655" spans="1:15" x14ac:dyDescent="0.25">
      <c r="A655">
        <v>1016</v>
      </c>
      <c r="B655">
        <v>36750.033880000003</v>
      </c>
      <c r="C655" s="1">
        <v>4.0999999999999997E-6</v>
      </c>
      <c r="D655">
        <v>106351.9859</v>
      </c>
      <c r="E655" s="1">
        <v>6.1199999999999999E-6</v>
      </c>
      <c r="F655">
        <v>314171.85749999998</v>
      </c>
      <c r="G655" s="1">
        <v>-2.0999999999999999E-5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7.8934848719674988E-2</v>
      </c>
      <c r="M655" s="1">
        <f t="shared" si="43"/>
        <v>3.9516592032961199E-2</v>
      </c>
      <c r="N655" s="1">
        <f t="shared" si="44"/>
        <v>-6.3444069777690001E-2</v>
      </c>
      <c r="O655" s="1"/>
    </row>
    <row r="656" spans="1:15" x14ac:dyDescent="0.25">
      <c r="A656">
        <v>1017</v>
      </c>
      <c r="B656">
        <v>49383.043189999997</v>
      </c>
      <c r="C656" s="1">
        <v>2.9999999999999999E-7</v>
      </c>
      <c r="D656">
        <v>107853.54429999999</v>
      </c>
      <c r="E656">
        <v>0</v>
      </c>
      <c r="F656">
        <v>322515.88890000002</v>
      </c>
      <c r="G656">
        <v>4113.6239999999998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2.6511956422964997E-3</v>
      </c>
      <c r="M656" s="1">
        <f t="shared" si="43"/>
        <v>0</v>
      </c>
      <c r="N656" s="1">
        <f t="shared" si="44"/>
        <v>5704688.442719602</v>
      </c>
      <c r="O656" s="1"/>
    </row>
    <row r="657" spans="1:15" x14ac:dyDescent="0.25">
      <c r="A657">
        <v>1018</v>
      </c>
      <c r="B657">
        <v>54884.157010000003</v>
      </c>
      <c r="C657">
        <v>0</v>
      </c>
      <c r="D657">
        <v>124455.74430000001</v>
      </c>
      <c r="E657" s="1">
        <v>-1.63E-5</v>
      </c>
      <c r="F657">
        <v>366546.26990000001</v>
      </c>
      <c r="G657">
        <v>2665.0947379999998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0</v>
      </c>
      <c r="M657" s="1">
        <f t="shared" si="43"/>
        <v>-8.4690897669903273E-2</v>
      </c>
      <c r="N657" s="1">
        <f t="shared" si="44"/>
        <v>6478962.4317917153</v>
      </c>
      <c r="O657" s="1"/>
    </row>
    <row r="658" spans="1:15" x14ac:dyDescent="0.25">
      <c r="A658">
        <v>1019</v>
      </c>
      <c r="B658">
        <v>81522.847380000007</v>
      </c>
      <c r="C658" s="1">
        <v>-1.3999999999999999E-6</v>
      </c>
      <c r="D658">
        <v>201683.31450000001</v>
      </c>
      <c r="E658">
        <v>4713.606812</v>
      </c>
      <c r="F658">
        <v>951475.64480000001</v>
      </c>
      <c r="G658">
        <v>42542.72971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-1.0335042958558499E-2</v>
      </c>
      <c r="M658" s="1">
        <f t="shared" si="43"/>
        <v>11670265.602644756</v>
      </c>
      <c r="N658" s="1">
        <f t="shared" si="44"/>
        <v>49282918.451619446</v>
      </c>
      <c r="O658" s="1"/>
    </row>
    <row r="659" spans="1:15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-4.9799999999999998E-5</v>
      </c>
      <c r="F659">
        <v>364288.27269999997</v>
      </c>
      <c r="G659">
        <v>2665.0947409999999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-6.0821575837099358E-2</v>
      </c>
      <c r="M659" s="1">
        <f t="shared" si="43"/>
        <v>-0.2103211836018109</v>
      </c>
      <c r="N659" s="1">
        <f t="shared" si="44"/>
        <v>5266353.468413501</v>
      </c>
      <c r="O659" s="1"/>
    </row>
    <row r="660" spans="1:15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2.94E-5</v>
      </c>
      <c r="F660">
        <v>697128.55929999996</v>
      </c>
      <c r="G660">
        <v>37318.609239999998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5.0208302333227999E-3</v>
      </c>
      <c r="M660" s="1">
        <f t="shared" si="43"/>
        <v>4.6268159786358717E-2</v>
      </c>
      <c r="N660" s="1">
        <f t="shared" si="44"/>
        <v>27479196.199641496</v>
      </c>
      <c r="O660" s="1"/>
    </row>
    <row r="661" spans="1:15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2.8799999999999999E-5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-2.8070853485074074E-2</v>
      </c>
      <c r="M661" s="1">
        <f t="shared" si="43"/>
        <v>1.9578894813347104E-2</v>
      </c>
      <c r="N661" s="1">
        <f t="shared" si="44"/>
        <v>0.11226812688598177</v>
      </c>
      <c r="O661" s="1"/>
    </row>
    <row r="662" spans="1:15" x14ac:dyDescent="0.25">
      <c r="A662">
        <v>1023</v>
      </c>
      <c r="B662">
        <v>81270.307560000001</v>
      </c>
      <c r="C662" s="1">
        <v>1.57E-6</v>
      </c>
      <c r="D662">
        <v>205120.83850000001</v>
      </c>
      <c r="E662">
        <v>16430.199059999999</v>
      </c>
      <c r="F662">
        <v>935330.77879999997</v>
      </c>
      <c r="G662">
        <v>68416.475890000002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6.0285813485963001E-3</v>
      </c>
      <c r="M662" s="1">
        <f t="shared" si="43"/>
        <v>21159306.781275082</v>
      </c>
      <c r="N662" s="1">
        <f t="shared" si="44"/>
        <v>41225220.607240118</v>
      </c>
      <c r="O662" s="1"/>
    </row>
    <row r="663" spans="1:15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-4.57E-5</v>
      </c>
      <c r="F663">
        <v>768423.6764</v>
      </c>
      <c r="G663">
        <v>41932.837930000002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-1.3121030131134899E-2</v>
      </c>
      <c r="M663" s="1">
        <f t="shared" si="43"/>
        <v>-6.4046827429909137E-2</v>
      </c>
      <c r="N663" s="1">
        <f t="shared" si="44"/>
        <v>27496622.761528511</v>
      </c>
      <c r="O663" s="1"/>
    </row>
    <row r="664" spans="1:15" x14ac:dyDescent="0.25">
      <c r="A664">
        <v>1025</v>
      </c>
      <c r="B664">
        <v>89622.219870000001</v>
      </c>
      <c r="C664" s="1">
        <v>4.9999999999999998E-7</v>
      </c>
      <c r="D664">
        <v>251604.36919999999</v>
      </c>
      <c r="E664" s="1">
        <v>-8.4500000000000004E-6</v>
      </c>
      <c r="F664">
        <v>1017261.339</v>
      </c>
      <c r="G664">
        <v>64062.037810000002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5.5716505324837507E-3</v>
      </c>
      <c r="M664" s="1">
        <f t="shared" si="43"/>
        <v>-3.1580115218117898E-2</v>
      </c>
      <c r="N664" s="1">
        <f t="shared" si="44"/>
        <v>112021511.63618532</v>
      </c>
      <c r="O664" s="1"/>
    </row>
    <row r="665" spans="1:15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>
        <v>33650.830929999996</v>
      </c>
      <c r="F665">
        <v>1029765.633</v>
      </c>
      <c r="G665">
        <v>69025.019279999993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-8.6575806958185987E-3</v>
      </c>
      <c r="M665" s="1">
        <f t="shared" si="43"/>
        <v>45658506.806761689</v>
      </c>
      <c r="N665" s="1">
        <f t="shared" si="44"/>
        <v>43820378.71574229</v>
      </c>
      <c r="O665" s="1"/>
    </row>
    <row r="666" spans="1:15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>
        <v>4713.6067780000003</v>
      </c>
      <c r="F666">
        <v>929514.86029999994</v>
      </c>
      <c r="G666">
        <v>49145.037300000004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3.0416060409859808E-2</v>
      </c>
      <c r="M666" s="1">
        <f t="shared" si="43"/>
        <v>19546290.165564746</v>
      </c>
      <c r="N666" s="1">
        <f t="shared" si="44"/>
        <v>95352995.111247391</v>
      </c>
      <c r="O666" s="1"/>
    </row>
    <row r="667" spans="1:15" x14ac:dyDescent="0.25">
      <c r="A667">
        <v>1028</v>
      </c>
      <c r="B667">
        <v>56813.14789</v>
      </c>
      <c r="C667">
        <v>0</v>
      </c>
      <c r="D667">
        <v>130031.89659999999</v>
      </c>
      <c r="E667" s="1">
        <v>-1.5400000000000002E-5</v>
      </c>
      <c r="F667">
        <v>480998.68369999999</v>
      </c>
      <c r="G667">
        <v>48893.303370000001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0</v>
      </c>
      <c r="M667" s="1">
        <f t="shared" si="43"/>
        <v>-4.9784060327801805E-2</v>
      </c>
      <c r="N667" s="1">
        <f t="shared" si="44"/>
        <v>73954167.398115903</v>
      </c>
      <c r="O667" s="1"/>
    </row>
    <row r="668" spans="1:15" x14ac:dyDescent="0.25">
      <c r="A668">
        <v>1029</v>
      </c>
      <c r="B668">
        <v>66460.975879999998</v>
      </c>
      <c r="C668">
        <v>0</v>
      </c>
      <c r="D668">
        <v>144025.12899999999</v>
      </c>
      <c r="E668" s="1">
        <v>3.2299999999999999E-5</v>
      </c>
      <c r="F668">
        <v>523666.60639999999</v>
      </c>
      <c r="G668">
        <v>20806.145649999999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0</v>
      </c>
      <c r="M668" s="1">
        <f t="shared" si="43"/>
        <v>0.12271949535693961</v>
      </c>
      <c r="N668" s="1">
        <f t="shared" si="44"/>
        <v>36986765.250955835</v>
      </c>
      <c r="O668" s="1"/>
    </row>
    <row r="669" spans="1:15" x14ac:dyDescent="0.25">
      <c r="A669">
        <v>1030</v>
      </c>
      <c r="B669">
        <v>222862.4044</v>
      </c>
      <c r="C669">
        <v>48169.584580000002</v>
      </c>
      <c r="D669">
        <v>871196.48979999998</v>
      </c>
      <c r="E669">
        <v>83431.412700000001</v>
      </c>
      <c r="F669">
        <v>1527692.63</v>
      </c>
      <c r="G669">
        <v>96131.299450000006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74997921.717909098</v>
      </c>
      <c r="M669" s="1">
        <f t="shared" si="43"/>
        <v>43566137.928487256</v>
      </c>
      <c r="N669" s="1">
        <f t="shared" si="44"/>
        <v>23487022.067898683</v>
      </c>
      <c r="O669" s="1"/>
    </row>
    <row r="670" spans="1:15" x14ac:dyDescent="0.25">
      <c r="A670">
        <v>1031</v>
      </c>
      <c r="B670">
        <v>17856.728429999999</v>
      </c>
      <c r="C670">
        <v>0</v>
      </c>
      <c r="D670">
        <v>311150.2268</v>
      </c>
      <c r="E670" s="1">
        <v>1.6500000000000001E-5</v>
      </c>
      <c r="F670">
        <v>914630.17799999996</v>
      </c>
      <c r="G670">
        <v>13572.38819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0</v>
      </c>
      <c r="M670" s="1">
        <f t="shared" si="43"/>
        <v>0.29856521072365355</v>
      </c>
      <c r="N670" s="1">
        <f t="shared" si="44"/>
        <v>114909307.72226822</v>
      </c>
      <c r="O670" s="1"/>
    </row>
    <row r="671" spans="1:15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-2.4700000000000001E-6</v>
      </c>
      <c r="F671">
        <v>239977.7665</v>
      </c>
      <c r="G671" s="1">
        <v>-1.8099999999999999E-5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-7.7878200042499996E-3</v>
      </c>
      <c r="M671" s="1">
        <f t="shared" si="43"/>
        <v>-3.2257150457603495E-2</v>
      </c>
      <c r="N671" s="1">
        <f t="shared" si="44"/>
        <v>-0.110599025321895</v>
      </c>
      <c r="O671" s="1"/>
    </row>
    <row r="672" spans="1:15" x14ac:dyDescent="0.25">
      <c r="A672">
        <v>1033</v>
      </c>
      <c r="B672">
        <v>4836.4138839999996</v>
      </c>
      <c r="C672" s="1">
        <v>-9.9999999999999995E-8</v>
      </c>
      <c r="D672">
        <v>35800.922209999997</v>
      </c>
      <c r="E672" s="1">
        <v>3.4000000000000001E-6</v>
      </c>
      <c r="F672">
        <v>211301.9186</v>
      </c>
      <c r="G672">
        <v>0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-3.0464654998244999E-3</v>
      </c>
      <c r="M672" s="1">
        <f t="shared" si="43"/>
        <v>3.4739080437998761E-2</v>
      </c>
      <c r="N672" s="1">
        <f t="shared" si="44"/>
        <v>0</v>
      </c>
      <c r="O672" s="1"/>
    </row>
    <row r="673" spans="1:15" x14ac:dyDescent="0.25">
      <c r="A673">
        <v>1034</v>
      </c>
      <c r="B673">
        <v>4410.5153760000003</v>
      </c>
      <c r="C673">
        <v>0</v>
      </c>
      <c r="D673">
        <v>17769.50635</v>
      </c>
      <c r="E673" s="1">
        <v>3.6100000000000002E-6</v>
      </c>
      <c r="F673">
        <v>89989.981150000007</v>
      </c>
      <c r="G673" s="1">
        <v>-4.8999999999999997E-7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0</v>
      </c>
      <c r="M673" s="1">
        <f t="shared" si="43"/>
        <v>4.4521581905486649E-2</v>
      </c>
      <c r="N673" s="1">
        <f t="shared" si="44"/>
        <v>-2.8275034481641498E-3</v>
      </c>
      <c r="O673" s="1"/>
    </row>
    <row r="674" spans="1:15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4.9999999999999998E-7</v>
      </c>
      <c r="F674">
        <v>178840.24960000001</v>
      </c>
      <c r="G674" s="1">
        <v>-2.2200000000000001E-5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4.2878025016905002E-3</v>
      </c>
      <c r="M674" s="1">
        <f t="shared" si="43"/>
        <v>2.3967716547911E-3</v>
      </c>
      <c r="N674" s="1">
        <f t="shared" si="44"/>
        <v>-4.9791281973476757E-2</v>
      </c>
      <c r="O674" s="1"/>
    </row>
    <row r="675" spans="1:15" x14ac:dyDescent="0.25">
      <c r="A675">
        <v>1036</v>
      </c>
      <c r="B675">
        <v>81009.522089999999</v>
      </c>
      <c r="C675" s="1">
        <v>-2.8499999999999998E-6</v>
      </c>
      <c r="D675">
        <v>260727.7579</v>
      </c>
      <c r="E675" s="1">
        <v>4.3000000000000002E-5</v>
      </c>
      <c r="F675">
        <v>1016788.807</v>
      </c>
      <c r="G675">
        <v>61012.281730000002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-1.6782029601392249E-2</v>
      </c>
      <c r="M675" s="1">
        <f t="shared" si="43"/>
        <v>8.4920240476896613E-2</v>
      </c>
      <c r="N675" s="1">
        <f t="shared" si="44"/>
        <v>56377226.256527431</v>
      </c>
      <c r="O675" s="1"/>
    </row>
    <row r="676" spans="1:15" x14ac:dyDescent="0.25">
      <c r="A676">
        <v>1037</v>
      </c>
      <c r="B676">
        <v>33645.215629999999</v>
      </c>
      <c r="C676" s="1">
        <v>-4.4999999999999998E-7</v>
      </c>
      <c r="D676">
        <v>130475.24589999999</v>
      </c>
      <c r="E676" s="1">
        <v>-2.7800000000000001E-5</v>
      </c>
      <c r="F676">
        <v>729601.71440000006</v>
      </c>
      <c r="G676">
        <v>74786.693310000002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-1.7497313254979999E-3</v>
      </c>
      <c r="M676" s="1">
        <f t="shared" si="43"/>
        <v>-3.6253236666831043E-2</v>
      </c>
      <c r="N676" s="1">
        <f t="shared" si="44"/>
        <v>45632052.107766524</v>
      </c>
      <c r="O676" s="1"/>
    </row>
    <row r="677" spans="1:15" x14ac:dyDescent="0.25">
      <c r="A677">
        <v>1038</v>
      </c>
      <c r="B677">
        <v>14819.004569999999</v>
      </c>
      <c r="C677" s="1">
        <v>9.9999999999999995E-8</v>
      </c>
      <c r="D677">
        <v>131507.5955</v>
      </c>
      <c r="E677" s="1">
        <v>3.7100000000000001E-5</v>
      </c>
      <c r="F677">
        <v>708374.67130000005</v>
      </c>
      <c r="G677" s="1">
        <v>-8.1599999999999998E-6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1.7492005574777504E-3</v>
      </c>
      <c r="M677" s="1">
        <f t="shared" si="43"/>
        <v>0.21764898875028535</v>
      </c>
      <c r="N677" s="1">
        <f t="shared" si="44"/>
        <v>-2.2398378584613556E-2</v>
      </c>
      <c r="O677" s="1"/>
    </row>
    <row r="678" spans="1:15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3.8800000000000001E-5</v>
      </c>
      <c r="F678">
        <v>578421.05779999995</v>
      </c>
      <c r="G678" s="1">
        <v>1.8700000000000001E-5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-3.2658168378595503E-2</v>
      </c>
      <c r="M678" s="1">
        <f t="shared" si="43"/>
        <v>0.22367275418098151</v>
      </c>
      <c r="N678" s="1">
        <f t="shared" si="44"/>
        <v>5.043902053873122E-2</v>
      </c>
      <c r="O678" s="1"/>
    </row>
    <row r="679" spans="1:15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1.6700000000000001E-6</v>
      </c>
      <c r="F679">
        <v>237299.10930000001</v>
      </c>
      <c r="G679" s="1">
        <v>-1.24E-5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8.1562680219799989E-3</v>
      </c>
      <c r="M679" s="1">
        <f t="shared" si="43"/>
        <v>2.2841314892938759E-2</v>
      </c>
      <c r="N679" s="1">
        <f t="shared" si="44"/>
        <v>-7.9354213801540799E-2</v>
      </c>
      <c r="O679" s="1"/>
    </row>
    <row r="680" spans="1:15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3.8000000000000002E-5</v>
      </c>
      <c r="F680">
        <v>375155.75199999998</v>
      </c>
      <c r="G680" s="1">
        <v>4.71E-5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-8.5441790961943001E-2</v>
      </c>
      <c r="M680" s="1">
        <f t="shared" si="43"/>
        <v>0.26559091794699285</v>
      </c>
      <c r="N680" s="1">
        <f t="shared" si="44"/>
        <v>0.15402606084028767</v>
      </c>
      <c r="O680" s="1"/>
    </row>
    <row r="681" spans="1:15" x14ac:dyDescent="0.25">
      <c r="A681">
        <v>1042</v>
      </c>
      <c r="B681">
        <v>26846.940699999999</v>
      </c>
      <c r="C681" s="1">
        <v>2.6E-7</v>
      </c>
      <c r="D681">
        <v>111922.273</v>
      </c>
      <c r="E681" s="1">
        <v>1.6900000000000001E-5</v>
      </c>
      <c r="F681">
        <v>262767.86349999998</v>
      </c>
      <c r="G681" s="1">
        <v>-1.49E-5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4.6551546372434992E-3</v>
      </c>
      <c r="M681" s="1">
        <f t="shared" si="43"/>
        <v>0.1014823710919083</v>
      </c>
      <c r="N681" s="1">
        <f t="shared" si="44"/>
        <v>-4.1863337382737703E-2</v>
      </c>
      <c r="O681" s="1"/>
    </row>
    <row r="682" spans="1:15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3.04E-5</v>
      </c>
      <c r="F682">
        <v>308374.9534</v>
      </c>
      <c r="G682">
        <v>5533.2205249999997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-6.0463176780500005E-3</v>
      </c>
      <c r="M682" s="1">
        <f t="shared" si="43"/>
        <v>6.1646394639958399E-2</v>
      </c>
      <c r="N682" s="1">
        <f t="shared" si="44"/>
        <v>5249957.116675959</v>
      </c>
      <c r="O682" s="1"/>
    </row>
    <row r="683" spans="1:15" x14ac:dyDescent="0.25">
      <c r="A683">
        <v>1044</v>
      </c>
      <c r="B683">
        <v>41989.398419999998</v>
      </c>
      <c r="C683" s="1">
        <v>3.5499999999999999E-6</v>
      </c>
      <c r="D683">
        <v>155265.70929999999</v>
      </c>
      <c r="E683" s="1">
        <v>-2.0800000000000001E-5</v>
      </c>
      <c r="F683">
        <v>588826.24589999998</v>
      </c>
      <c r="G683">
        <v>30383.268909999999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7.8008921007155119E-2</v>
      </c>
      <c r="M683" s="1">
        <f t="shared" si="43"/>
        <v>-0.15329302336504624</v>
      </c>
      <c r="N683" s="1">
        <f t="shared" si="44"/>
        <v>104770069.11489183</v>
      </c>
      <c r="O683" s="1"/>
    </row>
    <row r="684" spans="1:15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4.2500000000000003E-5</v>
      </c>
      <c r="F684">
        <v>855890.08550000004</v>
      </c>
      <c r="G684">
        <v>44261.240469999997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4.7527272375789374E-2</v>
      </c>
      <c r="M684" s="1">
        <f t="shared" si="43"/>
        <v>0.30108730158064179</v>
      </c>
      <c r="N684" s="1">
        <f t="shared" si="44"/>
        <v>146713733.47953242</v>
      </c>
      <c r="O684" s="1"/>
    </row>
    <row r="685" spans="1:15" x14ac:dyDescent="0.25">
      <c r="A685">
        <v>1046</v>
      </c>
      <c r="B685">
        <v>55578.427759999999</v>
      </c>
      <c r="C685">
        <v>0</v>
      </c>
      <c r="D685">
        <v>166334.21909999999</v>
      </c>
      <c r="E685" s="1">
        <v>-7.4800000000000004E-6</v>
      </c>
      <c r="F685">
        <v>769574.49470000004</v>
      </c>
      <c r="G685">
        <v>67984.146789999999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0</v>
      </c>
      <c r="M685" s="1">
        <f t="shared" si="43"/>
        <v>-1.208199428616466E-2</v>
      </c>
      <c r="N685" s="1">
        <f t="shared" si="44"/>
        <v>51379320.667215981</v>
      </c>
      <c r="O685" s="1"/>
    </row>
    <row r="686" spans="1:15" x14ac:dyDescent="0.25">
      <c r="A686">
        <v>1047</v>
      </c>
      <c r="B686">
        <v>38067.321709999997</v>
      </c>
      <c r="C686" s="1">
        <v>6.5000000000000002E-7</v>
      </c>
      <c r="D686">
        <v>131271.9087</v>
      </c>
      <c r="E686" s="1">
        <v>1.8700000000000001E-5</v>
      </c>
      <c r="F686">
        <v>720714.72600000002</v>
      </c>
      <c r="G686">
        <v>58308.806449999996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3.8281438825288755E-3</v>
      </c>
      <c r="M686" s="1">
        <f t="shared" si="43"/>
        <v>3.6936831601224171E-2</v>
      </c>
      <c r="N686" s="1">
        <f t="shared" si="44"/>
        <v>53888471.177114859</v>
      </c>
      <c r="O686" s="1"/>
    </row>
    <row r="687" spans="1:15" x14ac:dyDescent="0.25">
      <c r="A687">
        <v>1048</v>
      </c>
      <c r="B687">
        <v>85503.28959</v>
      </c>
      <c r="C687" s="1">
        <v>5.5000000000000003E-7</v>
      </c>
      <c r="D687">
        <v>347186.61729999998</v>
      </c>
      <c r="E687">
        <v>28133.17123</v>
      </c>
      <c r="F687">
        <v>1084773.4720000001</v>
      </c>
      <c r="G687">
        <v>72047.023709999994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4.7559435585805008E-3</v>
      </c>
      <c r="M687" s="1">
        <f t="shared" si="43"/>
        <v>81589792.55843313</v>
      </c>
      <c r="N687" s="1">
        <f t="shared" si="44"/>
        <v>97763527.24336797</v>
      </c>
      <c r="O687" s="1"/>
    </row>
    <row r="688" spans="1:15" x14ac:dyDescent="0.25">
      <c r="A688">
        <v>1049</v>
      </c>
      <c r="B688">
        <v>87658.835000000006</v>
      </c>
      <c r="C688" s="1">
        <v>-2.65E-6</v>
      </c>
      <c r="D688">
        <v>625785.75379999995</v>
      </c>
      <c r="E688">
        <v>86500.657460000002</v>
      </c>
      <c r="F688">
        <v>1252087.183</v>
      </c>
      <c r="G688">
        <v>107964.77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-6.8024422570983128E-3</v>
      </c>
      <c r="M688" s="1">
        <f t="shared" si="43"/>
        <v>74470031.123858646</v>
      </c>
      <c r="N688" s="1">
        <f t="shared" si="44"/>
        <v>43489845.921649829</v>
      </c>
      <c r="O688" s="1"/>
    </row>
    <row r="689" spans="1:15" x14ac:dyDescent="0.25">
      <c r="A689">
        <v>1050</v>
      </c>
      <c r="B689">
        <v>116456.36079999999</v>
      </c>
      <c r="C689" s="1">
        <v>2.1699999999999999E-5</v>
      </c>
      <c r="D689">
        <v>703984.69220000005</v>
      </c>
      <c r="E689">
        <v>65992.564169999998</v>
      </c>
      <c r="F689">
        <v>1359188.3929999999</v>
      </c>
      <c r="G689">
        <v>87139.005350000007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3.6060926198271975E-2</v>
      </c>
      <c r="M689" s="1">
        <f t="shared" si="43"/>
        <v>36780301.38141533</v>
      </c>
      <c r="N689" s="1">
        <f t="shared" si="44"/>
        <v>22723569.696813334</v>
      </c>
      <c r="O689" s="1"/>
    </row>
    <row r="690" spans="1:15" x14ac:dyDescent="0.25">
      <c r="A690">
        <v>1051</v>
      </c>
      <c r="B690">
        <v>66854.338399999993</v>
      </c>
      <c r="C690" s="1">
        <v>4.8999999999999997E-6</v>
      </c>
      <c r="D690">
        <v>162546.86429999999</v>
      </c>
      <c r="E690">
        <v>4713.6068429999996</v>
      </c>
      <c r="F690">
        <v>823976.64720000001</v>
      </c>
      <c r="G690">
        <v>64474.296119999999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8.7142468473856247E-2</v>
      </c>
      <c r="M690" s="1">
        <f t="shared" si="43"/>
        <v>28114493.935859706</v>
      </c>
      <c r="N690" s="1">
        <f t="shared" si="44"/>
        <v>179931500.89015374</v>
      </c>
      <c r="O690" s="1"/>
    </row>
    <row r="691" spans="1:15" x14ac:dyDescent="0.25">
      <c r="A691">
        <v>1052</v>
      </c>
      <c r="B691">
        <v>93658.881469999993</v>
      </c>
      <c r="C691" s="1">
        <v>-4.6500000000000004E-6</v>
      </c>
      <c r="D691">
        <v>620315.1925</v>
      </c>
      <c r="E691">
        <v>87477.010729999995</v>
      </c>
      <c r="F691">
        <v>1286554.51</v>
      </c>
      <c r="G691">
        <v>101081.03810000001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-1.310763428884114E-2</v>
      </c>
      <c r="M691" s="1">
        <f t="shared" si="43"/>
        <v>82700556.837688044</v>
      </c>
      <c r="N691" s="1">
        <f t="shared" si="44"/>
        <v>44712388.637559704</v>
      </c>
      <c r="O691" s="1"/>
    </row>
    <row r="692" spans="1:15" x14ac:dyDescent="0.25">
      <c r="A692">
        <v>1053</v>
      </c>
      <c r="B692">
        <v>108129.7316</v>
      </c>
      <c r="C692" s="1">
        <v>2.9499999999999999E-5</v>
      </c>
      <c r="D692">
        <v>608709.02450000006</v>
      </c>
      <c r="E692">
        <v>50892.688800000004</v>
      </c>
      <c r="F692">
        <v>1287319.922</v>
      </c>
      <c r="G692">
        <v>53146.780319999998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8.1907110006723627E-2</v>
      </c>
      <c r="M692" s="1">
        <f t="shared" si="43"/>
        <v>47391245.220200382</v>
      </c>
      <c r="N692" s="1">
        <f t="shared" si="44"/>
        <v>23155990.434507865</v>
      </c>
      <c r="O692" s="1"/>
    </row>
    <row r="693" spans="1:15" x14ac:dyDescent="0.25">
      <c r="A693">
        <v>1054</v>
      </c>
      <c r="B693">
        <v>92655.147379999995</v>
      </c>
      <c r="C693" s="1">
        <v>4.6500000000000004E-6</v>
      </c>
      <c r="D693">
        <v>602755.85939999996</v>
      </c>
      <c r="E693">
        <v>51035.472670000003</v>
      </c>
      <c r="F693">
        <v>1275241.5759999999</v>
      </c>
      <c r="G693">
        <v>81218.148180000004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1.0230773008726239E-2</v>
      </c>
      <c r="M693" s="1">
        <f t="shared" si="43"/>
        <v>37659172.641522288</v>
      </c>
      <c r="N693" s="1">
        <f t="shared" si="44"/>
        <v>28041122.480828635</v>
      </c>
      <c r="O693" s="1"/>
    </row>
    <row r="694" spans="1:15" x14ac:dyDescent="0.25">
      <c r="A694">
        <v>1055</v>
      </c>
      <c r="B694">
        <v>148631.08720000001</v>
      </c>
      <c r="C694" s="1">
        <v>-7.5599999999999996E-6</v>
      </c>
      <c r="D694">
        <v>820261.23160000006</v>
      </c>
      <c r="E694">
        <v>19761.537339999999</v>
      </c>
      <c r="F694">
        <v>1544090.405</v>
      </c>
      <c r="G694">
        <v>15841.09194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-1.3242539951623711E-2</v>
      </c>
      <c r="M694" s="1">
        <f t="shared" si="43"/>
        <v>11609495.849661969</v>
      </c>
      <c r="N694" s="1">
        <f t="shared" si="44"/>
        <v>4354330.865906599</v>
      </c>
      <c r="O694" s="1"/>
    </row>
    <row r="695" spans="1:15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>
        <v>57104.008119999999</v>
      </c>
      <c r="F695">
        <v>1177859.8829999999</v>
      </c>
      <c r="G695">
        <v>64966.930399999997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3.6294636033758695E-2</v>
      </c>
      <c r="M695" s="1">
        <f t="shared" si="43"/>
        <v>214539450.89788976</v>
      </c>
      <c r="N695" s="1">
        <f t="shared" si="44"/>
        <v>114202759.49480076</v>
      </c>
      <c r="O695" s="1"/>
    </row>
    <row r="696" spans="1:15" x14ac:dyDescent="0.25">
      <c r="A696">
        <v>1057</v>
      </c>
      <c r="B696">
        <v>126922.6238</v>
      </c>
      <c r="C696" s="1">
        <v>1.2300000000000001E-5</v>
      </c>
      <c r="D696">
        <v>522186.91159999999</v>
      </c>
      <c r="E696">
        <v>21137.095099999999</v>
      </c>
      <c r="F696">
        <v>1377311.9450000001</v>
      </c>
      <c r="G696">
        <v>22542.786329999999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3.090695376064043E-2</v>
      </c>
      <c r="M696" s="1">
        <f t="shared" si="43"/>
        <v>17813100.957349733</v>
      </c>
      <c r="N696" s="1">
        <f t="shared" si="44"/>
        <v>8888848.4281682707</v>
      </c>
      <c r="O696" s="1"/>
    </row>
    <row r="697" spans="1:15" x14ac:dyDescent="0.25">
      <c r="A697">
        <v>1058</v>
      </c>
      <c r="B697">
        <v>110225.30070000001</v>
      </c>
      <c r="C697" s="1">
        <v>3.5099999999999999E-5</v>
      </c>
      <c r="D697">
        <v>563009.9301</v>
      </c>
      <c r="E697">
        <v>27963.123200000002</v>
      </c>
      <c r="F697">
        <v>1313881.5789999999</v>
      </c>
      <c r="G697">
        <v>44627.183749999997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0.12524231360338425</v>
      </c>
      <c r="M697" s="1">
        <f t="shared" si="43"/>
        <v>33463609.092329364</v>
      </c>
      <c r="N697" s="1">
        <f t="shared" si="44"/>
        <v>24987928.894597508</v>
      </c>
      <c r="O697" s="1"/>
    </row>
    <row r="698" spans="1:15" x14ac:dyDescent="0.25">
      <c r="A698">
        <v>1059</v>
      </c>
      <c r="B698">
        <v>146307.30869999999</v>
      </c>
      <c r="C698" s="1">
        <v>4.7800000000000003E-5</v>
      </c>
      <c r="D698">
        <v>740863.64419999998</v>
      </c>
      <c r="E698">
        <v>32498.538</v>
      </c>
      <c r="F698">
        <v>1457460.057</v>
      </c>
      <c r="G698">
        <v>21849.175660000001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0.11786714975115339</v>
      </c>
      <c r="M698" s="1">
        <f t="shared" si="43"/>
        <v>26876446.406193163</v>
      </c>
      <c r="N698" s="1">
        <f t="shared" si="44"/>
        <v>8454477.1826379318</v>
      </c>
      <c r="O698" s="1"/>
    </row>
    <row r="699" spans="1:15" x14ac:dyDescent="0.25">
      <c r="A699">
        <v>1060</v>
      </c>
      <c r="B699">
        <v>77207.347819999995</v>
      </c>
      <c r="C699" s="1">
        <v>-1.26E-6</v>
      </c>
      <c r="D699">
        <v>221725.6685</v>
      </c>
      <c r="E699" s="1">
        <v>-4.1699999999999997E-5</v>
      </c>
      <c r="F699">
        <v>1006900.492</v>
      </c>
      <c r="G699">
        <v>15650.69161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-1.2354891628142701E-2</v>
      </c>
      <c r="M699" s="1">
        <f t="shared" si="43"/>
        <v>-0.13713477147105496</v>
      </c>
      <c r="N699" s="1">
        <f t="shared" si="44"/>
        <v>24081788.854941741</v>
      </c>
      <c r="O699" s="1"/>
    </row>
    <row r="700" spans="1:15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-4.8500000000000002E-6</v>
      </c>
      <c r="F700">
        <v>968265.29799999995</v>
      </c>
      <c r="G700">
        <v>26244.048859999999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3.0273391739363179E-2</v>
      </c>
      <c r="M700" s="1">
        <f t="shared" si="43"/>
        <v>-2.0264676850920343E-2</v>
      </c>
      <c r="N700" s="1">
        <f t="shared" si="44"/>
        <v>51306508.351065718</v>
      </c>
      <c r="O700" s="1"/>
    </row>
    <row r="701" spans="1:15" x14ac:dyDescent="0.25">
      <c r="A701">
        <v>1062</v>
      </c>
      <c r="B701">
        <v>97162.754560000001</v>
      </c>
      <c r="C701" s="1">
        <v>5.4000000000000002E-7</v>
      </c>
      <c r="D701">
        <v>307312.36310000002</v>
      </c>
      <c r="E701">
        <v>16430.199100000002</v>
      </c>
      <c r="F701">
        <v>1189617.3060000001</v>
      </c>
      <c r="G701">
        <v>10484.95191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2.1070699230262501E-3</v>
      </c>
      <c r="M701" s="1">
        <f t="shared" si="43"/>
        <v>21501618.464220989</v>
      </c>
      <c r="N701" s="1">
        <f t="shared" si="44"/>
        <v>6420050.5271271756</v>
      </c>
      <c r="O701" s="1"/>
    </row>
    <row r="702" spans="1:15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>
        <v>0</v>
      </c>
      <c r="F702">
        <v>947457.81460000004</v>
      </c>
      <c r="G702">
        <v>23432.271580000001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-3.1161156904987199E-2</v>
      </c>
      <c r="M702" s="1">
        <f t="shared" si="43"/>
        <v>0</v>
      </c>
      <c r="N702" s="1">
        <f t="shared" si="44"/>
        <v>39375111.032066904</v>
      </c>
      <c r="O702" s="1"/>
    </row>
    <row r="703" spans="1:15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3.2799999999999999E-6</v>
      </c>
      <c r="F703">
        <v>913588.90700000001</v>
      </c>
      <c r="G703">
        <v>19595.606670000001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1.5797168058706124E-2</v>
      </c>
      <c r="M703" s="1">
        <f t="shared" si="43"/>
        <v>5.2820234036461194E-3</v>
      </c>
      <c r="N703" s="1">
        <f t="shared" si="44"/>
        <v>14764844.218557799</v>
      </c>
      <c r="O703" s="1"/>
    </row>
    <row r="704" spans="1:15" x14ac:dyDescent="0.25">
      <c r="A704">
        <v>1065</v>
      </c>
      <c r="B704">
        <v>73454.924440000003</v>
      </c>
      <c r="C704" s="1">
        <v>-6.7000000000000004E-7</v>
      </c>
      <c r="D704">
        <v>245110.3321</v>
      </c>
      <c r="E704" s="1">
        <v>2.16E-5</v>
      </c>
      <c r="F704">
        <v>1015040.48</v>
      </c>
      <c r="G704">
        <v>10262.24165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-2.8251653039743255E-3</v>
      </c>
      <c r="M704" s="1">
        <f t="shared" si="43"/>
        <v>3.0546816035256722E-2</v>
      </c>
      <c r="N704" s="1">
        <f t="shared" si="44"/>
        <v>6790443.0841772305</v>
      </c>
      <c r="O704" s="1"/>
    </row>
    <row r="705" spans="1:15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>
        <v>0</v>
      </c>
      <c r="F705">
        <v>774322.48609999998</v>
      </c>
      <c r="G705">
        <v>43661.800329999998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-4.8829278874303855E-2</v>
      </c>
      <c r="M705" s="1">
        <f t="shared" si="43"/>
        <v>0</v>
      </c>
      <c r="N705" s="1">
        <f t="shared" si="44"/>
        <v>69554252.645357326</v>
      </c>
      <c r="O705" s="1"/>
    </row>
    <row r="706" spans="1:15" x14ac:dyDescent="0.25">
      <c r="A706">
        <v>1067</v>
      </c>
      <c r="B706">
        <v>57423.813199999997</v>
      </c>
      <c r="C706" s="1">
        <v>-4.8999999999999997E-6</v>
      </c>
      <c r="D706">
        <v>170447.24830000001</v>
      </c>
      <c r="E706" s="1">
        <v>-2.0700000000000001E-6</v>
      </c>
      <c r="F706">
        <v>514139.63010000001</v>
      </c>
      <c r="G706">
        <v>0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-5.5280870190136493E-2</v>
      </c>
      <c r="M706" s="1">
        <f t="shared" si="43"/>
        <v>-7.8323533695450545E-3</v>
      </c>
      <c r="N706" s="1">
        <f t="shared" si="44"/>
        <v>0</v>
      </c>
      <c r="O706" s="1"/>
    </row>
    <row r="707" spans="1:15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1.9300000000000002E-6</v>
      </c>
      <c r="F707">
        <v>234143.57740000001</v>
      </c>
      <c r="G707" s="1">
        <v>3.2799999999999998E-5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-0.153352587019632</v>
      </c>
      <c r="M707" s="1">
        <f t="shared" ref="M707:M770" si="47">$U$3*$K707*E707</f>
        <v>2.0679989571358966E-2</v>
      </c>
      <c r="N707" s="1">
        <f t="shared" ref="N707:N770" si="48">$U$4*$K707*G707</f>
        <v>0.16444115869643616</v>
      </c>
      <c r="O707" s="1"/>
    </row>
    <row r="708" spans="1:15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-3.0300000000000001E-5</v>
      </c>
      <c r="F708">
        <v>938367.59849999996</v>
      </c>
      <c r="G708">
        <v>18370.946469999999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-2.1958102898030324E-2</v>
      </c>
      <c r="M708" s="1">
        <f t="shared" si="47"/>
        <v>-4.5819634459848213E-2</v>
      </c>
      <c r="N708" s="1">
        <f t="shared" si="48"/>
        <v>12998229.523958817</v>
      </c>
      <c r="O708" s="1"/>
    </row>
    <row r="709" spans="1:15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-3.2299999999999999E-5</v>
      </c>
      <c r="F709">
        <v>335645.84409999999</v>
      </c>
      <c r="G709" s="1">
        <v>-1.01E-5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-3.1093956493828796E-2</v>
      </c>
      <c r="M709" s="1">
        <f t="shared" si="47"/>
        <v>-9.5692738311034128E-2</v>
      </c>
      <c r="N709" s="1">
        <f t="shared" si="48"/>
        <v>-1.4000434431793021E-2</v>
      </c>
      <c r="O709" s="1"/>
    </row>
    <row r="710" spans="1:15" x14ac:dyDescent="0.25">
      <c r="A710">
        <v>1071</v>
      </c>
      <c r="B710">
        <v>6178.7281759999996</v>
      </c>
      <c r="C710" s="1">
        <v>-3.9999999999999998E-7</v>
      </c>
      <c r="D710">
        <v>21343.108530000001</v>
      </c>
      <c r="E710" s="1">
        <v>4.7999999999999998E-6</v>
      </c>
      <c r="F710">
        <v>109862.7904</v>
      </c>
      <c r="G710">
        <v>0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-5.87095263547E-3</v>
      </c>
      <c r="M710" s="1">
        <f t="shared" si="47"/>
        <v>2.3628326299060795E-2</v>
      </c>
      <c r="N710" s="1">
        <f t="shared" si="48"/>
        <v>0</v>
      </c>
      <c r="O710" s="1"/>
    </row>
    <row r="711" spans="1:15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2.0599999999999999E-5</v>
      </c>
      <c r="F711">
        <v>522728.07040000003</v>
      </c>
      <c r="G711">
        <v>18657.002789999999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-3.6531328070315006E-3</v>
      </c>
      <c r="M711" s="1">
        <f t="shared" si="47"/>
        <v>6.15590574477188E-2</v>
      </c>
      <c r="N711" s="1">
        <f t="shared" si="48"/>
        <v>26086168.537518863</v>
      </c>
      <c r="O711" s="1"/>
    </row>
    <row r="712" spans="1:15" x14ac:dyDescent="0.25">
      <c r="A712">
        <v>1073</v>
      </c>
      <c r="B712">
        <v>73372.349629999997</v>
      </c>
      <c r="C712" s="1">
        <v>3.5700000000000001E-6</v>
      </c>
      <c r="D712">
        <v>265770.93310000002</v>
      </c>
      <c r="E712">
        <v>34520.936750000001</v>
      </c>
      <c r="F712">
        <v>1007351.741</v>
      </c>
      <c r="G712">
        <v>61681.521630000003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4.2895044266099023E-3</v>
      </c>
      <c r="M712" s="1">
        <f t="shared" si="47"/>
        <v>13911200.602441849</v>
      </c>
      <c r="N712" s="1">
        <f t="shared" si="48"/>
        <v>11630029.014150307</v>
      </c>
      <c r="O712" s="1"/>
    </row>
    <row r="713" spans="1:15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>
        <v>49199.958839999999</v>
      </c>
      <c r="F713">
        <v>1253946.916</v>
      </c>
      <c r="G713">
        <v>81871.950509999995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2.9988273859430249E-3</v>
      </c>
      <c r="M713" s="1">
        <f t="shared" si="47"/>
        <v>25376091.599646732</v>
      </c>
      <c r="N713" s="1">
        <f t="shared" si="48"/>
        <v>19757810.199334059</v>
      </c>
      <c r="O713" s="1"/>
    </row>
    <row r="714" spans="1:15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2.7699999999999999E-5</v>
      </c>
      <c r="F714">
        <v>279683.3273</v>
      </c>
      <c r="G714" s="1">
        <v>-3.3000000000000003E-5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-9.7585347037126013E-2</v>
      </c>
      <c r="M714" s="1">
        <f t="shared" si="47"/>
        <v>0.21083322955935208</v>
      </c>
      <c r="N714" s="1">
        <f t="shared" si="48"/>
        <v>-0.11752138752306482</v>
      </c>
      <c r="O714" s="1"/>
    </row>
    <row r="715" spans="1:15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-2.5599999999999999E-5</v>
      </c>
      <c r="F715">
        <v>562664.36800000002</v>
      </c>
      <c r="G715">
        <v>14438.427809999999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6.9257485484525011E-2</v>
      </c>
      <c r="M715" s="1">
        <f t="shared" si="47"/>
        <v>-0.31296532388019199</v>
      </c>
      <c r="N715" s="1">
        <f t="shared" si="48"/>
        <v>82588549.68095918</v>
      </c>
      <c r="O715" s="1"/>
    </row>
    <row r="716" spans="1:15" x14ac:dyDescent="0.25">
      <c r="A716">
        <v>1077</v>
      </c>
      <c r="B716">
        <v>25795.031200000001</v>
      </c>
      <c r="C716">
        <v>0</v>
      </c>
      <c r="D716">
        <v>113909.318</v>
      </c>
      <c r="E716" s="1">
        <v>-5.9800000000000003E-6</v>
      </c>
      <c r="F716">
        <v>264526.60330000002</v>
      </c>
      <c r="G716" s="1">
        <v>-2.6199999999999999E-6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</v>
      </c>
      <c r="M716" s="1">
        <f t="shared" si="47"/>
        <v>-7.6233353896066391E-2</v>
      </c>
      <c r="N716" s="1">
        <f t="shared" si="48"/>
        <v>-1.562747498940258E-2</v>
      </c>
      <c r="O716" s="1"/>
    </row>
    <row r="717" spans="1:15" x14ac:dyDescent="0.25">
      <c r="A717">
        <v>1078</v>
      </c>
      <c r="B717">
        <v>10063.02952</v>
      </c>
      <c r="C717">
        <v>0</v>
      </c>
      <c r="D717">
        <v>75941.798259999996</v>
      </c>
      <c r="E717" s="1">
        <v>2.6299999999999998E-6</v>
      </c>
      <c r="F717">
        <v>208715.1299</v>
      </c>
      <c r="G717" s="1">
        <v>3.2799999999999998E-5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0</v>
      </c>
      <c r="M717" s="1">
        <f t="shared" si="47"/>
        <v>1.895696761591889E-2</v>
      </c>
      <c r="N717" s="1">
        <f t="shared" si="48"/>
        <v>0.11061923266441945</v>
      </c>
      <c r="O717" s="1"/>
    </row>
    <row r="718" spans="1:15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4.7299999999999996E-6</v>
      </c>
      <c r="F718">
        <v>285622.25660000002</v>
      </c>
      <c r="G718" s="1">
        <v>-3.2799999999999998E-5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-5.3343688542476807E-2</v>
      </c>
      <c r="M718" s="1">
        <f t="shared" si="47"/>
        <v>2.7836442815632349E-2</v>
      </c>
      <c r="N718" s="1">
        <f t="shared" si="48"/>
        <v>-9.0317127726574076E-2</v>
      </c>
      <c r="O718" s="1"/>
    </row>
    <row r="719" spans="1:15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2.0800000000000001E-5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4.5443531463135005E-3</v>
      </c>
      <c r="M719" s="1">
        <f t="shared" si="47"/>
        <v>3.2387255308149676E-2</v>
      </c>
      <c r="N719" s="1">
        <f t="shared" si="48"/>
        <v>7.4163843347836336E-2</v>
      </c>
      <c r="O719" s="1"/>
    </row>
    <row r="720" spans="1:15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-1.73E-5</v>
      </c>
      <c r="F720">
        <v>301886.30540000001</v>
      </c>
      <c r="G720" s="1">
        <v>-4.3800000000000001E-5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5.398589407341E-2</v>
      </c>
      <c r="M720" s="1">
        <f t="shared" si="47"/>
        <v>-0.1182016841268264</v>
      </c>
      <c r="N720" s="1">
        <f t="shared" si="48"/>
        <v>-0.14002170122633761</v>
      </c>
      <c r="O720" s="1"/>
    </row>
    <row r="721" spans="1:15" x14ac:dyDescent="0.25">
      <c r="A721">
        <v>1082</v>
      </c>
      <c r="B721">
        <v>13667.93916</v>
      </c>
      <c r="C721" s="1">
        <v>-3.9999999999999998E-7</v>
      </c>
      <c r="D721">
        <v>130613.35520000001</v>
      </c>
      <c r="E721" s="1">
        <v>-3.43E-5</v>
      </c>
      <c r="F721">
        <v>439069.88179999997</v>
      </c>
      <c r="G721">
        <v>13002.26915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-7.372786760209E-3</v>
      </c>
      <c r="M721" s="1">
        <f t="shared" si="47"/>
        <v>-0.2120356758491799</v>
      </c>
      <c r="N721" s="1">
        <f t="shared" si="48"/>
        <v>37607775.768703774</v>
      </c>
      <c r="O721" s="1"/>
    </row>
    <row r="722" spans="1:15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4.7700000000000001E-5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4.0262830108848749E-3</v>
      </c>
      <c r="M722" s="1">
        <f t="shared" si="47"/>
        <v>2.5566690643067116E-2</v>
      </c>
      <c r="N722" s="1">
        <f t="shared" si="48"/>
        <v>0.20091771652471049</v>
      </c>
      <c r="O722" s="1"/>
    </row>
    <row r="723" spans="1:15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-3.2799999999999998E-5</v>
      </c>
      <c r="F723">
        <v>671734.77619999996</v>
      </c>
      <c r="G723">
        <v>49081.647559999998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-3.1633000479421254E-2</v>
      </c>
      <c r="M723" s="1">
        <f t="shared" si="47"/>
        <v>-0.19884712670598129</v>
      </c>
      <c r="N723" s="1">
        <f t="shared" si="48"/>
        <v>139222134.19008267</v>
      </c>
      <c r="O723" s="1"/>
    </row>
    <row r="724" spans="1:15" x14ac:dyDescent="0.25">
      <c r="A724">
        <v>1085</v>
      </c>
      <c r="B724">
        <v>83164.018209999995</v>
      </c>
      <c r="C724" s="1">
        <v>-1.9400000000000001E-6</v>
      </c>
      <c r="D724">
        <v>402005.64909999998</v>
      </c>
      <c r="E724">
        <v>59710.792200000004</v>
      </c>
      <c r="F724">
        <v>1149879.649</v>
      </c>
      <c r="G724">
        <v>56232.331530000003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-2.6277276659379852E-3</v>
      </c>
      <c r="M724" s="1">
        <f t="shared" si="47"/>
        <v>27125302.723984983</v>
      </c>
      <c r="N724" s="1">
        <f t="shared" si="48"/>
        <v>11952301.217066569</v>
      </c>
      <c r="O724" s="1"/>
    </row>
    <row r="725" spans="1:15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-5.1699999999999996E-6</v>
      </c>
      <c r="F725">
        <v>302046.60139999999</v>
      </c>
      <c r="G725" s="1">
        <v>-1.08E-5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-1.0837111422751249E-2</v>
      </c>
      <c r="M725" s="1">
        <f t="shared" si="47"/>
        <v>-3.7581768615772379E-2</v>
      </c>
      <c r="N725" s="1">
        <f t="shared" si="48"/>
        <v>-3.6732805979393164E-2</v>
      </c>
      <c r="O725" s="1"/>
    </row>
    <row r="726" spans="1:15" x14ac:dyDescent="0.25">
      <c r="A726">
        <v>1088</v>
      </c>
      <c r="B726">
        <v>22888.5128</v>
      </c>
      <c r="C726">
        <v>0</v>
      </c>
      <c r="D726">
        <v>162301.40700000001</v>
      </c>
      <c r="E726" s="1">
        <v>4.0500000000000002E-5</v>
      </c>
      <c r="F726">
        <v>516162.69079999998</v>
      </c>
      <c r="G726" s="1">
        <v>3.7299999999999999E-5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</v>
      </c>
      <c r="M726" s="1">
        <f t="shared" si="47"/>
        <v>0.70905804137497808</v>
      </c>
      <c r="N726" s="1">
        <f t="shared" si="48"/>
        <v>0.30554787905937719</v>
      </c>
      <c r="O726" s="1"/>
    </row>
    <row r="727" spans="1:15" x14ac:dyDescent="0.25">
      <c r="A727">
        <v>1089</v>
      </c>
      <c r="B727">
        <v>9321.1290480000007</v>
      </c>
      <c r="C727" s="1">
        <v>-3.9999999999999998E-7</v>
      </c>
      <c r="D727">
        <v>126351.91680000001</v>
      </c>
      <c r="E727" s="1">
        <v>-2.7500000000000001E-5</v>
      </c>
      <c r="F727">
        <v>395033.10350000003</v>
      </c>
      <c r="G727" s="1">
        <v>3.4700000000000003E-5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-1.33123993652E-2</v>
      </c>
      <c r="M727" s="1">
        <f t="shared" si="47"/>
        <v>-0.30695320843990004</v>
      </c>
      <c r="N727" s="1">
        <f t="shared" si="48"/>
        <v>0.18122271658918801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 s="1">
        <v>1.9E-6</v>
      </c>
      <c r="F728">
        <v>195714.8714</v>
      </c>
      <c r="G728" s="1">
        <v>3.6199999999999999E-5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2.16092588924271E-2</v>
      </c>
      <c r="N728" s="1">
        <f t="shared" si="48"/>
        <v>0.19263647400868622</v>
      </c>
      <c r="O728" s="1"/>
    </row>
    <row r="729" spans="1:15" x14ac:dyDescent="0.25">
      <c r="A729">
        <v>1091</v>
      </c>
      <c r="B729">
        <v>6340.8881510000001</v>
      </c>
      <c r="C729" s="1">
        <v>-9.9999999999999995E-8</v>
      </c>
      <c r="D729">
        <v>74144.81882</v>
      </c>
      <c r="E729" s="1">
        <v>1.77E-6</v>
      </c>
      <c r="F729">
        <v>173450.60380000001</v>
      </c>
      <c r="G729" s="1">
        <v>-5.3000000000000001E-6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-1.4588610951719999E-3</v>
      </c>
      <c r="M729" s="1">
        <f t="shared" si="47"/>
        <v>8.6602483412779683E-3</v>
      </c>
      <c r="N729" s="1">
        <f t="shared" si="48"/>
        <v>-1.2133235508461281E-2</v>
      </c>
      <c r="O729" s="1"/>
    </row>
    <row r="730" spans="1:15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-2.8778664916625001E-2</v>
      </c>
      <c r="M730" s="1">
        <f t="shared" si="47"/>
        <v>-6.9493834543283992E-2</v>
      </c>
      <c r="N730" s="1">
        <f t="shared" si="48"/>
        <v>-3.28767468007524E-2</v>
      </c>
      <c r="O730" s="1"/>
    </row>
    <row r="731" spans="1:15" x14ac:dyDescent="0.25">
      <c r="A731">
        <v>1093</v>
      </c>
      <c r="B731">
        <v>96455.813720000006</v>
      </c>
      <c r="C731" s="1">
        <v>-4.4399999999999998E-6</v>
      </c>
      <c r="D731">
        <v>332279.25679999997</v>
      </c>
      <c r="E731">
        <v>11226.170819999999</v>
      </c>
      <c r="F731">
        <v>1227401.588</v>
      </c>
      <c r="G731">
        <v>3278.7384029999998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-8.824985290402711E-3</v>
      </c>
      <c r="M731" s="1">
        <f t="shared" si="47"/>
        <v>7483517.9255656591</v>
      </c>
      <c r="N731" s="1">
        <f t="shared" si="48"/>
        <v>1022644.3014935741</v>
      </c>
      <c r="O731" s="1"/>
    </row>
    <row r="732" spans="1:15" x14ac:dyDescent="0.25">
      <c r="A732">
        <v>1095</v>
      </c>
      <c r="B732">
        <v>91092.25404</v>
      </c>
      <c r="C732" s="1">
        <v>3.89E-6</v>
      </c>
      <c r="D732">
        <v>316106.75780000002</v>
      </c>
      <c r="E732">
        <v>33925.990420000002</v>
      </c>
      <c r="F732">
        <v>1160440.7379999999</v>
      </c>
      <c r="G732">
        <v>27218.979889999999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8.1798835561073154E-3</v>
      </c>
      <c r="M732" s="1">
        <f t="shared" si="47"/>
        <v>23926170.438261531</v>
      </c>
      <c r="N732" s="1">
        <f t="shared" si="48"/>
        <v>8981651.0870694574</v>
      </c>
      <c r="O732" s="1"/>
    </row>
    <row r="733" spans="1:15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-6.3400000000000003E-6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-1.6155605573896748E-3</v>
      </c>
      <c r="M733" s="1">
        <f t="shared" si="47"/>
        <v>-7.3241030765141667E-3</v>
      </c>
      <c r="N733" s="1">
        <f t="shared" si="48"/>
        <v>-5.5424440384761542E-3</v>
      </c>
      <c r="O733" s="1"/>
    </row>
    <row r="734" spans="1:15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-1.4600000000000001E-5</v>
      </c>
      <c r="F734">
        <v>1023423.477</v>
      </c>
      <c r="G734">
        <v>13338.47099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4.3978728131514148E-3</v>
      </c>
      <c r="M734" s="1">
        <f t="shared" si="47"/>
        <v>-1.5492583939898533E-2</v>
      </c>
      <c r="N734" s="1">
        <f t="shared" si="48"/>
        <v>6622481.11949623</v>
      </c>
      <c r="O734" s="1"/>
    </row>
    <row r="735" spans="1:15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>
        <v>2665.0947409999999</v>
      </c>
      <c r="F735">
        <v>1208211.254</v>
      </c>
      <c r="G735">
        <v>18097.027480000001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6.9518071780248006E-2</v>
      </c>
      <c r="M735" s="1">
        <f t="shared" si="47"/>
        <v>2773993.8156804862</v>
      </c>
      <c r="N735" s="1">
        <f t="shared" si="48"/>
        <v>8813405.6625757962</v>
      </c>
      <c r="O735" s="1"/>
    </row>
    <row r="736" spans="1:15" x14ac:dyDescent="0.25">
      <c r="A736">
        <v>1100</v>
      </c>
      <c r="B736">
        <v>2858.844047</v>
      </c>
      <c r="C736">
        <v>0</v>
      </c>
      <c r="D736">
        <v>20073.29839</v>
      </c>
      <c r="E736" s="1">
        <v>4.8300000000000003E-6</v>
      </c>
      <c r="F736">
        <v>239452.27540000001</v>
      </c>
      <c r="G736" s="1">
        <v>-3.6900000000000002E-5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0</v>
      </c>
      <c r="M736" s="1">
        <f t="shared" si="47"/>
        <v>4.5361178184558017E-2</v>
      </c>
      <c r="N736" s="1">
        <f t="shared" si="48"/>
        <v>-0.16214637344106925</v>
      </c>
      <c r="O736" s="1"/>
    </row>
    <row r="737" spans="1:15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-3.9400000000000002E-5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9.6611667515350014E-3</v>
      </c>
      <c r="M737" s="1">
        <f t="shared" si="47"/>
        <v>4.2284697371449111E-2</v>
      </c>
      <c r="N737" s="1">
        <f t="shared" si="48"/>
        <v>-0.29866382262360669</v>
      </c>
      <c r="O737" s="1"/>
    </row>
    <row r="738" spans="1:15" x14ac:dyDescent="0.25">
      <c r="A738">
        <v>1102</v>
      </c>
      <c r="B738">
        <v>8166.4601810000004</v>
      </c>
      <c r="C738" s="1">
        <v>4.2E-7</v>
      </c>
      <c r="D738">
        <v>42206.313540000003</v>
      </c>
      <c r="E738">
        <v>0</v>
      </c>
      <c r="F738">
        <v>387467.82439999998</v>
      </c>
      <c r="G738" s="1">
        <v>-4.6900000000000002E-5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1.6621213655865E-2</v>
      </c>
      <c r="M738" s="1">
        <f t="shared" si="47"/>
        <v>0</v>
      </c>
      <c r="N738" s="1">
        <f t="shared" si="48"/>
        <v>-0.29125480544661903</v>
      </c>
      <c r="O738" s="1"/>
    </row>
    <row r="739" spans="1:15" x14ac:dyDescent="0.25">
      <c r="A739">
        <v>1103</v>
      </c>
      <c r="B739">
        <v>5714.5354340000004</v>
      </c>
      <c r="C739" s="1">
        <v>4.0999999999999999E-7</v>
      </c>
      <c r="D739">
        <v>25472.491679999999</v>
      </c>
      <c r="E739" s="1">
        <v>2.7300000000000001E-6</v>
      </c>
      <c r="F739">
        <v>253860.92869999999</v>
      </c>
      <c r="G739" s="1">
        <v>-8.85E-6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1.7824167644702252E-2</v>
      </c>
      <c r="M739" s="1">
        <f t="shared" si="47"/>
        <v>3.9804409501193613E-2</v>
      </c>
      <c r="N739" s="1">
        <f t="shared" si="48"/>
        <v>-6.0374769729353558E-2</v>
      </c>
      <c r="O739" s="1"/>
    </row>
    <row r="740" spans="1:15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-4.7800000000000003E-5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2.9132934222005254E-3</v>
      </c>
      <c r="M740" s="1">
        <f t="shared" si="47"/>
        <v>1.0747811732979784E-2</v>
      </c>
      <c r="N740" s="1">
        <f t="shared" si="48"/>
        <v>-0.10405899933539108</v>
      </c>
      <c r="O740" s="1"/>
    </row>
    <row r="741" spans="1:15" x14ac:dyDescent="0.25">
      <c r="A741">
        <v>1105</v>
      </c>
      <c r="B741">
        <v>9285.7780550000007</v>
      </c>
      <c r="C741" s="1">
        <v>1E-8</v>
      </c>
      <c r="D741">
        <v>153550.10550000001</v>
      </c>
      <c r="E741" s="1">
        <v>-2.4999999999999999E-7</v>
      </c>
      <c r="F741">
        <v>538656.53570000001</v>
      </c>
      <c r="G741" s="1">
        <v>-9.7899999999999994E-6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2.8832055675962506E-4</v>
      </c>
      <c r="M741" s="1">
        <f t="shared" si="47"/>
        <v>-2.4174569759076248E-3</v>
      </c>
      <c r="N741" s="1">
        <f t="shared" si="48"/>
        <v>-4.4294021779850208E-2</v>
      </c>
      <c r="O741" s="1"/>
    </row>
    <row r="742" spans="1:15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-4.2799999999999997E-5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-3.2251815460267001E-3</v>
      </c>
      <c r="M742" s="1">
        <f t="shared" si="47"/>
        <v>2.0722640165207341E-2</v>
      </c>
      <c r="N742" s="1">
        <f t="shared" si="48"/>
        <v>-5.7003451649126159E-2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 s="1">
        <v>6.1999999999999999E-7</v>
      </c>
      <c r="F743">
        <v>200528.53030000001</v>
      </c>
      <c r="G743" s="1">
        <v>4.4700000000000002E-5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8.4299485348407407E-3</v>
      </c>
      <c r="N743" s="1">
        <f t="shared" si="48"/>
        <v>0.28437043022900915</v>
      </c>
      <c r="O743" s="1"/>
    </row>
    <row r="744" spans="1:15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-1.0699999999999999E-5</v>
      </c>
      <c r="F744">
        <v>341611.02059999999</v>
      </c>
      <c r="G744" s="1">
        <v>-1.59E-5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-3.2198748069683002E-2</v>
      </c>
      <c r="M744" s="1">
        <f t="shared" si="47"/>
        <v>-6.796995452248196E-2</v>
      </c>
      <c r="N744" s="1">
        <f t="shared" si="48"/>
        <v>-4.7257854859196292E-2</v>
      </c>
      <c r="O744" s="1"/>
    </row>
    <row r="745" spans="1:15" x14ac:dyDescent="0.25">
      <c r="A745">
        <v>1109</v>
      </c>
      <c r="B745">
        <v>6878.7881880000004</v>
      </c>
      <c r="C745" s="1">
        <v>-8.0000000000000002E-8</v>
      </c>
      <c r="D745">
        <v>39455.949769999999</v>
      </c>
      <c r="E745" s="1">
        <v>-4.5299999999999998E-6</v>
      </c>
      <c r="F745">
        <v>274536.38050000003</v>
      </c>
      <c r="G745" s="1">
        <v>4.4900000000000002E-6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-2.0225900382480001E-3</v>
      </c>
      <c r="M745" s="1">
        <f t="shared" si="47"/>
        <v>-3.8411318584065962E-2</v>
      </c>
      <c r="N745" s="1">
        <f t="shared" si="48"/>
        <v>1.7813572802246522E-2</v>
      </c>
      <c r="O745" s="1"/>
    </row>
    <row r="746" spans="1:15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-2.3200000000000001E-5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-2.0513767787409005E-3</v>
      </c>
      <c r="M746" s="1">
        <f t="shared" si="47"/>
        <v>2.4985270854915478E-3</v>
      </c>
      <c r="N746" s="1">
        <f t="shared" si="48"/>
        <v>-1.9653352264018084E-2</v>
      </c>
      <c r="O746" s="1"/>
    </row>
    <row r="747" spans="1:15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2.94E-5</v>
      </c>
      <c r="F747">
        <v>278349.62050000002</v>
      </c>
      <c r="G747" s="1">
        <v>3.5800000000000003E-5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-4.0807969055014853E-2</v>
      </c>
      <c r="M747" s="1">
        <f t="shared" si="47"/>
        <v>8.1618485026494367E-2</v>
      </c>
      <c r="N747" s="1">
        <f t="shared" si="48"/>
        <v>4.6501600811762293E-2</v>
      </c>
      <c r="O747" s="1"/>
    </row>
    <row r="748" spans="1:15" x14ac:dyDescent="0.25">
      <c r="A748">
        <v>1112</v>
      </c>
      <c r="B748">
        <v>37917.467750000003</v>
      </c>
      <c r="C748" s="1">
        <v>9.7000000000000003E-7</v>
      </c>
      <c r="D748">
        <v>112609.9611</v>
      </c>
      <c r="E748" s="1">
        <v>-1.15E-6</v>
      </c>
      <c r="F748">
        <v>280567.94069999998</v>
      </c>
      <c r="G748" s="1">
        <v>3.5200000000000002E-5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5.1564594687771755E-3</v>
      </c>
      <c r="M748" s="1">
        <f t="shared" si="47"/>
        <v>-2.0503162392108451E-3</v>
      </c>
      <c r="N748" s="1">
        <f t="shared" si="48"/>
        <v>2.9363603610939846E-2</v>
      </c>
      <c r="O748" s="1"/>
    </row>
    <row r="749" spans="1:15" x14ac:dyDescent="0.25">
      <c r="A749">
        <v>1113</v>
      </c>
      <c r="B749">
        <v>4740.5322399999995</v>
      </c>
      <c r="C749" s="1">
        <v>-1E-8</v>
      </c>
      <c r="D749">
        <v>64926.036910000003</v>
      </c>
      <c r="E749" s="1">
        <v>1.86E-6</v>
      </c>
      <c r="F749">
        <v>222606.22700000001</v>
      </c>
      <c r="G749" s="1">
        <v>3.79E-5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-1.6099052012420002E-4</v>
      </c>
      <c r="M749" s="1">
        <f t="shared" si="47"/>
        <v>1.0042836323070863E-2</v>
      </c>
      <c r="N749" s="1">
        <f t="shared" si="48"/>
        <v>9.5747254260943437E-2</v>
      </c>
      <c r="O749" s="1"/>
    </row>
    <row r="750" spans="1:15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4.9999999999999998E-8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1.4559344841571399E-2</v>
      </c>
      <c r="M750" s="1">
        <f t="shared" si="47"/>
        <v>-2.6007177524693257E-2</v>
      </c>
      <c r="N750" s="1">
        <f t="shared" si="48"/>
        <v>2.4833665114386001E-4</v>
      </c>
      <c r="O750" s="1"/>
    </row>
    <row r="751" spans="1:15" x14ac:dyDescent="0.25">
      <c r="A751">
        <v>1115</v>
      </c>
      <c r="B751">
        <v>3286.2414979999999</v>
      </c>
      <c r="C751">
        <v>0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0</v>
      </c>
      <c r="M751" s="1">
        <f t="shared" si="47"/>
        <v>3.0733727218746912E-2</v>
      </c>
      <c r="N751" s="1">
        <f t="shared" si="48"/>
        <v>-9.1740764653428244E-2</v>
      </c>
      <c r="O751" s="1"/>
    </row>
    <row r="752" spans="1:15" x14ac:dyDescent="0.25">
      <c r="A752">
        <v>1116</v>
      </c>
      <c r="B752">
        <v>8834.2409050000006</v>
      </c>
      <c r="C752" s="1">
        <v>5.9999999999999995E-8</v>
      </c>
      <c r="D752">
        <v>87800.193429999999</v>
      </c>
      <c r="E752" s="1">
        <v>1.8500000000000001E-6</v>
      </c>
      <c r="F752">
        <v>218257.7438</v>
      </c>
      <c r="G752" s="1">
        <v>3.93E-5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1.3137857467234498E-3</v>
      </c>
      <c r="M752" s="1">
        <f t="shared" si="47"/>
        <v>1.3585892093681214E-2</v>
      </c>
      <c r="N752" s="1">
        <f t="shared" si="48"/>
        <v>0.13503696267475951</v>
      </c>
      <c r="O752" s="1"/>
    </row>
    <row r="753" spans="1:15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-1.46E-6</v>
      </c>
      <c r="F753">
        <v>251622.32810000001</v>
      </c>
      <c r="G753" s="1">
        <v>4.9100000000000001E-5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-1.1049903662197403E-2</v>
      </c>
      <c r="M753" s="1">
        <f t="shared" si="47"/>
        <v>-3.513449887716472E-3</v>
      </c>
      <c r="N753" s="1">
        <f t="shared" si="48"/>
        <v>5.5284842678338691E-2</v>
      </c>
      <c r="O753" s="1"/>
    </row>
    <row r="754" spans="1:15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-4.8500000000000002E-6</v>
      </c>
      <c r="F754">
        <v>305816.83419999998</v>
      </c>
      <c r="G754" s="1">
        <v>-3.2199999999999997E-5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-9.9223084512396004E-2</v>
      </c>
      <c r="M754" s="1">
        <f t="shared" si="47"/>
        <v>-4.4832721049126618E-2</v>
      </c>
      <c r="N754" s="1">
        <f t="shared" si="48"/>
        <v>-0.13926850374893737</v>
      </c>
      <c r="O754" s="1"/>
    </row>
    <row r="755" spans="1:15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-3.0700000000000001E-5</v>
      </c>
      <c r="F755">
        <v>271951.80339999998</v>
      </c>
      <c r="G755" s="1">
        <v>3.8600000000000003E-5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1.2269402105178399E-2</v>
      </c>
      <c r="M755" s="1">
        <f t="shared" si="47"/>
        <v>-8.6527081695592159E-2</v>
      </c>
      <c r="N755" s="1">
        <f t="shared" si="48"/>
        <v>5.0903150651747532E-2</v>
      </c>
      <c r="O755" s="1"/>
    </row>
    <row r="756" spans="1:15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>
        <v>0</v>
      </c>
      <c r="F756">
        <v>242043.36840000001</v>
      </c>
      <c r="G756" s="1">
        <v>2.2200000000000001E-5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4.91635282305024E-2</v>
      </c>
      <c r="M756" s="1">
        <f t="shared" si="47"/>
        <v>0</v>
      </c>
      <c r="N756" s="1">
        <f t="shared" si="48"/>
        <v>6.9622197201469435E-2</v>
      </c>
      <c r="O756" s="1"/>
    </row>
    <row r="757" spans="1:15" x14ac:dyDescent="0.25">
      <c r="A757">
        <v>1121</v>
      </c>
      <c r="B757">
        <v>7611.5158000000001</v>
      </c>
      <c r="C757">
        <v>0</v>
      </c>
      <c r="D757">
        <v>75258.763860000006</v>
      </c>
      <c r="E757" s="1">
        <v>3.7400000000000002E-6</v>
      </c>
      <c r="F757">
        <v>256712.96119999999</v>
      </c>
      <c r="G757" s="1">
        <v>-2.0899999999999999E-6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0</v>
      </c>
      <c r="M757" s="1">
        <f t="shared" si="47"/>
        <v>3.3736928398085529E-2</v>
      </c>
      <c r="N757" s="1">
        <f t="shared" si="48"/>
        <v>-8.8211234802333723E-3</v>
      </c>
      <c r="O757" s="1"/>
    </row>
    <row r="758" spans="1:15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-4.88E-5</v>
      </c>
      <c r="F758">
        <v>293318.91970000003</v>
      </c>
      <c r="G758" s="1">
        <v>4.57E-5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-4.2745149902519999E-2</v>
      </c>
      <c r="M758" s="1">
        <f t="shared" si="47"/>
        <v>-0.67269231172036803</v>
      </c>
      <c r="N758" s="1">
        <f t="shared" si="48"/>
        <v>0.29475183691657802</v>
      </c>
      <c r="O758" s="1"/>
    </row>
    <row r="759" spans="1:15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3.26E-5</v>
      </c>
      <c r="F759">
        <v>287088.64299999998</v>
      </c>
      <c r="G759" s="1">
        <v>-4.7500000000000003E-5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8.3729269274819995E-2</v>
      </c>
      <c r="M759" s="1">
        <f t="shared" si="47"/>
        <v>0.38144049415531456</v>
      </c>
      <c r="N759" s="1">
        <f t="shared" si="48"/>
        <v>-0.26004378822852753</v>
      </c>
      <c r="O759" s="1"/>
    </row>
    <row r="760" spans="1:15" x14ac:dyDescent="0.25">
      <c r="A760">
        <v>1124</v>
      </c>
      <c r="B760">
        <v>14467.78724</v>
      </c>
      <c r="C760">
        <v>0</v>
      </c>
      <c r="D760">
        <v>103710.4455</v>
      </c>
      <c r="E760" s="1">
        <v>-3.1000000000000001E-5</v>
      </c>
      <c r="F760">
        <v>225589.7727</v>
      </c>
      <c r="G760" s="1">
        <v>3.0300000000000001E-5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0</v>
      </c>
      <c r="M760" s="1">
        <f t="shared" si="47"/>
        <v>-0.2176946730127437</v>
      </c>
      <c r="N760" s="1">
        <f t="shared" si="48"/>
        <v>9.9557140635274599E-2</v>
      </c>
      <c r="O760" s="1"/>
    </row>
    <row r="761" spans="1:15" x14ac:dyDescent="0.25">
      <c r="A761">
        <v>1125</v>
      </c>
      <c r="B761">
        <v>44116.576840000002</v>
      </c>
      <c r="C761" s="1">
        <v>-4.4000000000000002E-7</v>
      </c>
      <c r="D761">
        <v>141197.79250000001</v>
      </c>
      <c r="E761" s="1">
        <v>1.22E-5</v>
      </c>
      <c r="F761">
        <v>376716.48300000001</v>
      </c>
      <c r="G761">
        <v>16430.199069999999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-8.3538218253632994E-3</v>
      </c>
      <c r="M761" s="1">
        <f t="shared" si="47"/>
        <v>7.7684701142434379E-2</v>
      </c>
      <c r="N761" s="1">
        <f t="shared" si="48"/>
        <v>48951068.0761365</v>
      </c>
      <c r="O761" s="1"/>
    </row>
    <row r="762" spans="1:15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3.8600000000000003E-5</v>
      </c>
      <c r="F762">
        <v>355246.44189999998</v>
      </c>
      <c r="G762">
        <v>15098.71269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1.5852134536884104E-2</v>
      </c>
      <c r="M762" s="1">
        <f t="shared" si="47"/>
        <v>9.9621016953676117E-2</v>
      </c>
      <c r="N762" s="1">
        <f t="shared" si="48"/>
        <v>18232543.793394476</v>
      </c>
      <c r="O762" s="1"/>
    </row>
    <row r="763" spans="1:15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-1.34E-5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-1.9818659333005E-3</v>
      </c>
      <c r="M763" s="1">
        <f t="shared" si="47"/>
        <v>3.2370273642273982E-2</v>
      </c>
      <c r="N763" s="1">
        <f t="shared" si="48"/>
        <v>-4.1674067040540372E-2</v>
      </c>
      <c r="O763" s="1"/>
    </row>
    <row r="764" spans="1:15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4.8300000000000002E-5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3.2883925671688004E-3</v>
      </c>
      <c r="M764" s="1">
        <f t="shared" si="47"/>
        <v>1.2131639040108898E-2</v>
      </c>
      <c r="N764" s="1">
        <f t="shared" si="48"/>
        <v>0.15577495020590204</v>
      </c>
      <c r="O764" s="1"/>
    </row>
    <row r="765" spans="1:15" x14ac:dyDescent="0.25">
      <c r="A765">
        <v>1129</v>
      </c>
      <c r="B765">
        <v>6298.6273440000004</v>
      </c>
      <c r="C765" s="1">
        <v>8.0000000000000002E-8</v>
      </c>
      <c r="D765">
        <v>76408.2592</v>
      </c>
      <c r="E765" s="1">
        <v>-3.14E-6</v>
      </c>
      <c r="F765">
        <v>169744.82829999999</v>
      </c>
      <c r="G765" s="1">
        <v>3.4799999999999999E-5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1.3201573511828003E-3</v>
      </c>
      <c r="M765" s="1">
        <f t="shared" si="47"/>
        <v>-1.7378348269839427E-2</v>
      </c>
      <c r="N765" s="1">
        <f t="shared" si="48"/>
        <v>9.0115971803047451E-2</v>
      </c>
      <c r="O765" s="1"/>
    </row>
    <row r="766" spans="1:15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>
        <v>0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9.9840541029547498E-3</v>
      </c>
      <c r="M766" s="1">
        <f t="shared" si="47"/>
        <v>-8.8837705895678995E-4</v>
      </c>
      <c r="N766" s="1">
        <f t="shared" si="48"/>
        <v>0</v>
      </c>
      <c r="O766" s="1"/>
    </row>
    <row r="767" spans="1:15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4.5600000000000004E-6</v>
      </c>
      <c r="F767">
        <v>259031.54689999999</v>
      </c>
      <c r="G767">
        <v>0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-5.5945407588512E-3</v>
      </c>
      <c r="M767" s="1">
        <f t="shared" si="47"/>
        <v>2.5164801255922176E-2</v>
      </c>
      <c r="N767" s="1">
        <f t="shared" si="48"/>
        <v>0</v>
      </c>
      <c r="O767" s="1"/>
    </row>
    <row r="768" spans="1:15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2.87E-5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-8.1773921971949985E-3</v>
      </c>
      <c r="M768" s="1">
        <f t="shared" si="47"/>
        <v>-3.030541548280467E-2</v>
      </c>
      <c r="N768" s="1">
        <f t="shared" si="48"/>
        <v>0.18414229167745111</v>
      </c>
      <c r="O768" s="1"/>
    </row>
    <row r="769" spans="1:15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2.0099999999999998E-6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-3.7537749889698501E-3</v>
      </c>
      <c r="M769" s="1">
        <f t="shared" si="47"/>
        <v>7.8608133052318722E-3</v>
      </c>
      <c r="N769" s="1">
        <f t="shared" si="48"/>
        <v>2.887800931476918E-3</v>
      </c>
      <c r="O769" s="1"/>
    </row>
    <row r="770" spans="1:15" x14ac:dyDescent="0.25">
      <c r="A770">
        <v>1134</v>
      </c>
      <c r="B770">
        <v>5896.8148899999997</v>
      </c>
      <c r="C770">
        <v>0</v>
      </c>
      <c r="D770">
        <v>70110.756880000001</v>
      </c>
      <c r="E770" s="1">
        <v>3.45E-6</v>
      </c>
      <c r="F770">
        <v>166058.68369999999</v>
      </c>
      <c r="G770" s="1">
        <v>-1.2799999999999999E-5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0</v>
      </c>
      <c r="M770" s="1">
        <f t="shared" si="47"/>
        <v>4.5379036841762248E-2</v>
      </c>
      <c r="N770" s="1">
        <f t="shared" si="48"/>
        <v>-7.8775256615615991E-2</v>
      </c>
      <c r="O770" s="1"/>
    </row>
    <row r="771" spans="1:15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-2.2500000000000001E-5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-6.2279806781907008E-3</v>
      </c>
      <c r="M771" s="1">
        <f t="shared" ref="M771:M834" si="51">$U$3*$K771*E771</f>
        <v>-6.3612507542414945E-3</v>
      </c>
      <c r="N771" s="1">
        <f t="shared" ref="N771:N834" si="52">$U$4*$K771*G771</f>
        <v>-4.9976278519047748E-2</v>
      </c>
      <c r="O771" s="1"/>
    </row>
    <row r="772" spans="1:15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-3.72E-6</v>
      </c>
      <c r="F772">
        <v>244201.37849999999</v>
      </c>
      <c r="G772" s="1">
        <v>-1.7499999999999998E-5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-4.8397100516492002E-3</v>
      </c>
      <c r="M772" s="1">
        <f t="shared" si="51"/>
        <v>-1.2322798315495874E-2</v>
      </c>
      <c r="N772" s="1">
        <f t="shared" si="52"/>
        <v>-2.7123649740011999E-2</v>
      </c>
      <c r="O772" s="1"/>
    </row>
    <row r="773" spans="1:15" x14ac:dyDescent="0.25">
      <c r="A773">
        <v>1200</v>
      </c>
      <c r="B773">
        <v>6384.6344559999998</v>
      </c>
      <c r="C773" s="1">
        <v>1.9999999999999999E-7</v>
      </c>
      <c r="D773">
        <v>32088.847170000001</v>
      </c>
      <c r="E773" s="1">
        <v>-1.4000000000000001E-7</v>
      </c>
      <c r="F773">
        <v>127901.3316</v>
      </c>
      <c r="G773" s="1">
        <v>2.09E-5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8.5226997542700005E-3</v>
      </c>
      <c r="M773" s="1">
        <f t="shared" si="51"/>
        <v>-2.0008676653870804E-3</v>
      </c>
      <c r="N773" s="1">
        <f t="shared" si="52"/>
        <v>0.13975916412425221</v>
      </c>
      <c r="O773" s="1"/>
    </row>
    <row r="774" spans="1:15" x14ac:dyDescent="0.25">
      <c r="A774">
        <v>1201</v>
      </c>
      <c r="B774">
        <v>8751.6784430000007</v>
      </c>
      <c r="C774" s="1">
        <v>2.9999999999999999E-7</v>
      </c>
      <c r="D774">
        <v>44904.674579999999</v>
      </c>
      <c r="E774" s="1">
        <v>-2.8899999999999999E-6</v>
      </c>
      <c r="F774">
        <v>202901.5183</v>
      </c>
      <c r="G774">
        <v>0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5.8603986023212503E-3</v>
      </c>
      <c r="M774" s="1">
        <f t="shared" si="51"/>
        <v>-1.8934196550945814E-2</v>
      </c>
      <c r="N774" s="1">
        <f t="shared" si="52"/>
        <v>0</v>
      </c>
      <c r="O774" s="1"/>
    </row>
    <row r="775" spans="1:15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-2.9500000000000001E-6</v>
      </c>
      <c r="F775">
        <v>177797.47409999999</v>
      </c>
      <c r="G775" s="1">
        <v>-4.1E-5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-5.1556267350835001E-3</v>
      </c>
      <c r="M775" s="1">
        <f t="shared" si="51"/>
        <v>-2.5504488871786146E-2</v>
      </c>
      <c r="N775" s="1">
        <f t="shared" si="52"/>
        <v>-0.16585254620091691</v>
      </c>
      <c r="O775" s="1"/>
    </row>
    <row r="776" spans="1:15" x14ac:dyDescent="0.25">
      <c r="A776">
        <v>1203</v>
      </c>
      <c r="B776">
        <v>9068.8277330000001</v>
      </c>
      <c r="C776" s="1">
        <v>9.9999999999999995E-8</v>
      </c>
      <c r="D776">
        <v>51354.56639</v>
      </c>
      <c r="E776" s="1">
        <v>1.22E-6</v>
      </c>
      <c r="F776">
        <v>238309.9797</v>
      </c>
      <c r="G776" s="1">
        <v>-2.87E-5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2.3099033676874997E-3</v>
      </c>
      <c r="M776" s="1">
        <f t="shared" si="51"/>
        <v>9.4514138410795E-3</v>
      </c>
      <c r="N776" s="1">
        <f t="shared" si="52"/>
        <v>-0.10403094028566751</v>
      </c>
      <c r="O776" s="1"/>
    </row>
    <row r="777" spans="1:15" x14ac:dyDescent="0.25">
      <c r="A777">
        <v>1204</v>
      </c>
      <c r="B777">
        <v>5858.3732849999997</v>
      </c>
      <c r="C777" s="1">
        <v>-9.9999999999999995E-8</v>
      </c>
      <c r="D777">
        <v>47565.420980000003</v>
      </c>
      <c r="E777" s="1">
        <v>2.8700000000000001E-6</v>
      </c>
      <c r="F777">
        <v>219133.5765</v>
      </c>
      <c r="G777" s="1">
        <v>-2.8200000000000001E-5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-2.14790789485675E-3</v>
      </c>
      <c r="M777" s="1">
        <f t="shared" si="51"/>
        <v>2.0674770053785756E-2</v>
      </c>
      <c r="N777" s="1">
        <f t="shared" si="52"/>
        <v>-9.5049881057937782E-2</v>
      </c>
      <c r="O777" s="1"/>
    </row>
    <row r="778" spans="1:15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-3.7500000000000001E-6</v>
      </c>
      <c r="F778">
        <v>142472.96960000001</v>
      </c>
      <c r="G778" s="1">
        <v>-3.8500000000000001E-5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-1.0841224506449998E-2</v>
      </c>
      <c r="M778" s="1">
        <f t="shared" si="51"/>
        <v>-4.5449748892425E-2</v>
      </c>
      <c r="N778" s="1">
        <f t="shared" si="52"/>
        <v>-0.21832558275297001</v>
      </c>
      <c r="O778" s="1"/>
    </row>
    <row r="779" spans="1:15" x14ac:dyDescent="0.25">
      <c r="A779">
        <v>1206</v>
      </c>
      <c r="B779">
        <v>8510.3592439999993</v>
      </c>
      <c r="C779" s="1">
        <v>-3.9999999999999998E-7</v>
      </c>
      <c r="D779">
        <v>45599.167439999997</v>
      </c>
      <c r="E779" s="1">
        <v>-8.85E-7</v>
      </c>
      <c r="F779">
        <v>198553.22940000001</v>
      </c>
      <c r="G779" s="1">
        <v>-2.0299999999999999E-5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-1.1623642065451001E-2</v>
      </c>
      <c r="M779" s="1">
        <f t="shared" si="51"/>
        <v>-8.6251894757210044E-3</v>
      </c>
      <c r="N779" s="1">
        <f t="shared" si="52"/>
        <v>-9.2568897156626306E-2</v>
      </c>
      <c r="O779" s="1"/>
    </row>
    <row r="780" spans="1:15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-3.4100000000000002E-5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1.1415431063009998E-2</v>
      </c>
      <c r="M780" s="1">
        <f t="shared" si="51"/>
        <v>-1.3144722517375721E-2</v>
      </c>
      <c r="N780" s="1">
        <f t="shared" si="52"/>
        <v>-0.20361616576082764</v>
      </c>
      <c r="O780" s="1"/>
    </row>
    <row r="781" spans="1:15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1.8700000000000001E-6</v>
      </c>
      <c r="F781">
        <v>369100.51130000001</v>
      </c>
      <c r="G781" s="1">
        <v>-2.12E-5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2.8141650720652299E-2</v>
      </c>
      <c r="M781" s="1">
        <f t="shared" si="51"/>
        <v>4.9300495628625341E-3</v>
      </c>
      <c r="N781" s="1">
        <f t="shared" si="52"/>
        <v>-2.6151055229195763E-2</v>
      </c>
      <c r="O781" s="1"/>
    </row>
    <row r="782" spans="1:15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1.9700000000000002E-6</v>
      </c>
      <c r="F782">
        <v>206194.0336</v>
      </c>
      <c r="G782" s="1">
        <v>3.0199999999999999E-5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-0.1213656989634375</v>
      </c>
      <c r="M782" s="1">
        <f t="shared" si="51"/>
        <v>3.2074900354977155E-2</v>
      </c>
      <c r="N782" s="1">
        <f t="shared" si="52"/>
        <v>0.23006455328429101</v>
      </c>
      <c r="O782" s="1"/>
    </row>
    <row r="783" spans="1:15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-4.8799999999999999E-6</v>
      </c>
      <c r="F783">
        <v>165776.20970000001</v>
      </c>
      <c r="G783" s="1">
        <v>2.0000000000000002E-5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9.5979874296930005E-3</v>
      </c>
      <c r="M783" s="1">
        <f t="shared" si="51"/>
        <v>-5.2362681780536414E-2</v>
      </c>
      <c r="N783" s="1">
        <f t="shared" si="52"/>
        <v>0.10040971464909601</v>
      </c>
      <c r="O783" s="1"/>
    </row>
    <row r="784" spans="1:15" x14ac:dyDescent="0.25">
      <c r="A784">
        <v>1212</v>
      </c>
      <c r="B784">
        <v>9175.1377549999997</v>
      </c>
      <c r="C784" s="1">
        <v>-3.9999999999999998E-7</v>
      </c>
      <c r="D784">
        <v>45103.276610000001</v>
      </c>
      <c r="E784" s="1">
        <v>5.2499999999999995E-7</v>
      </c>
      <c r="F784">
        <v>166904.55290000001</v>
      </c>
      <c r="G784" s="1">
        <v>-4.2400000000000001E-5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-9.7456799140090006E-3</v>
      </c>
      <c r="M784" s="1">
        <f t="shared" si="51"/>
        <v>4.2899733313781921E-3</v>
      </c>
      <c r="N784" s="1">
        <f t="shared" si="52"/>
        <v>-0.16210814035425433</v>
      </c>
      <c r="O784" s="1"/>
    </row>
    <row r="785" spans="1:15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-1.59E-6</v>
      </c>
      <c r="F785">
        <v>192940.5975</v>
      </c>
      <c r="G785" s="1">
        <v>-1.7499999999999998E-5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5.5237488547127254E-2</v>
      </c>
      <c r="M785" s="1">
        <f t="shared" si="51"/>
        <v>-6.0114343108964678E-3</v>
      </c>
      <c r="N785" s="1">
        <f t="shared" si="52"/>
        <v>-3.0957273801137251E-2</v>
      </c>
      <c r="O785" s="1"/>
    </row>
    <row r="786" spans="1:15" x14ac:dyDescent="0.25">
      <c r="A786">
        <v>1214</v>
      </c>
      <c r="B786">
        <v>9005.5731589999996</v>
      </c>
      <c r="C786">
        <v>0</v>
      </c>
      <c r="D786">
        <v>45152.071380000001</v>
      </c>
      <c r="E786" s="1">
        <v>-2.7499999999999999E-6</v>
      </c>
      <c r="F786">
        <v>189498.0791</v>
      </c>
      <c r="G786" s="1">
        <v>-1.1600000000000001E-5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0</v>
      </c>
      <c r="M786" s="1">
        <f t="shared" si="51"/>
        <v>-1.4461219828906399E-2</v>
      </c>
      <c r="N786" s="1">
        <f t="shared" si="52"/>
        <v>-2.8541309927543043E-2</v>
      </c>
      <c r="O786" s="1"/>
    </row>
    <row r="787" spans="1:15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-1.5200000000000001E-6</v>
      </c>
      <c r="F787">
        <v>203135.5147</v>
      </c>
      <c r="G787" s="1">
        <v>3.8300000000000003E-5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4.6429839628575002E-3</v>
      </c>
      <c r="M787" s="1">
        <f t="shared" si="51"/>
        <v>-2.3669217937422483E-3</v>
      </c>
      <c r="N787" s="1">
        <f t="shared" si="52"/>
        <v>2.7905047921998632E-2</v>
      </c>
      <c r="O787" s="1"/>
    </row>
    <row r="788" spans="1:15" x14ac:dyDescent="0.25">
      <c r="A788">
        <v>1216</v>
      </c>
      <c r="B788">
        <v>7462.5406739999999</v>
      </c>
      <c r="C788">
        <v>0</v>
      </c>
      <c r="D788">
        <v>61736.46385</v>
      </c>
      <c r="E788" s="1">
        <v>-7.7499999999999999E-7</v>
      </c>
      <c r="F788">
        <v>212063.16579999999</v>
      </c>
      <c r="G788" s="1">
        <v>-2.12E-5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0</v>
      </c>
      <c r="M788" s="1">
        <f t="shared" si="51"/>
        <v>-8.5786248605425504E-3</v>
      </c>
      <c r="N788" s="1">
        <f t="shared" si="52"/>
        <v>-0.10979827403632561</v>
      </c>
      <c r="O788" s="1"/>
    </row>
    <row r="789" spans="1:15" x14ac:dyDescent="0.25">
      <c r="A789">
        <v>1217</v>
      </c>
      <c r="B789">
        <v>2952.130525</v>
      </c>
      <c r="C789">
        <v>0</v>
      </c>
      <c r="D789">
        <v>37239.22539</v>
      </c>
      <c r="E789" s="1">
        <v>4.8500000000000002E-7</v>
      </c>
      <c r="F789">
        <v>126087.8688</v>
      </c>
      <c r="G789" s="1">
        <v>1.98E-5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0</v>
      </c>
      <c r="M789" s="1">
        <f t="shared" si="51"/>
        <v>2.5683814974364907E-3</v>
      </c>
      <c r="N789" s="1">
        <f t="shared" si="52"/>
        <v>4.9059900427719072E-2</v>
      </c>
      <c r="O789" s="1"/>
    </row>
    <row r="790" spans="1:15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-1.9700000000000001E-5</v>
      </c>
      <c r="F790">
        <v>481627.06839999999</v>
      </c>
      <c r="G790">
        <v>0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1.9301634054916198E-2</v>
      </c>
      <c r="M790" s="1">
        <f t="shared" si="51"/>
        <v>-8.0713532241716762E-2</v>
      </c>
      <c r="N790" s="1">
        <f t="shared" si="52"/>
        <v>0</v>
      </c>
      <c r="O790" s="1"/>
    </row>
    <row r="791" spans="1:15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-1.0499999999999999E-5</v>
      </c>
      <c r="F791">
        <v>516858.76</v>
      </c>
      <c r="G791">
        <v>9005.0644499999999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3.0475767176691201E-2</v>
      </c>
      <c r="M791" s="1">
        <f t="shared" si="51"/>
        <v>-2.3955711218216401E-2</v>
      </c>
      <c r="N791" s="1">
        <f t="shared" si="52"/>
        <v>9612808.1229768116</v>
      </c>
      <c r="O791" s="1"/>
    </row>
    <row r="792" spans="1:15" x14ac:dyDescent="0.25">
      <c r="A792">
        <v>1220</v>
      </c>
      <c r="B792">
        <v>83899.611170000004</v>
      </c>
      <c r="C792">
        <v>0</v>
      </c>
      <c r="D792">
        <v>281654.40759999998</v>
      </c>
      <c r="E792" s="1">
        <v>-1.98E-5</v>
      </c>
      <c r="F792">
        <v>1076215.3189999999</v>
      </c>
      <c r="G792">
        <v>1668.2844009999999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0</v>
      </c>
      <c r="M792" s="1">
        <f t="shared" si="51"/>
        <v>-3.1176282508339318E-2</v>
      </c>
      <c r="N792" s="1">
        <f t="shared" si="52"/>
        <v>1229059.491836444</v>
      </c>
      <c r="O792" s="1"/>
    </row>
    <row r="793" spans="1:15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-3.4700000000000003E-5</v>
      </c>
      <c r="F793">
        <v>411558.51909999998</v>
      </c>
      <c r="G793">
        <v>2786.394174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-1.018603685897005E-2</v>
      </c>
      <c r="M793" s="1">
        <f t="shared" si="51"/>
        <v>-8.8465320807537134E-2</v>
      </c>
      <c r="N793" s="1">
        <f t="shared" si="52"/>
        <v>3323761.19806924</v>
      </c>
      <c r="O793" s="1"/>
    </row>
    <row r="794" spans="1:15" x14ac:dyDescent="0.25">
      <c r="A794">
        <v>1222</v>
      </c>
      <c r="B794">
        <v>52437.800320000002</v>
      </c>
      <c r="C794" s="1">
        <v>-2.2000000000000001E-7</v>
      </c>
      <c r="D794">
        <v>223530.38769999999</v>
      </c>
      <c r="E794" s="1">
        <v>-3.04E-5</v>
      </c>
      <c r="F794">
        <v>831388.85600000003</v>
      </c>
      <c r="G794">
        <v>9839.723747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-3.0643796957559501E-3</v>
      </c>
      <c r="M794" s="1">
        <f t="shared" si="51"/>
        <v>-0.14201578405394286</v>
      </c>
      <c r="N794" s="1">
        <f t="shared" si="52"/>
        <v>21507484.374403875</v>
      </c>
      <c r="O794" s="1"/>
    </row>
    <row r="795" spans="1:15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3.68E-5</v>
      </c>
      <c r="F795">
        <v>330086.8615</v>
      </c>
      <c r="G795">
        <v>0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4.1517401740276801E-2</v>
      </c>
      <c r="M795" s="1">
        <f t="shared" si="51"/>
        <v>0.17311289174698369</v>
      </c>
      <c r="N795" s="1">
        <f t="shared" si="52"/>
        <v>0</v>
      </c>
      <c r="O795" s="1"/>
    </row>
    <row r="796" spans="1:15" x14ac:dyDescent="0.25">
      <c r="A796">
        <v>1224</v>
      </c>
      <c r="B796">
        <v>83605.746010000003</v>
      </c>
      <c r="C796" s="1">
        <v>4.2400000000000001E-6</v>
      </c>
      <c r="D796">
        <v>274926.56800000003</v>
      </c>
      <c r="E796" s="1">
        <v>-4.6E-5</v>
      </c>
      <c r="F796">
        <v>1054049.699</v>
      </c>
      <c r="G796">
        <v>1882.282424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4.1112293151758406E-2</v>
      </c>
      <c r="M796" s="1">
        <f t="shared" si="51"/>
        <v>-0.1495914643417392</v>
      </c>
      <c r="N796" s="1">
        <f t="shared" si="52"/>
        <v>2864029.2360699642</v>
      </c>
      <c r="O796" s="1"/>
    </row>
    <row r="797" spans="1:15" x14ac:dyDescent="0.25">
      <c r="A797">
        <v>1225</v>
      </c>
      <c r="B797">
        <v>12840.07483</v>
      </c>
      <c r="C797" s="1">
        <v>5.9999999999999995E-8</v>
      </c>
      <c r="D797">
        <v>104497.5563</v>
      </c>
      <c r="E797" s="1">
        <v>4.2699999999999998E-6</v>
      </c>
      <c r="F797">
        <v>301592.23499999999</v>
      </c>
      <c r="G797" s="1">
        <v>-8.1000000000000004E-6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5.8944009196409985E-4</v>
      </c>
      <c r="M797" s="1">
        <f t="shared" si="51"/>
        <v>1.4068877025787232E-2</v>
      </c>
      <c r="N797" s="1">
        <f t="shared" si="52"/>
        <v>-1.2487061640531781E-2</v>
      </c>
      <c r="O797" s="1"/>
    </row>
    <row r="798" spans="1:15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1.0200000000000001E-5</v>
      </c>
      <c r="F798">
        <v>593971.34080000001</v>
      </c>
      <c r="G798">
        <v>0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5.5674084638322803E-2</v>
      </c>
      <c r="M798" s="1">
        <f t="shared" si="51"/>
        <v>5.536533747843228E-2</v>
      </c>
      <c r="N798" s="1">
        <f t="shared" si="52"/>
        <v>0</v>
      </c>
      <c r="O798" s="1"/>
    </row>
    <row r="799" spans="1:15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-4.0500000000000002E-5</v>
      </c>
      <c r="F799">
        <v>863222.88199999998</v>
      </c>
      <c r="G799">
        <v>1212.8368829999999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-1.10011339338329E-2</v>
      </c>
      <c r="M799" s="1">
        <f t="shared" si="51"/>
        <v>-7.0485494558643447E-2</v>
      </c>
      <c r="N799" s="1">
        <f t="shared" si="52"/>
        <v>987622.1051938266</v>
      </c>
      <c r="O799" s="1"/>
    </row>
    <row r="800" spans="1:15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1.9599999999999999E-5</v>
      </c>
      <c r="F800">
        <v>509231.19380000001</v>
      </c>
      <c r="G800">
        <v>0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-5.8129007415853737E-2</v>
      </c>
      <c r="M800" s="1">
        <f t="shared" si="51"/>
        <v>9.0334105432427633E-2</v>
      </c>
      <c r="N800" s="1">
        <f t="shared" si="52"/>
        <v>0</v>
      </c>
      <c r="O800" s="1"/>
    </row>
    <row r="801" spans="1:15" x14ac:dyDescent="0.25">
      <c r="A801">
        <v>1229</v>
      </c>
      <c r="B801">
        <v>7326.4723459999996</v>
      </c>
      <c r="C801" s="1">
        <v>-2.2999999999999999E-7</v>
      </c>
      <c r="D801">
        <v>81230.504679999998</v>
      </c>
      <c r="E801" s="1">
        <v>6.5E-8</v>
      </c>
      <c r="F801">
        <v>248645.3731</v>
      </c>
      <c r="G801">
        <v>0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-3.1050160376826503E-3</v>
      </c>
      <c r="M801" s="1">
        <f t="shared" si="51"/>
        <v>2.9430152009339897E-4</v>
      </c>
      <c r="N801" s="1">
        <f t="shared" si="52"/>
        <v>0</v>
      </c>
      <c r="O801" s="1"/>
    </row>
    <row r="802" spans="1:15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4.1699999999999997E-5</v>
      </c>
      <c r="F802">
        <v>346418.43859999999</v>
      </c>
      <c r="G802" s="1">
        <v>-3.4100000000000002E-5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-6.0904293021128708E-2</v>
      </c>
      <c r="M802" s="1">
        <f t="shared" si="51"/>
        <v>0.22774848463096359</v>
      </c>
      <c r="N802" s="1">
        <f t="shared" si="52"/>
        <v>-8.7139988476384156E-2</v>
      </c>
      <c r="O802" s="1"/>
    </row>
    <row r="803" spans="1:15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-4.2200000000000003E-5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1.0942405794508501E-2</v>
      </c>
      <c r="M803" s="1">
        <f t="shared" si="51"/>
        <v>1.9267051433561503E-2</v>
      </c>
      <c r="N803" s="1">
        <f t="shared" si="52"/>
        <v>-0.20128415171744615</v>
      </c>
      <c r="O803" s="1"/>
    </row>
    <row r="804" spans="1:15" x14ac:dyDescent="0.25">
      <c r="A804">
        <v>1234</v>
      </c>
      <c r="B804">
        <v>3537.9582500000001</v>
      </c>
      <c r="C804" s="1">
        <v>1.07E-8</v>
      </c>
      <c r="D804">
        <v>55722.708400000003</v>
      </c>
      <c r="E804" s="1">
        <v>4.0500000000000002E-6</v>
      </c>
      <c r="F804">
        <v>169442.6195</v>
      </c>
      <c r="G804">
        <v>0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2.1110666023442775E-4</v>
      </c>
      <c r="M804" s="1">
        <f t="shared" si="51"/>
        <v>2.6798859859234546E-2</v>
      </c>
      <c r="N804" s="1">
        <f t="shared" si="52"/>
        <v>0</v>
      </c>
      <c r="O804" s="1"/>
    </row>
    <row r="805" spans="1:15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-3.4599999999999999E-6</v>
      </c>
      <c r="F805">
        <v>168622.40979999999</v>
      </c>
      <c r="G805">
        <v>0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-9.1247129278188011E-3</v>
      </c>
      <c r="M805" s="1">
        <f t="shared" si="51"/>
        <v>-2.3018690525736338E-2</v>
      </c>
      <c r="N805" s="1">
        <f t="shared" si="52"/>
        <v>0</v>
      </c>
      <c r="O805" s="1"/>
    </row>
    <row r="806" spans="1:15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-4.16E-6</v>
      </c>
      <c r="F806">
        <v>156636.46309999999</v>
      </c>
      <c r="G806">
        <v>0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3.0984461472237006E-3</v>
      </c>
      <c r="M806" s="1">
        <f t="shared" si="51"/>
        <v>-3.0878229032903617E-2</v>
      </c>
      <c r="N806" s="1">
        <f t="shared" si="52"/>
        <v>0</v>
      </c>
      <c r="O806" s="1"/>
    </row>
    <row r="807" spans="1:15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1.6300000000000001E-6</v>
      </c>
      <c r="F807">
        <v>215540.4762</v>
      </c>
      <c r="G807">
        <v>0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3.6295368235376257E-3</v>
      </c>
      <c r="M807" s="1">
        <f t="shared" si="51"/>
        <v>6.0126788572301146E-3</v>
      </c>
      <c r="N807" s="1">
        <f t="shared" si="52"/>
        <v>0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 s="1">
        <v>5.1099999999999996E-7</v>
      </c>
      <c r="F808">
        <v>41897.065580000002</v>
      </c>
      <c r="G808" s="1">
        <v>-4.2899999999999996E-6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1.2668466457675592E-2</v>
      </c>
      <c r="N808" s="1">
        <f t="shared" si="52"/>
        <v>-4.9762720628284948E-2</v>
      </c>
      <c r="O808" s="1"/>
    </row>
    <row r="809" spans="1:15" x14ac:dyDescent="0.25">
      <c r="A809">
        <v>1239</v>
      </c>
      <c r="B809">
        <v>4122.5940499999997</v>
      </c>
      <c r="C809" s="1">
        <v>-2.8900000000000001E-7</v>
      </c>
      <c r="D809">
        <v>46744.500269999997</v>
      </c>
      <c r="E809" s="1">
        <v>4.9400000000000001E-6</v>
      </c>
      <c r="F809">
        <v>157281.76620000001</v>
      </c>
      <c r="G809">
        <v>0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-5.4130132718421186E-3</v>
      </c>
      <c r="M809" s="1">
        <f t="shared" si="51"/>
        <v>3.1032112071930872E-2</v>
      </c>
      <c r="N809" s="1">
        <f t="shared" si="52"/>
        <v>0</v>
      </c>
      <c r="O809" s="1"/>
    </row>
    <row r="810" spans="1:15" x14ac:dyDescent="0.25">
      <c r="A810">
        <v>1240</v>
      </c>
      <c r="B810">
        <v>2320.2161999999998</v>
      </c>
      <c r="C810" s="1">
        <v>-5.9999999999999995E-8</v>
      </c>
      <c r="D810">
        <v>43364.248720000003</v>
      </c>
      <c r="E810" s="1">
        <v>-3.8700000000000002E-6</v>
      </c>
      <c r="F810">
        <v>162611.1483</v>
      </c>
      <c r="G810">
        <v>0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-1.4413190033131498E-3</v>
      </c>
      <c r="M810" s="1">
        <f t="shared" si="51"/>
        <v>-3.1179056162440311E-2</v>
      </c>
      <c r="N810" s="1">
        <f t="shared" si="52"/>
        <v>0</v>
      </c>
      <c r="O810" s="1"/>
    </row>
    <row r="811" spans="1:15" x14ac:dyDescent="0.25">
      <c r="A811">
        <v>1241</v>
      </c>
      <c r="B811">
        <v>2156.457034</v>
      </c>
      <c r="C811" s="1">
        <v>-2.4900000000000002E-7</v>
      </c>
      <c r="D811">
        <v>36368.226390000003</v>
      </c>
      <c r="E811" s="1">
        <v>-3.6600000000000001E-6</v>
      </c>
      <c r="F811">
        <v>148869.27499999999</v>
      </c>
      <c r="G811">
        <v>0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-8.1178613791031261E-3</v>
      </c>
      <c r="M811" s="1">
        <f t="shared" si="51"/>
        <v>-4.0019025252757502E-2</v>
      </c>
      <c r="N811" s="1">
        <f t="shared" si="52"/>
        <v>0</v>
      </c>
      <c r="O811" s="1"/>
    </row>
    <row r="812" spans="1:15" x14ac:dyDescent="0.25">
      <c r="A812">
        <v>1242</v>
      </c>
      <c r="B812">
        <v>2748.0295580000002</v>
      </c>
      <c r="C812" s="1">
        <v>-5.9999999999999995E-8</v>
      </c>
      <c r="D812">
        <v>35117.74065</v>
      </c>
      <c r="E812" s="1">
        <v>1.64E-6</v>
      </c>
      <c r="F812">
        <v>152359.09450000001</v>
      </c>
      <c r="G812">
        <v>0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-1.6567053742823998E-3</v>
      </c>
      <c r="M812" s="1">
        <f t="shared" si="51"/>
        <v>1.5187315523421631E-2</v>
      </c>
      <c r="N812" s="1">
        <f t="shared" si="52"/>
        <v>0</v>
      </c>
      <c r="O812" s="1"/>
    </row>
    <row r="813" spans="1:15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1.55E-6</v>
      </c>
      <c r="F813">
        <v>135273.6452</v>
      </c>
      <c r="G813">
        <v>0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1.23556967280825E-2</v>
      </c>
      <c r="M813" s="1">
        <f t="shared" si="51"/>
        <v>2.1410204740610651E-2</v>
      </c>
      <c r="N813" s="1">
        <f t="shared" si="52"/>
        <v>0</v>
      </c>
      <c r="O813" s="1"/>
    </row>
    <row r="814" spans="1:15" x14ac:dyDescent="0.25">
      <c r="A814">
        <v>1244</v>
      </c>
      <c r="B814">
        <v>1891.471898</v>
      </c>
      <c r="C814" s="1">
        <v>-1.8900000000000001E-7</v>
      </c>
      <c r="D814">
        <v>26737.779439999998</v>
      </c>
      <c r="E814" s="1">
        <v>4.5499999999999996E-6</v>
      </c>
      <c r="F814">
        <v>140260.74359999999</v>
      </c>
      <c r="G814">
        <v>0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-6.0720939574024279E-3</v>
      </c>
      <c r="M814" s="1">
        <f t="shared" si="51"/>
        <v>4.9026536396804779E-2</v>
      </c>
      <c r="N814" s="1">
        <f t="shared" si="52"/>
        <v>0</v>
      </c>
      <c r="O814" s="1"/>
    </row>
    <row r="815" spans="1:15" x14ac:dyDescent="0.25">
      <c r="A815">
        <v>1245</v>
      </c>
      <c r="B815">
        <v>6068.5516740000003</v>
      </c>
      <c r="C815">
        <v>0</v>
      </c>
      <c r="D815">
        <v>16883.362499999999</v>
      </c>
      <c r="E815" s="1">
        <v>8.5099999999999998E-7</v>
      </c>
      <c r="F815">
        <v>109643.4547</v>
      </c>
      <c r="G815">
        <v>0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0</v>
      </c>
      <c r="M815" s="1">
        <f t="shared" si="51"/>
        <v>7.3540026939296942E-3</v>
      </c>
      <c r="N815" s="1">
        <f t="shared" si="52"/>
        <v>0</v>
      </c>
      <c r="O815" s="1"/>
    </row>
    <row r="816" spans="1:15" x14ac:dyDescent="0.25">
      <c r="A816">
        <v>1246</v>
      </c>
      <c r="B816">
        <v>20108.659149999999</v>
      </c>
      <c r="C816">
        <v>0</v>
      </c>
      <c r="D816">
        <v>94746.760389999996</v>
      </c>
      <c r="E816" s="1">
        <v>-4.1899999999999998E-7</v>
      </c>
      <c r="F816">
        <v>181921.86249999999</v>
      </c>
      <c r="G816">
        <v>0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0</v>
      </c>
      <c r="M816" s="1">
        <f t="shared" si="51"/>
        <v>-5.0219924290664623E-3</v>
      </c>
      <c r="N816" s="1">
        <f t="shared" si="52"/>
        <v>0</v>
      </c>
      <c r="O816" s="1"/>
    </row>
    <row r="817" spans="1:15" x14ac:dyDescent="0.25">
      <c r="A817">
        <v>1249</v>
      </c>
      <c r="B817">
        <v>8423.59843</v>
      </c>
      <c r="C817" s="1">
        <v>-2.3999999999999998E-7</v>
      </c>
      <c r="D817">
        <v>89124.985560000001</v>
      </c>
      <c r="E817" s="1">
        <v>-1.86E-6</v>
      </c>
      <c r="F817">
        <v>287021.26370000001</v>
      </c>
      <c r="G817" s="1">
        <v>-2.6400000000000001E-5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-3.5957240204495997E-3</v>
      </c>
      <c r="M817" s="1">
        <f t="shared" si="51"/>
        <v>-9.3461165116147677E-3</v>
      </c>
      <c r="N817" s="1">
        <f t="shared" si="52"/>
        <v>-6.2067728476068486E-2</v>
      </c>
      <c r="O817" s="1"/>
    </row>
    <row r="818" spans="1:15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3.1E-6</v>
      </c>
      <c r="F818">
        <v>206772.1232</v>
      </c>
      <c r="G818">
        <v>0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-1.621704448351975E-3</v>
      </c>
      <c r="M818" s="1">
        <f t="shared" si="51"/>
        <v>1.2969797233091889E-2</v>
      </c>
      <c r="N818" s="1">
        <f t="shared" si="52"/>
        <v>0</v>
      </c>
      <c r="O818" s="1"/>
    </row>
    <row r="819" spans="1:15" x14ac:dyDescent="0.25">
      <c r="A819">
        <v>1251</v>
      </c>
      <c r="B819">
        <v>6259.944904</v>
      </c>
      <c r="C819">
        <v>0</v>
      </c>
      <c r="D819">
        <v>84271.035080000001</v>
      </c>
      <c r="E819" s="1">
        <v>1.1000000000000001E-7</v>
      </c>
      <c r="F819">
        <v>253618.68429999999</v>
      </c>
      <c r="G819" s="1">
        <v>-4.21E-5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0</v>
      </c>
      <c r="M819" s="1">
        <f t="shared" si="51"/>
        <v>6.6842448119299597E-4</v>
      </c>
      <c r="N819" s="1">
        <f t="shared" si="52"/>
        <v>-0.11969759829603685</v>
      </c>
      <c r="O819" s="1"/>
    </row>
    <row r="820" spans="1:15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-4.3900000000000003E-5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-8.8277569979657491E-3</v>
      </c>
      <c r="M820" s="1">
        <f t="shared" si="51"/>
        <v>4.327837826704059E-2</v>
      </c>
      <c r="N820" s="1">
        <f t="shared" si="52"/>
        <v>-0.17886393794339836</v>
      </c>
      <c r="O820" s="1"/>
    </row>
    <row r="821" spans="1:15" x14ac:dyDescent="0.25">
      <c r="A821">
        <v>1253</v>
      </c>
      <c r="B821">
        <v>27088.515719999999</v>
      </c>
      <c r="C821" s="1">
        <v>1.9E-6</v>
      </c>
      <c r="D821">
        <v>156958.0644</v>
      </c>
      <c r="E821" s="1">
        <v>-2.4600000000000002E-5</v>
      </c>
      <c r="F821">
        <v>447965.1323</v>
      </c>
      <c r="G821">
        <v>4625.4966270000004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2.2110337412254003E-2</v>
      </c>
      <c r="M821" s="1">
        <f t="shared" si="51"/>
        <v>-9.6010783380109932E-2</v>
      </c>
      <c r="N821" s="1">
        <f t="shared" si="52"/>
        <v>8446697.7283123136</v>
      </c>
      <c r="O821" s="1"/>
    </row>
    <row r="822" spans="1:15" x14ac:dyDescent="0.25">
      <c r="A822">
        <v>1254</v>
      </c>
      <c r="B822">
        <v>9601.5373920000002</v>
      </c>
      <c r="C822">
        <v>0</v>
      </c>
      <c r="D822">
        <v>89568.245209999994</v>
      </c>
      <c r="E822" s="1">
        <v>-1.6500000000000001E-6</v>
      </c>
      <c r="F822">
        <v>271252.99129999999</v>
      </c>
      <c r="G822">
        <v>0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0</v>
      </c>
      <c r="M822" s="1">
        <f t="shared" si="51"/>
        <v>-1.4030731722246691E-2</v>
      </c>
      <c r="N822" s="1">
        <f t="shared" si="52"/>
        <v>0</v>
      </c>
      <c r="O822" s="1"/>
    </row>
    <row r="823" spans="1:15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-4.4700000000000004E-6</v>
      </c>
      <c r="F823">
        <v>274581.69160000002</v>
      </c>
      <c r="G823" s="1">
        <v>-2.0299999999999999E-5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-4.7060240264470886E-2</v>
      </c>
      <c r="M823" s="1">
        <f t="shared" si="51"/>
        <v>-3.3436618102891939E-2</v>
      </c>
      <c r="N823" s="1">
        <f t="shared" si="52"/>
        <v>-7.1048438564792857E-2</v>
      </c>
      <c r="O823" s="1"/>
    </row>
    <row r="824" spans="1:15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-1.68E-6</v>
      </c>
      <c r="F824">
        <v>247080.8873</v>
      </c>
      <c r="G824" s="1">
        <v>-3.6199999999999999E-5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1.8608210436582E-2</v>
      </c>
      <c r="M824" s="1">
        <f t="shared" si="51"/>
        <v>-2.9124235001255518E-2</v>
      </c>
      <c r="N824" s="1">
        <f t="shared" si="52"/>
        <v>-0.2936280180172452</v>
      </c>
      <c r="O824" s="1"/>
    </row>
    <row r="825" spans="1:15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>
        <v>0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-7.5940345152749993E-3</v>
      </c>
      <c r="M825" s="1">
        <f t="shared" si="51"/>
        <v>-4.4061756570627893E-2</v>
      </c>
      <c r="N825" s="1">
        <f t="shared" si="52"/>
        <v>0</v>
      </c>
      <c r="O825" s="1"/>
    </row>
    <row r="826" spans="1:15" x14ac:dyDescent="0.25">
      <c r="A826">
        <v>1260</v>
      </c>
      <c r="B826">
        <v>3312.268994</v>
      </c>
      <c r="C826" s="1">
        <v>9.9999999999999995E-8</v>
      </c>
      <c r="D826">
        <v>90494.274940000003</v>
      </c>
      <c r="E826" s="1">
        <v>-3.01E-6</v>
      </c>
      <c r="F826">
        <v>210922.65359999999</v>
      </c>
      <c r="G826">
        <v>0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2.5974060483149996E-3</v>
      </c>
      <c r="M826" s="1">
        <f t="shared" si="51"/>
        <v>-2.6221013858205178E-2</v>
      </c>
      <c r="N826" s="1">
        <f t="shared" si="52"/>
        <v>0</v>
      </c>
      <c r="O826" s="1"/>
    </row>
    <row r="827" spans="1:15" x14ac:dyDescent="0.25">
      <c r="A827">
        <v>1261</v>
      </c>
      <c r="B827">
        <v>8937.2128499999999</v>
      </c>
      <c r="C827" s="1">
        <v>-3.1E-7</v>
      </c>
      <c r="D827">
        <v>109649.98850000001</v>
      </c>
      <c r="E827">
        <v>0</v>
      </c>
      <c r="F827">
        <v>299237.63819999999</v>
      </c>
      <c r="G827">
        <v>0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-5.5760261133859755E-3</v>
      </c>
      <c r="M827" s="1">
        <f t="shared" si="51"/>
        <v>0</v>
      </c>
      <c r="N827" s="1">
        <f t="shared" si="52"/>
        <v>0</v>
      </c>
      <c r="O827" s="1"/>
    </row>
    <row r="828" spans="1:15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-2.1100000000000001E-6</v>
      </c>
      <c r="F828">
        <v>203471.42939999999</v>
      </c>
      <c r="G828">
        <v>0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4.85530969889875E-3</v>
      </c>
      <c r="M828" s="1">
        <f t="shared" si="51"/>
        <v>-1.3743663724919676E-2</v>
      </c>
      <c r="N828" s="1">
        <f t="shared" si="52"/>
        <v>0</v>
      </c>
      <c r="O828" s="1"/>
    </row>
    <row r="829" spans="1:15" x14ac:dyDescent="0.25">
      <c r="A829">
        <v>1263</v>
      </c>
      <c r="B829">
        <v>23155.963810000001</v>
      </c>
      <c r="C829" s="1">
        <v>2.7499999999999999E-6</v>
      </c>
      <c r="D829">
        <v>143507.43049999999</v>
      </c>
      <c r="E829">
        <v>0</v>
      </c>
      <c r="F829">
        <v>310602.46100000001</v>
      </c>
      <c r="G829">
        <v>0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0.13379819650608127</v>
      </c>
      <c r="M829" s="1">
        <f t="shared" si="51"/>
        <v>0</v>
      </c>
      <c r="N829" s="1">
        <f t="shared" si="52"/>
        <v>0</v>
      </c>
      <c r="O829" s="1"/>
    </row>
    <row r="830" spans="1:15" x14ac:dyDescent="0.25">
      <c r="A830">
        <v>1264</v>
      </c>
      <c r="B830">
        <v>12059.24469</v>
      </c>
      <c r="C830" s="1">
        <v>3.4999999999999998E-7</v>
      </c>
      <c r="D830">
        <v>65530.043360000003</v>
      </c>
      <c r="E830" s="1">
        <v>8.4999999999999994E-8</v>
      </c>
      <c r="F830">
        <v>217454.56450000001</v>
      </c>
      <c r="G830">
        <v>0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4.0517153507626255E-3</v>
      </c>
      <c r="M830" s="1">
        <f t="shared" si="51"/>
        <v>3.3001444153684149E-4</v>
      </c>
      <c r="N830" s="1">
        <f t="shared" si="52"/>
        <v>0</v>
      </c>
      <c r="O830" s="1"/>
    </row>
    <row r="831" spans="1:15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-4.16E-6</v>
      </c>
      <c r="F831">
        <v>304312.31270000001</v>
      </c>
      <c r="G831">
        <v>0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-1.5059188548881752E-2</v>
      </c>
      <c r="M831" s="1">
        <f t="shared" si="51"/>
        <v>-1.8270069446434625E-2</v>
      </c>
      <c r="N831" s="1">
        <f t="shared" si="52"/>
        <v>0</v>
      </c>
      <c r="O831" s="1"/>
    </row>
    <row r="832" spans="1:15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2.8700000000000001E-6</v>
      </c>
      <c r="F832">
        <v>253573.34830000001</v>
      </c>
      <c r="G832">
        <v>0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0.12999249165842713</v>
      </c>
      <c r="M832" s="1">
        <f t="shared" si="51"/>
        <v>2.749995006965732E-2</v>
      </c>
      <c r="N832" s="1">
        <f t="shared" si="52"/>
        <v>0</v>
      </c>
      <c r="O832" s="1"/>
    </row>
    <row r="833" spans="1:15" x14ac:dyDescent="0.25">
      <c r="A833">
        <v>1267</v>
      </c>
      <c r="B833">
        <v>24540.27059</v>
      </c>
      <c r="C833" s="1">
        <v>2.9399999999999998E-6</v>
      </c>
      <c r="D833">
        <v>156269.94930000001</v>
      </c>
      <c r="E833">
        <v>0</v>
      </c>
      <c r="F833">
        <v>470534.64159999997</v>
      </c>
      <c r="G833">
        <v>0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3.5396476702204797E-2</v>
      </c>
      <c r="M833" s="1">
        <f t="shared" si="51"/>
        <v>0</v>
      </c>
      <c r="N833" s="1">
        <f t="shared" si="52"/>
        <v>0</v>
      </c>
      <c r="O833" s="1"/>
    </row>
    <row r="834" spans="1:15" x14ac:dyDescent="0.25">
      <c r="A834">
        <v>1270</v>
      </c>
      <c r="B834">
        <v>5264.1664899999996</v>
      </c>
      <c r="C834">
        <v>0</v>
      </c>
      <c r="D834">
        <v>102220.8447</v>
      </c>
      <c r="E834">
        <v>0</v>
      </c>
      <c r="F834">
        <v>272491.08260000002</v>
      </c>
      <c r="G834">
        <v>0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0</v>
      </c>
      <c r="M834" s="1">
        <f t="shared" si="51"/>
        <v>0</v>
      </c>
      <c r="N834" s="1">
        <f t="shared" si="52"/>
        <v>0</v>
      </c>
      <c r="O834" s="1"/>
    </row>
    <row r="835" spans="1:15" x14ac:dyDescent="0.25">
      <c r="A835">
        <v>1271</v>
      </c>
      <c r="B835">
        <v>25623.535650000002</v>
      </c>
      <c r="C835">
        <v>0</v>
      </c>
      <c r="D835">
        <v>110671.757</v>
      </c>
      <c r="E835">
        <v>0</v>
      </c>
      <c r="F835">
        <v>320394.62560000003</v>
      </c>
      <c r="G835">
        <v>0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0</v>
      </c>
      <c r="M835" s="1">
        <f t="shared" ref="M835:M898" si="55">$U$3*$K835*E835</f>
        <v>0</v>
      </c>
      <c r="N835" s="1">
        <f t="shared" ref="N835:N898" si="56">$U$4*$K835*G835</f>
        <v>0</v>
      </c>
      <c r="O835" s="1"/>
    </row>
    <row r="836" spans="1:15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>
        <v>0</v>
      </c>
      <c r="F836">
        <v>283637.66619999998</v>
      </c>
      <c r="G836">
        <v>0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4.2587874725204262E-2</v>
      </c>
      <c r="M836" s="1">
        <f t="shared" si="55"/>
        <v>0</v>
      </c>
      <c r="N836" s="1">
        <f t="shared" si="56"/>
        <v>0</v>
      </c>
      <c r="O836" s="1"/>
    </row>
    <row r="837" spans="1:15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9.95E-7</v>
      </c>
      <c r="F837">
        <v>341936.05979999999</v>
      </c>
      <c r="G837">
        <v>0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5.3458220684919053E-2</v>
      </c>
      <c r="M837" s="1">
        <f t="shared" si="55"/>
        <v>3.973144645799483E-3</v>
      </c>
      <c r="N837" s="1">
        <f t="shared" si="56"/>
        <v>0</v>
      </c>
      <c r="O837" s="1"/>
    </row>
    <row r="838" spans="1:15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2.0599999999999999E-5</v>
      </c>
      <c r="F838">
        <v>322560.92070000002</v>
      </c>
      <c r="G838">
        <v>0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-5.1332527358899156E-2</v>
      </c>
      <c r="M838" s="1">
        <f t="shared" si="55"/>
        <v>9.8241685004621493E-2</v>
      </c>
      <c r="N838" s="1">
        <f t="shared" si="56"/>
        <v>0</v>
      </c>
      <c r="O838" s="1"/>
    </row>
    <row r="839" spans="1:15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-3.8099999999999999E-6</v>
      </c>
      <c r="F839">
        <v>236422.44010000001</v>
      </c>
      <c r="G839">
        <v>0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6.074764584533451E-3</v>
      </c>
      <c r="M839" s="1">
        <f t="shared" si="55"/>
        <v>-4.0854882337018568E-2</v>
      </c>
      <c r="N839" s="1">
        <f t="shared" si="56"/>
        <v>0</v>
      </c>
      <c r="O839" s="1"/>
    </row>
    <row r="840" spans="1:15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>
        <v>0</v>
      </c>
      <c r="F840">
        <v>336856.49829999998</v>
      </c>
      <c r="G840">
        <v>0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6.8153645328099824E-2</v>
      </c>
      <c r="M840" s="1">
        <f t="shared" si="55"/>
        <v>0</v>
      </c>
      <c r="N840" s="1">
        <f t="shared" si="56"/>
        <v>0</v>
      </c>
      <c r="O840" s="1"/>
    </row>
    <row r="841" spans="1:15" x14ac:dyDescent="0.25">
      <c r="A841">
        <v>1277</v>
      </c>
      <c r="B841">
        <v>67248.419569999998</v>
      </c>
      <c r="C841" s="1">
        <v>2.2699999999999999E-6</v>
      </c>
      <c r="D841">
        <v>243379.11929999999</v>
      </c>
      <c r="E841">
        <v>0</v>
      </c>
      <c r="F841">
        <v>818773.65289999999</v>
      </c>
      <c r="G841">
        <v>13998.898230000001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1.206789738268335E-2</v>
      </c>
      <c r="M841" s="1">
        <f t="shared" si="55"/>
        <v>0</v>
      </c>
      <c r="N841" s="1">
        <f t="shared" si="56"/>
        <v>11678482.728327546</v>
      </c>
      <c r="O841" s="1"/>
    </row>
    <row r="842" spans="1:15" x14ac:dyDescent="0.25">
      <c r="A842">
        <v>1278</v>
      </c>
      <c r="B842">
        <v>9881.4718310000007</v>
      </c>
      <c r="C842" s="1">
        <v>3.4999999999999998E-7</v>
      </c>
      <c r="D842">
        <v>94500.422409999999</v>
      </c>
      <c r="E842" s="1">
        <v>2.0999999999999998E-6</v>
      </c>
      <c r="F842">
        <v>273381.53379999998</v>
      </c>
      <c r="G842">
        <v>0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7.2157716016863762E-3</v>
      </c>
      <c r="M842" s="1">
        <f t="shared" si="55"/>
        <v>1.4520352700008891E-2</v>
      </c>
      <c r="N842" s="1">
        <f t="shared" si="56"/>
        <v>0</v>
      </c>
      <c r="O842" s="1"/>
    </row>
    <row r="843" spans="1:15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3.5899999999999999E-6</v>
      </c>
      <c r="F843">
        <v>271961.32750000001</v>
      </c>
      <c r="G843">
        <v>0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7.0215594729052498E-3</v>
      </c>
      <c r="M843" s="1">
        <f t="shared" si="55"/>
        <v>1.8787052563026006E-2</v>
      </c>
      <c r="N843" s="1">
        <f t="shared" si="56"/>
        <v>0</v>
      </c>
      <c r="O843" s="1"/>
    </row>
    <row r="844" spans="1:15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-2.4700000000000001E-6</v>
      </c>
      <c r="F844">
        <v>313284.36739999999</v>
      </c>
      <c r="G844">
        <v>0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-4.1969140055293751E-3</v>
      </c>
      <c r="M844" s="1">
        <f t="shared" si="55"/>
        <v>-1.3906894248722138E-2</v>
      </c>
      <c r="N844" s="1">
        <f t="shared" si="56"/>
        <v>0</v>
      </c>
      <c r="O844" s="1"/>
    </row>
    <row r="845" spans="1:15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>
        <v>0</v>
      </c>
      <c r="F845">
        <v>518717.25660000002</v>
      </c>
      <c r="G845">
        <v>8249.5908770000005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-1.1065403073397397E-2</v>
      </c>
      <c r="M845" s="1">
        <f t="shared" si="55"/>
        <v>0</v>
      </c>
      <c r="N845" s="1">
        <f t="shared" si="56"/>
        <v>12348905.730705505</v>
      </c>
      <c r="O845" s="1"/>
    </row>
    <row r="846" spans="1:15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-1.86E-6</v>
      </c>
      <c r="F846">
        <v>139042.4051</v>
      </c>
      <c r="G846">
        <v>0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-9.6120082084260004E-3</v>
      </c>
      <c r="M846" s="1">
        <f t="shared" si="55"/>
        <v>-1.9987061991551664E-2</v>
      </c>
      <c r="N846" s="1">
        <f t="shared" si="56"/>
        <v>0</v>
      </c>
      <c r="O846" s="1"/>
    </row>
    <row r="847" spans="1:15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-1.8500000000000001E-6</v>
      </c>
      <c r="F847">
        <v>159787.5</v>
      </c>
      <c r="G847">
        <v>0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-1.0183433259869999E-2</v>
      </c>
      <c r="M847" s="1">
        <f t="shared" si="55"/>
        <v>-2.10614288907978E-2</v>
      </c>
      <c r="N847" s="1">
        <f t="shared" si="56"/>
        <v>0</v>
      </c>
      <c r="O847" s="1"/>
    </row>
    <row r="848" spans="1:15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-3.5999999999999998E-6</v>
      </c>
      <c r="F848">
        <v>123670.7518</v>
      </c>
      <c r="G848">
        <v>0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-1.2096706392615002E-2</v>
      </c>
      <c r="M848" s="1">
        <f t="shared" si="55"/>
        <v>-4.8684590650893603E-2</v>
      </c>
      <c r="N848" s="1">
        <f t="shared" si="56"/>
        <v>0</v>
      </c>
      <c r="O848" s="1"/>
    </row>
    <row r="849" spans="1:15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-3.3500000000000001E-6</v>
      </c>
      <c r="F849">
        <v>172844.63440000001</v>
      </c>
      <c r="G849">
        <v>0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9.9741808841999988E-3</v>
      </c>
      <c r="M849" s="1">
        <f t="shared" si="55"/>
        <v>-3.7354586152467999E-2</v>
      </c>
      <c r="N849" s="1">
        <f t="shared" si="56"/>
        <v>0</v>
      </c>
      <c r="O849" s="1"/>
    </row>
    <row r="850" spans="1:15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3.89E-6</v>
      </c>
      <c r="F850">
        <v>249720.9382</v>
      </c>
      <c r="G850">
        <v>0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-0.21581595005152002</v>
      </c>
      <c r="M850" s="1">
        <f t="shared" si="55"/>
        <v>8.7988577866677881E-2</v>
      </c>
      <c r="N850" s="1">
        <f t="shared" si="56"/>
        <v>0</v>
      </c>
      <c r="O850" s="1"/>
    </row>
    <row r="851" spans="1:15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5.6999999999999996E-6</v>
      </c>
      <c r="F851">
        <v>410275.17570000002</v>
      </c>
      <c r="G851">
        <v>819.61370269999998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9.5152748978437798E-2</v>
      </c>
      <c r="M851" s="1">
        <f t="shared" si="55"/>
        <v>4.4584014283788394E-2</v>
      </c>
      <c r="N851" s="1">
        <f t="shared" si="56"/>
        <v>2999557.5735500408</v>
      </c>
      <c r="O851" s="1"/>
    </row>
    <row r="852" spans="1:15" x14ac:dyDescent="0.25">
      <c r="A852">
        <v>1301</v>
      </c>
      <c r="B852">
        <v>25970.665929999999</v>
      </c>
      <c r="C852">
        <v>0</v>
      </c>
      <c r="D852">
        <v>116800.7081</v>
      </c>
      <c r="E852">
        <v>0</v>
      </c>
      <c r="F852">
        <v>335142.74609999999</v>
      </c>
      <c r="G852" s="1">
        <v>4.3300000000000002E-5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0</v>
      </c>
      <c r="M852" s="1">
        <f t="shared" si="55"/>
        <v>0</v>
      </c>
      <c r="N852" s="1">
        <f t="shared" si="56"/>
        <v>8.4800736570535745E-2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4.6900000000000002E-5</v>
      </c>
      <c r="F854">
        <v>637112.21860000002</v>
      </c>
      <c r="G854" s="1">
        <v>-4.1499999999999999E-5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3.4443557310316709E-2</v>
      </c>
      <c r="M854" s="1">
        <f t="shared" si="55"/>
        <v>0.20215718636747418</v>
      </c>
      <c r="N854" s="1">
        <f t="shared" si="56"/>
        <v>-8.3696657918812048E-2</v>
      </c>
      <c r="O854" s="1"/>
    </row>
    <row r="855" spans="1:15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2.3799999999999999E-5</v>
      </c>
      <c r="F855">
        <v>709471.74410000001</v>
      </c>
      <c r="G855" s="1">
        <v>1.36E-5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2.0507466381579451E-2</v>
      </c>
      <c r="M855" s="1">
        <f t="shared" si="55"/>
        <v>4.3305225304919343E-2</v>
      </c>
      <c r="N855" s="1">
        <f t="shared" si="56"/>
        <v>1.1578330225692723E-2</v>
      </c>
      <c r="O855" s="1"/>
    </row>
    <row r="856" spans="1:15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-3.2700000000000002E-5</v>
      </c>
      <c r="F856">
        <v>903616.62840000005</v>
      </c>
      <c r="G856">
        <v>6623.2254540000004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-1.9772967406596301E-2</v>
      </c>
      <c r="M856" s="1">
        <f t="shared" si="55"/>
        <v>-5.829345552302001E-2</v>
      </c>
      <c r="N856" s="1">
        <f t="shared" si="56"/>
        <v>5524401.8796133418</v>
      </c>
      <c r="O856" s="1"/>
    </row>
    <row r="857" spans="1:15" x14ac:dyDescent="0.25">
      <c r="A857">
        <v>1306</v>
      </c>
      <c r="B857">
        <v>44077.315329999998</v>
      </c>
      <c r="C857" s="1">
        <v>2.8000000000000002E-7</v>
      </c>
      <c r="D857">
        <v>243769.58240000001</v>
      </c>
      <c r="E857" s="1">
        <v>-1.7099999999999999E-5</v>
      </c>
      <c r="F857">
        <v>1044577.502</v>
      </c>
      <c r="G857">
        <v>312.74007970000002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2.4147855525339006E-3</v>
      </c>
      <c r="M857" s="1">
        <f t="shared" si="55"/>
        <v>-4.9460646058988311E-2</v>
      </c>
      <c r="N857" s="1">
        <f t="shared" si="56"/>
        <v>423244.08279176807</v>
      </c>
      <c r="O857" s="1"/>
    </row>
    <row r="858" spans="1:15" x14ac:dyDescent="0.25">
      <c r="A858">
        <v>1307</v>
      </c>
      <c r="B858">
        <v>6366.2359539999998</v>
      </c>
      <c r="C858">
        <v>0</v>
      </c>
      <c r="D858">
        <v>50250.74826</v>
      </c>
      <c r="E858" s="1">
        <v>6.4000000000000001E-7</v>
      </c>
      <c r="F858">
        <v>225138.75229999999</v>
      </c>
      <c r="G858" s="1">
        <v>-2.2099999999999998E-5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0</v>
      </c>
      <c r="M858" s="1">
        <f t="shared" si="55"/>
        <v>5.5615053763220486E-3</v>
      </c>
      <c r="N858" s="1">
        <f t="shared" si="56"/>
        <v>-8.9856260172772082E-2</v>
      </c>
      <c r="O858" s="1"/>
    </row>
    <row r="859" spans="1:15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-1.13E-5</v>
      </c>
      <c r="F859">
        <v>692039.90529999998</v>
      </c>
      <c r="G859" s="1">
        <v>3.0800000000000003E-5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2.937322766688635E-2</v>
      </c>
      <c r="M859" s="1">
        <f t="shared" si="55"/>
        <v>-5.0371047013301661E-2</v>
      </c>
      <c r="N859" s="1">
        <f t="shared" si="56"/>
        <v>6.423872748923784E-2</v>
      </c>
      <c r="O859" s="1"/>
    </row>
    <row r="860" spans="1:15" x14ac:dyDescent="0.25">
      <c r="A860">
        <v>1309</v>
      </c>
      <c r="B860">
        <v>95950.316080000004</v>
      </c>
      <c r="C860" s="1">
        <v>-2.2199999999999999E-6</v>
      </c>
      <c r="D860">
        <v>383498.2352</v>
      </c>
      <c r="E860" s="1">
        <v>-2.7100000000000001E-5</v>
      </c>
      <c r="F860">
        <v>1264088.392</v>
      </c>
      <c r="G860">
        <v>0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-9.7609320393467983E-3</v>
      </c>
      <c r="M860" s="1">
        <f t="shared" si="55"/>
        <v>-3.996232453364728E-2</v>
      </c>
      <c r="N860" s="1">
        <f t="shared" si="56"/>
        <v>0</v>
      </c>
      <c r="O860" s="1"/>
    </row>
    <row r="861" spans="1:15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-1.2099999999999999E-5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-9.2893768263270001E-3</v>
      </c>
      <c r="M861" s="1">
        <f t="shared" si="55"/>
        <v>1.5018375536496481E-2</v>
      </c>
      <c r="N861" s="1">
        <f t="shared" si="56"/>
        <v>-4.5226622797052404E-2</v>
      </c>
      <c r="O861" s="1"/>
    </row>
    <row r="862" spans="1:15" x14ac:dyDescent="0.25">
      <c r="A862">
        <v>1311</v>
      </c>
      <c r="B862">
        <v>8262.6484610000007</v>
      </c>
      <c r="C862" s="1">
        <v>1.4999999999999999E-7</v>
      </c>
      <c r="D862">
        <v>116068.6149</v>
      </c>
      <c r="E862" s="1">
        <v>6.8800000000000002E-6</v>
      </c>
      <c r="F862">
        <v>448150.9388</v>
      </c>
      <c r="G862" s="1">
        <v>9.8099999999999992E-6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3.1654349463018749E-3</v>
      </c>
      <c r="M862" s="1">
        <f t="shared" si="55"/>
        <v>4.8693804613963117E-2</v>
      </c>
      <c r="N862" s="1">
        <f t="shared" si="56"/>
        <v>3.2486128368908532E-2</v>
      </c>
      <c r="O862" s="1"/>
    </row>
    <row r="863" spans="1:15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3.3399999999999999E-5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-1.051178117818075E-3</v>
      </c>
      <c r="M863" s="1">
        <f t="shared" si="55"/>
        <v>-3.7743477830361944E-3</v>
      </c>
      <c r="N863" s="1">
        <f t="shared" si="56"/>
        <v>3.2408629970883424E-2</v>
      </c>
      <c r="O863" s="1"/>
    </row>
    <row r="864" spans="1:15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-2.52E-6</v>
      </c>
      <c r="F864">
        <v>269704.25670000003</v>
      </c>
      <c r="G864" s="1">
        <v>2.05E-5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-4.1320973199935003E-2</v>
      </c>
      <c r="M864" s="1">
        <f t="shared" si="55"/>
        <v>-1.587418869728412E-2</v>
      </c>
      <c r="N864" s="1">
        <f t="shared" si="56"/>
        <v>6.0421087385359507E-2</v>
      </c>
      <c r="O864" s="1"/>
    </row>
    <row r="865" spans="1:15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-2E-8</v>
      </c>
      <c r="F865">
        <v>173671.0888</v>
      </c>
      <c r="G865" s="1">
        <v>4.6199999999999998E-5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-7.4646110642999988E-3</v>
      </c>
      <c r="M865" s="1">
        <f t="shared" si="55"/>
        <v>-1.251757855398E-4</v>
      </c>
      <c r="N865" s="1">
        <f t="shared" si="56"/>
        <v>0.13529320453618199</v>
      </c>
      <c r="O865" s="1"/>
    </row>
    <row r="866" spans="1:15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-1.6399999999999999E-5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-5.0293959522637998E-3</v>
      </c>
      <c r="M866" s="1">
        <f t="shared" si="55"/>
        <v>-3.8895209094719926E-2</v>
      </c>
      <c r="N866" s="1">
        <f t="shared" si="56"/>
        <v>-7.6137317185039674E-2</v>
      </c>
      <c r="O866" s="1"/>
    </row>
    <row r="867" spans="1:15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-1.46E-6</v>
      </c>
      <c r="F867">
        <v>794602.90020000003</v>
      </c>
      <c r="G867">
        <v>9839.7236990000001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-1.0410481308551999E-2</v>
      </c>
      <c r="M867" s="1">
        <f t="shared" si="55"/>
        <v>-2.1972466783063203E-3</v>
      </c>
      <c r="N867" s="1">
        <f t="shared" si="56"/>
        <v>6928712.5227288315</v>
      </c>
      <c r="O867" s="1"/>
    </row>
    <row r="868" spans="1:15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-5.6000000000000004E-7</v>
      </c>
      <c r="F868">
        <v>243252.5338</v>
      </c>
      <c r="G868" s="1">
        <v>-4.7800000000000003E-5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2.8186193452612654E-2</v>
      </c>
      <c r="M868" s="1">
        <f t="shared" si="55"/>
        <v>-2.2242860353554961E-3</v>
      </c>
      <c r="N868" s="1">
        <f t="shared" si="56"/>
        <v>-8.8832970134168229E-2</v>
      </c>
      <c r="O868" s="1"/>
    </row>
    <row r="869" spans="1:15" x14ac:dyDescent="0.25">
      <c r="A869">
        <v>1318</v>
      </c>
      <c r="B869">
        <v>21605.36506</v>
      </c>
      <c r="C869">
        <v>0</v>
      </c>
      <c r="D869">
        <v>119504.2291</v>
      </c>
      <c r="E869" s="1">
        <v>-1.04E-5</v>
      </c>
      <c r="F869">
        <v>940817.32429999998</v>
      </c>
      <c r="G869">
        <v>3824.101874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0</v>
      </c>
      <c r="M869" s="1">
        <f t="shared" si="55"/>
        <v>-2.610020196255056E-2</v>
      </c>
      <c r="N869" s="1">
        <f t="shared" si="56"/>
        <v>4490385.8442794392</v>
      </c>
      <c r="O869" s="1"/>
    </row>
    <row r="870" spans="1:15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-3.9999999999999998E-7</v>
      </c>
      <c r="F870">
        <v>184593.8198</v>
      </c>
      <c r="G870">
        <v>0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-6.0633228661980008E-3</v>
      </c>
      <c r="M870" s="1">
        <f t="shared" si="55"/>
        <v>-2.0335452074325597E-3</v>
      </c>
      <c r="N870" s="1">
        <f t="shared" si="56"/>
        <v>0</v>
      </c>
      <c r="O870" s="1"/>
    </row>
    <row r="871" spans="1:15" x14ac:dyDescent="0.25">
      <c r="A871">
        <v>1320</v>
      </c>
      <c r="B871">
        <v>13889.336590000001</v>
      </c>
      <c r="C871">
        <v>0</v>
      </c>
      <c r="D871">
        <v>74319.872300000003</v>
      </c>
      <c r="E871" s="1">
        <v>-1.3999999999999999E-6</v>
      </c>
      <c r="F871">
        <v>353771.58590000001</v>
      </c>
      <c r="G871">
        <v>25994.208640000001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0</v>
      </c>
      <c r="M871" s="1">
        <f t="shared" si="55"/>
        <v>-2.2349145479934E-2</v>
      </c>
      <c r="N871" s="1">
        <f t="shared" si="56"/>
        <v>194157050.30856478</v>
      </c>
      <c r="O871" s="1"/>
    </row>
    <row r="872" spans="1:15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7.1400000000000002E-6</v>
      </c>
      <c r="F872">
        <v>348762.78220000002</v>
      </c>
      <c r="G872">
        <v>37814.94702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2.7749524715327999E-2</v>
      </c>
      <c r="M872" s="1">
        <f t="shared" si="55"/>
        <v>4.1531432894136869E-2</v>
      </c>
      <c r="N872" s="1">
        <f t="shared" si="56"/>
        <v>102916706.06529953</v>
      </c>
      <c r="O872" s="1"/>
    </row>
    <row r="873" spans="1:15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-1.2500000000000001E-6</v>
      </c>
      <c r="F873">
        <v>198837.5399</v>
      </c>
      <c r="G873" s="1">
        <v>-2.8900000000000001E-5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7.1471611590015013E-2</v>
      </c>
      <c r="M873" s="1">
        <f t="shared" si="55"/>
        <v>-9.9876995683482513E-3</v>
      </c>
      <c r="N873" s="1">
        <f t="shared" si="56"/>
        <v>-0.10804308545899807</v>
      </c>
      <c r="O873" s="1"/>
    </row>
    <row r="874" spans="1:15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1.1600000000000001E-5</v>
      </c>
      <c r="F874">
        <v>331484.37459999998</v>
      </c>
      <c r="G874" s="1">
        <v>-2.12E-5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4.2718716669807102E-2</v>
      </c>
      <c r="M874" s="1">
        <f t="shared" si="55"/>
        <v>0.10518704061792425</v>
      </c>
      <c r="N874" s="1">
        <f t="shared" si="56"/>
        <v>-8.9946400123457532E-2</v>
      </c>
      <c r="O874" s="1"/>
    </row>
    <row r="875" spans="1:15" x14ac:dyDescent="0.25">
      <c r="A875">
        <v>1324</v>
      </c>
      <c r="B875">
        <v>18441.45895</v>
      </c>
      <c r="C875">
        <v>0</v>
      </c>
      <c r="D875">
        <v>74437.942850000007</v>
      </c>
      <c r="E875" s="1">
        <v>-2.7499999999999999E-6</v>
      </c>
      <c r="F875">
        <v>225661.8867</v>
      </c>
      <c r="G875" s="1">
        <v>-4.9100000000000001E-5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0</v>
      </c>
      <c r="M875" s="1">
        <f t="shared" si="55"/>
        <v>-1.1656749952259775E-2</v>
      </c>
      <c r="N875" s="1">
        <f t="shared" si="56"/>
        <v>-9.7380041886417704E-2</v>
      </c>
      <c r="O875" s="1"/>
    </row>
    <row r="876" spans="1:15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-1.84E-5</v>
      </c>
      <c r="F876">
        <v>770798.18680000002</v>
      </c>
      <c r="G876">
        <v>86452.741259999995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7.205844624716401E-2</v>
      </c>
      <c r="M876" s="1">
        <f t="shared" si="55"/>
        <v>-9.2641294739302646E-2</v>
      </c>
      <c r="N876" s="1">
        <f t="shared" si="56"/>
        <v>203661641.44819748</v>
      </c>
      <c r="O876" s="1"/>
    </row>
    <row r="877" spans="1:15" x14ac:dyDescent="0.25">
      <c r="A877">
        <v>1326</v>
      </c>
      <c r="B877">
        <v>151690.84839999999</v>
      </c>
      <c r="C877">
        <v>2665.0947980000001</v>
      </c>
      <c r="D877">
        <v>755692.94830000005</v>
      </c>
      <c r="E877">
        <v>79200.263640000005</v>
      </c>
      <c r="F877">
        <v>1322404.5660000001</v>
      </c>
      <c r="G877">
        <v>91266.672210000004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158641127.15876576</v>
      </c>
      <c r="M877" s="1">
        <f t="shared" si="55"/>
        <v>1581149334.3165791</v>
      </c>
      <c r="N877" s="1">
        <f t="shared" si="56"/>
        <v>852515248.81736815</v>
      </c>
      <c r="O877" s="1"/>
    </row>
    <row r="878" spans="1:15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7.5000000000000002E-7</v>
      </c>
      <c r="F878">
        <v>643592.33259999997</v>
      </c>
      <c r="G878">
        <v>105944.4008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6.5600819276896802E-2</v>
      </c>
      <c r="M878" s="1">
        <f t="shared" si="55"/>
        <v>4.0443944011209002E-3</v>
      </c>
      <c r="N878" s="1">
        <f t="shared" si="56"/>
        <v>267309211.16461238</v>
      </c>
      <c r="O878" s="1"/>
    </row>
    <row r="879" spans="1:15" x14ac:dyDescent="0.25">
      <c r="A879">
        <v>1328</v>
      </c>
      <c r="B879">
        <v>26807.133900000001</v>
      </c>
      <c r="C879" s="1">
        <v>-6.9999999999999997E-7</v>
      </c>
      <c r="D879">
        <v>143040.82449999999</v>
      </c>
      <c r="E879" s="1">
        <v>-7.52E-6</v>
      </c>
      <c r="F879">
        <v>727364.96860000002</v>
      </c>
      <c r="G879">
        <v>81142.666459999993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-2.0990724517194248E-2</v>
      </c>
      <c r="M879" s="1">
        <f t="shared" si="55"/>
        <v>-7.5629349768148502E-2</v>
      </c>
      <c r="N879" s="1">
        <f t="shared" si="56"/>
        <v>381825983.60823876</v>
      </c>
      <c r="O879" s="1"/>
    </row>
    <row r="880" spans="1:15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3.0000000000000001E-6</v>
      </c>
      <c r="F880">
        <v>780567.22019999998</v>
      </c>
      <c r="G880">
        <v>19000.043570000002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1.667499248571E-2</v>
      </c>
      <c r="M880" s="1">
        <f t="shared" si="55"/>
        <v>4.1944019560209008E-3</v>
      </c>
      <c r="N880" s="1">
        <f t="shared" si="56"/>
        <v>12429311.36281042</v>
      </c>
      <c r="O880" s="1"/>
    </row>
    <row r="881" spans="1:15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>
        <v>24743.244650000001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3.2597132450025004E-2</v>
      </c>
      <c r="M881" s="1">
        <f t="shared" si="55"/>
        <v>-3.6865665715394999E-2</v>
      </c>
      <c r="N881" s="1">
        <f t="shared" si="56"/>
        <v>29434347.032608621</v>
      </c>
      <c r="O881" s="1"/>
    </row>
    <row r="882" spans="1:15" x14ac:dyDescent="0.25">
      <c r="A882">
        <v>1331</v>
      </c>
      <c r="B882">
        <v>13683.415290000001</v>
      </c>
      <c r="C882">
        <v>0</v>
      </c>
      <c r="D882">
        <v>74167.809949999995</v>
      </c>
      <c r="E882" s="1">
        <v>4.7999999999999998E-6</v>
      </c>
      <c r="F882">
        <v>539267.82490000001</v>
      </c>
      <c r="G882">
        <v>47413.637739999998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0</v>
      </c>
      <c r="M882" s="1">
        <f t="shared" si="55"/>
        <v>0.12055628661909119</v>
      </c>
      <c r="N882" s="1">
        <f t="shared" si="56"/>
        <v>557180078.65614903</v>
      </c>
      <c r="O882" s="1"/>
    </row>
    <row r="883" spans="1:15" x14ac:dyDescent="0.25">
      <c r="A883">
        <v>1332</v>
      </c>
      <c r="B883">
        <v>28760.31266</v>
      </c>
      <c r="C883" s="1">
        <v>-1.5E-6</v>
      </c>
      <c r="D883">
        <v>226600.56460000001</v>
      </c>
      <c r="E883">
        <v>34520.936780000004</v>
      </c>
      <c r="F883">
        <v>843882.82189999998</v>
      </c>
      <c r="G883">
        <v>67716.434110000002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-1.0544446109437501E-2</v>
      </c>
      <c r="M883" s="1">
        <f t="shared" si="55"/>
        <v>81387596.246393785</v>
      </c>
      <c r="N883" s="1">
        <f t="shared" si="56"/>
        <v>74698762.666676283</v>
      </c>
      <c r="O883" s="1"/>
    </row>
    <row r="884" spans="1:15" x14ac:dyDescent="0.25">
      <c r="A884">
        <v>1333</v>
      </c>
      <c r="B884">
        <v>6106.1265270000004</v>
      </c>
      <c r="C884" s="1">
        <v>-1.9999999999999999E-7</v>
      </c>
      <c r="D884">
        <v>33905.556420000001</v>
      </c>
      <c r="E884" s="1">
        <v>-4.6199999999999998E-6</v>
      </c>
      <c r="F884">
        <v>198425.6801</v>
      </c>
      <c r="G884">
        <v>0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-3.6688749800820003E-3</v>
      </c>
      <c r="M884" s="1">
        <f t="shared" si="55"/>
        <v>-2.8424185576456824E-2</v>
      </c>
      <c r="N884" s="1">
        <f t="shared" si="56"/>
        <v>0</v>
      </c>
      <c r="O884" s="1"/>
    </row>
    <row r="885" spans="1:15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3.57E-5</v>
      </c>
      <c r="F885">
        <v>748540.201</v>
      </c>
      <c r="G885" s="1">
        <v>-4.1499999999999999E-5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-2.0390396726787753E-2</v>
      </c>
      <c r="M885" s="1">
        <f t="shared" si="55"/>
        <v>0.23935188773137006</v>
      </c>
      <c r="N885" s="1">
        <f t="shared" si="56"/>
        <v>-0.13018484064026026</v>
      </c>
      <c r="O885" s="1"/>
    </row>
    <row r="886" spans="1:15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1.2500000000000001E-5</v>
      </c>
      <c r="F886">
        <v>531481.11010000005</v>
      </c>
      <c r="G886">
        <v>55246.281920000001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-4.6040624200912254E-2</v>
      </c>
      <c r="M886" s="1">
        <f t="shared" si="55"/>
        <v>5.2166611620576252E-2</v>
      </c>
      <c r="N886" s="1">
        <f t="shared" si="56"/>
        <v>107877121.43301043</v>
      </c>
      <c r="O886" s="1"/>
    </row>
    <row r="887" spans="1:15" x14ac:dyDescent="0.25">
      <c r="A887">
        <v>1336</v>
      </c>
      <c r="B887">
        <v>14621.848760000001</v>
      </c>
      <c r="C887" s="1">
        <v>4.7999999999999996E-7</v>
      </c>
      <c r="D887">
        <v>173570.44570000001</v>
      </c>
      <c r="E887" s="1">
        <v>3.0000000000000001E-5</v>
      </c>
      <c r="F887">
        <v>918453.9791</v>
      </c>
      <c r="G887" s="1">
        <v>1.91E-5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1.1855499828509999E-2</v>
      </c>
      <c r="M887" s="1">
        <f t="shared" si="55"/>
        <v>0.24850951563607501</v>
      </c>
      <c r="N887" s="1">
        <f t="shared" si="56"/>
        <v>7.4028476813792252E-2</v>
      </c>
      <c r="O887" s="1"/>
    </row>
    <row r="888" spans="1:15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>
        <v>32323.46341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-9.0173717233707262E-2</v>
      </c>
      <c r="M888" s="1">
        <f t="shared" si="55"/>
        <v>-3.1015036045986984E-2</v>
      </c>
      <c r="N888" s="1">
        <f t="shared" si="56"/>
        <v>97316575.664103821</v>
      </c>
      <c r="O888" s="1"/>
    </row>
    <row r="889" spans="1:15" x14ac:dyDescent="0.25">
      <c r="A889">
        <v>1338</v>
      </c>
      <c r="B889">
        <v>9340.3843629999992</v>
      </c>
      <c r="C889">
        <v>0</v>
      </c>
      <c r="D889">
        <v>146758.50580000001</v>
      </c>
      <c r="E889" s="1">
        <v>-1.98E-5</v>
      </c>
      <c r="F889">
        <v>737018.46030000004</v>
      </c>
      <c r="G889">
        <v>1395.13796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0</v>
      </c>
      <c r="M889" s="1">
        <f t="shared" si="55"/>
        <v>-9.4626850613514113E-2</v>
      </c>
      <c r="N889" s="1">
        <f t="shared" si="56"/>
        <v>3119679.8617525278</v>
      </c>
      <c r="O889" s="1"/>
    </row>
    <row r="890" spans="1:15" x14ac:dyDescent="0.25">
      <c r="A890">
        <v>1339</v>
      </c>
      <c r="B890">
        <v>7909.1470980000004</v>
      </c>
      <c r="C890">
        <v>0</v>
      </c>
      <c r="D890">
        <v>132754.35800000001</v>
      </c>
      <c r="E890" s="1">
        <v>-3.0899999999999999E-5</v>
      </c>
      <c r="F890">
        <v>709404.103</v>
      </c>
      <c r="G890" s="1">
        <v>3.4600000000000001E-5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0</v>
      </c>
      <c r="M890" s="1">
        <f t="shared" si="55"/>
        <v>-0.14749035005548425</v>
      </c>
      <c r="N890" s="1">
        <f t="shared" si="56"/>
        <v>7.7272489447435505E-2</v>
      </c>
      <c r="O890" s="1"/>
    </row>
    <row r="891" spans="1:15" x14ac:dyDescent="0.25">
      <c r="A891">
        <v>1340</v>
      </c>
      <c r="B891">
        <v>5286.7415419999998</v>
      </c>
      <c r="C891" s="1">
        <v>-3.9999999999999998E-7</v>
      </c>
      <c r="D891">
        <v>55400.097730000001</v>
      </c>
      <c r="E891" s="1">
        <v>1.1799999999999999E-6</v>
      </c>
      <c r="F891">
        <v>350535.80609999999</v>
      </c>
      <c r="G891" s="1">
        <v>1.98E-5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-3.2356592756149997E-3</v>
      </c>
      <c r="M891" s="1">
        <f t="shared" si="55"/>
        <v>3.20131150792001E-3</v>
      </c>
      <c r="N891" s="1">
        <f t="shared" si="56"/>
        <v>2.5133605665507902E-2</v>
      </c>
      <c r="O891" s="1"/>
    </row>
    <row r="892" spans="1:15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-2.52E-6</v>
      </c>
      <c r="F892">
        <v>1185046.892</v>
      </c>
      <c r="G892">
        <v>0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-2.0745294692996248E-2</v>
      </c>
      <c r="M892" s="1">
        <f t="shared" si="55"/>
        <v>-9.4774512204111594E-3</v>
      </c>
      <c r="N892" s="1">
        <f t="shared" si="56"/>
        <v>0</v>
      </c>
      <c r="O892" s="1"/>
    </row>
    <row r="893" spans="1:15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4.2500000000000003E-5</v>
      </c>
      <c r="F893">
        <v>677456.32700000005</v>
      </c>
      <c r="G893" s="1">
        <v>-2.8799999999999999E-5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7.9038458067884256E-3</v>
      </c>
      <c r="M893" s="1">
        <f t="shared" si="55"/>
        <v>0.30448703284779527</v>
      </c>
      <c r="N893" s="1">
        <f t="shared" si="56"/>
        <v>-9.6541943625869764E-2</v>
      </c>
      <c r="O893" s="1"/>
    </row>
    <row r="894" spans="1:15" x14ac:dyDescent="0.25">
      <c r="A894">
        <v>1343</v>
      </c>
      <c r="B894">
        <v>12113.651750000001</v>
      </c>
      <c r="C894">
        <v>0</v>
      </c>
      <c r="D894">
        <v>110508.9734</v>
      </c>
      <c r="E894" s="1">
        <v>1.5800000000000001E-5</v>
      </c>
      <c r="F894">
        <v>644389.95880000002</v>
      </c>
      <c r="G894" s="1">
        <v>-4.7899999999999999E-5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0</v>
      </c>
      <c r="M894" s="1">
        <f t="shared" si="55"/>
        <v>8.1717949672898388E-2</v>
      </c>
      <c r="N894" s="1">
        <f t="shared" si="56"/>
        <v>-0.11591498040641243</v>
      </c>
      <c r="O894" s="1"/>
    </row>
    <row r="895" spans="1:15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-2.3600000000000001E-5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-5.7432664172682498E-3</v>
      </c>
      <c r="M895" s="1">
        <f t="shared" si="55"/>
        <v>2.6374166870494341E-2</v>
      </c>
      <c r="N895" s="1">
        <f t="shared" si="56"/>
        <v>-0.16361172685974121</v>
      </c>
      <c r="O895" s="1"/>
    </row>
    <row r="896" spans="1:15" x14ac:dyDescent="0.25">
      <c r="A896">
        <v>1345</v>
      </c>
      <c r="B896">
        <v>7437.5676149999999</v>
      </c>
      <c r="C896" s="1">
        <v>2.9999999999999997E-8</v>
      </c>
      <c r="D896">
        <v>60043.123789999998</v>
      </c>
      <c r="E896" s="1">
        <v>5.4000000000000002E-7</v>
      </c>
      <c r="F896">
        <v>412152.65360000002</v>
      </c>
      <c r="G896" s="1">
        <v>-2.5700000000000001E-5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4.2263772134122499E-4</v>
      </c>
      <c r="M896" s="1">
        <f t="shared" si="55"/>
        <v>2.5514314131430261E-3</v>
      </c>
      <c r="N896" s="1">
        <f t="shared" si="56"/>
        <v>-5.681551398584038E-2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 s="1">
        <v>-1.5E-6</v>
      </c>
      <c r="F897">
        <v>184870.59239999999</v>
      </c>
      <c r="G897" s="1">
        <v>-1.13E-5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-2.07268393012725E-2</v>
      </c>
      <c r="N897" s="1">
        <f t="shared" si="56"/>
        <v>-7.3057354674760502E-2</v>
      </c>
      <c r="O897" s="1"/>
    </row>
    <row r="898" spans="1:15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1.5500000000000001E-5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1.4158663162179251E-2</v>
      </c>
      <c r="M898" s="1">
        <f t="shared" si="55"/>
        <v>-1.557098348046747E-2</v>
      </c>
      <c r="N898" s="1">
        <f t="shared" si="56"/>
        <v>8.0088896098051518E-2</v>
      </c>
      <c r="O898" s="1"/>
    </row>
    <row r="899" spans="1:15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2.2200000000000001E-5</v>
      </c>
      <c r="F899">
        <v>614294.72369999997</v>
      </c>
      <c r="G899" s="1">
        <v>1.7600000000000001E-5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3.3492048571052174E-2</v>
      </c>
      <c r="M899" s="1">
        <f t="shared" ref="M899:M962" si="59">$U$3*$K899*E899</f>
        <v>0.14088493547541428</v>
      </c>
      <c r="N899" s="1">
        <f t="shared" ref="N899:N962" si="60">$U$4*$K899*G899</f>
        <v>5.2259822333553127E-2</v>
      </c>
      <c r="O899" s="1"/>
    </row>
    <row r="900" spans="1:15" x14ac:dyDescent="0.25">
      <c r="A900">
        <v>1349</v>
      </c>
      <c r="B900">
        <v>25027.602770000001</v>
      </c>
      <c r="C900">
        <v>0</v>
      </c>
      <c r="D900">
        <v>130664.8425</v>
      </c>
      <c r="E900">
        <v>0</v>
      </c>
      <c r="F900">
        <v>475324.11489999999</v>
      </c>
      <c r="G900" s="1">
        <v>7.0899999999999999E-6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0</v>
      </c>
      <c r="M900" s="1">
        <f t="shared" si="59"/>
        <v>0</v>
      </c>
      <c r="N900" s="1">
        <f t="shared" si="60"/>
        <v>1.2058742005616354E-2</v>
      </c>
      <c r="O900" s="1"/>
    </row>
    <row r="901" spans="1:15" x14ac:dyDescent="0.25">
      <c r="A901">
        <v>1351</v>
      </c>
      <c r="B901">
        <v>4768.1853709999996</v>
      </c>
      <c r="C901" s="1">
        <v>-3.9999999999999998E-7</v>
      </c>
      <c r="D901">
        <v>13724.6782</v>
      </c>
      <c r="E901" s="1">
        <v>4.7999999999999998E-6</v>
      </c>
      <c r="F901">
        <v>156278.7144</v>
      </c>
      <c r="G901" s="1">
        <v>-1.9700000000000001E-5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-3.9125857250869998E-2</v>
      </c>
      <c r="M901" s="1">
        <f t="shared" si="59"/>
        <v>0.15746652702811678</v>
      </c>
      <c r="N901" s="1">
        <f t="shared" si="60"/>
        <v>-0.30238268292268533</v>
      </c>
      <c r="O901" s="1"/>
    </row>
    <row r="902" spans="1:15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2.2099999999999998E-5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1.7184988028520001E-2</v>
      </c>
      <c r="M902" s="1">
        <f t="shared" si="59"/>
        <v>1.455304101584436E-2</v>
      </c>
      <c r="N902" s="1">
        <f t="shared" si="60"/>
        <v>0.14899384620726841</v>
      </c>
      <c r="O902" s="1"/>
    </row>
    <row r="903" spans="1:15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-4.1E-5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1.309067810765E-2</v>
      </c>
      <c r="M903" s="1">
        <f t="shared" si="59"/>
        <v>-2.996456218841085E-2</v>
      </c>
      <c r="N903" s="1">
        <f t="shared" si="60"/>
        <v>-0.21055852248535503</v>
      </c>
      <c r="O903" s="1"/>
    </row>
    <row r="904" spans="1:15" x14ac:dyDescent="0.25">
      <c r="A904">
        <v>1402</v>
      </c>
      <c r="B904">
        <v>18363.577829999998</v>
      </c>
      <c r="C904">
        <v>0</v>
      </c>
      <c r="D904">
        <v>241920.91870000001</v>
      </c>
      <c r="E904">
        <v>0</v>
      </c>
      <c r="F904">
        <v>933897.37719999999</v>
      </c>
      <c r="G904" s="1">
        <v>6.9399999999999996E-6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0</v>
      </c>
      <c r="M904" s="1">
        <f t="shared" si="59"/>
        <v>0</v>
      </c>
      <c r="N904" s="1">
        <f t="shared" si="60"/>
        <v>9.2188124604960769E-3</v>
      </c>
      <c r="O904" s="1"/>
    </row>
    <row r="905" spans="1:15" x14ac:dyDescent="0.25">
      <c r="A905">
        <v>1403</v>
      </c>
      <c r="B905">
        <v>7134.0049710000003</v>
      </c>
      <c r="C905" s="1">
        <v>-8.0000000000000002E-8</v>
      </c>
      <c r="D905">
        <v>125014.3744</v>
      </c>
      <c r="E905" s="1">
        <v>-9.2699999999999993E-6</v>
      </c>
      <c r="F905">
        <v>567581.43359999999</v>
      </c>
      <c r="G905" s="1">
        <v>-4.1600000000000002E-5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-2.6875547331879999E-3</v>
      </c>
      <c r="M905" s="1">
        <f t="shared" si="59"/>
        <v>-0.10444561265596733</v>
      </c>
      <c r="N905" s="1">
        <f t="shared" si="60"/>
        <v>-0.21930446622814082</v>
      </c>
      <c r="O905" s="1"/>
    </row>
    <row r="906" spans="1:15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4.9599999999999999E-6</v>
      </c>
      <c r="F906">
        <v>694246.91689999995</v>
      </c>
      <c r="G906" s="1">
        <v>-1.04E-6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-0.10737223731401895</v>
      </c>
      <c r="M906" s="1">
        <f t="shared" si="59"/>
        <v>4.7252524527025809E-2</v>
      </c>
      <c r="N906" s="1">
        <f t="shared" si="60"/>
        <v>-4.6357537380020885E-3</v>
      </c>
      <c r="O906" s="1"/>
    </row>
    <row r="907" spans="1:15" x14ac:dyDescent="0.25">
      <c r="A907">
        <v>1405</v>
      </c>
      <c r="B907">
        <v>5160.3794660000003</v>
      </c>
      <c r="C907">
        <v>0</v>
      </c>
      <c r="D907">
        <v>27082.32159</v>
      </c>
      <c r="E907" s="1">
        <v>-4.7E-7</v>
      </c>
      <c r="F907">
        <v>315113.25229999999</v>
      </c>
      <c r="G907" s="1">
        <v>-4.1699999999999997E-5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0</v>
      </c>
      <c r="M907" s="1">
        <f t="shared" si="59"/>
        <v>-5.1691149744618001E-3</v>
      </c>
      <c r="N907" s="1">
        <f t="shared" si="60"/>
        <v>-0.214584361042122</v>
      </c>
      <c r="O907" s="1"/>
    </row>
    <row r="908" spans="1:15" x14ac:dyDescent="0.25">
      <c r="A908">
        <v>1406</v>
      </c>
      <c r="B908">
        <v>133916.98389999999</v>
      </c>
      <c r="C908" s="1">
        <v>-3.6100000000000003E-5</v>
      </c>
      <c r="D908">
        <v>568064.58959999995</v>
      </c>
      <c r="E908" s="1">
        <v>5.2800000000000003E-6</v>
      </c>
      <c r="F908">
        <v>1328372.199</v>
      </c>
      <c r="G908">
        <v>2.8421000000000002E-4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-0.27960828228543605</v>
      </c>
      <c r="M908" s="1">
        <f t="shared" si="59"/>
        <v>1.3715760376809218E-2</v>
      </c>
      <c r="N908" s="1">
        <f t="shared" si="60"/>
        <v>0.34543711615815326</v>
      </c>
      <c r="O908" s="1"/>
    </row>
    <row r="909" spans="1:15" x14ac:dyDescent="0.25">
      <c r="A909">
        <v>1407</v>
      </c>
      <c r="B909">
        <v>173804.81510000001</v>
      </c>
      <c r="C909" s="1">
        <v>-3.4600000000000001E-5</v>
      </c>
      <c r="D909">
        <v>676467.80319999997</v>
      </c>
      <c r="E909" s="1">
        <v>1.88E-5</v>
      </c>
      <c r="F909">
        <v>1370158.5220000001</v>
      </c>
      <c r="G909">
        <v>2.3750999999999999E-4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-0.10051732671468086</v>
      </c>
      <c r="M909" s="1">
        <f t="shared" si="59"/>
        <v>1.8317483850931435E-2</v>
      </c>
      <c r="N909" s="1">
        <f t="shared" si="60"/>
        <v>0.10827633469703836</v>
      </c>
      <c r="O909" s="1"/>
    </row>
    <row r="910" spans="1:15" x14ac:dyDescent="0.25">
      <c r="A910">
        <v>1408</v>
      </c>
      <c r="B910">
        <v>12303.379430000001</v>
      </c>
      <c r="C910">
        <v>0</v>
      </c>
      <c r="D910">
        <v>211004.0068</v>
      </c>
      <c r="E910" s="1">
        <v>-1.0000000000000001E-5</v>
      </c>
      <c r="F910">
        <v>814471.30229999998</v>
      </c>
      <c r="G910" s="1">
        <v>2.87E-5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0</v>
      </c>
      <c r="M910" s="1">
        <f t="shared" si="59"/>
        <v>-0.10276916037929501</v>
      </c>
      <c r="N910" s="1">
        <f t="shared" si="60"/>
        <v>0.13800295417171934</v>
      </c>
      <c r="O910" s="1"/>
    </row>
    <row r="911" spans="1:15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-4.4400000000000002E-5</v>
      </c>
      <c r="F911">
        <v>854028.26170000003</v>
      </c>
      <c r="G911" s="1">
        <v>1.77E-5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6.3793548362316488E-2</v>
      </c>
      <c r="M911" s="1">
        <f t="shared" si="59"/>
        <v>-0.52195309662597966</v>
      </c>
      <c r="N911" s="1">
        <f t="shared" si="60"/>
        <v>9.7356612183707711E-2</v>
      </c>
      <c r="O911" s="1"/>
    </row>
    <row r="912" spans="1:15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-2.9200000000000002E-5</v>
      </c>
      <c r="F912">
        <v>499306.76530000003</v>
      </c>
      <c r="G912" s="1">
        <v>3.1600000000000002E-5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3.6065334417254998E-3</v>
      </c>
      <c r="M912" s="1">
        <f t="shared" si="59"/>
        <v>-0.32108740247059919</v>
      </c>
      <c r="N912" s="1">
        <f t="shared" si="60"/>
        <v>0.16258151873244242</v>
      </c>
      <c r="O912" s="1"/>
    </row>
    <row r="913" spans="1:15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1.5099999999999999E-6</v>
      </c>
      <c r="F913">
        <v>110340.32709999999</v>
      </c>
      <c r="G913" s="1">
        <v>2.0699999999999998E-5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-1.44223554815925E-2</v>
      </c>
      <c r="M913" s="1">
        <f t="shared" si="59"/>
        <v>2.4346415268874971E-2</v>
      </c>
      <c r="N913" s="1">
        <f t="shared" si="60"/>
        <v>0.1561608275068431</v>
      </c>
      <c r="O913" s="1"/>
    </row>
    <row r="914" spans="1:15" x14ac:dyDescent="0.25">
      <c r="A914">
        <v>1414</v>
      </c>
      <c r="B914">
        <v>9260.1392230000001</v>
      </c>
      <c r="C914">
        <v>0</v>
      </c>
      <c r="D914">
        <v>84128.722959999999</v>
      </c>
      <c r="E914" s="1">
        <v>-4.8999999999999997E-6</v>
      </c>
      <c r="F914">
        <v>337598.30310000002</v>
      </c>
      <c r="G914" s="1">
        <v>-3.9700000000000003E-5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0</v>
      </c>
      <c r="M914" s="1">
        <f t="shared" si="59"/>
        <v>-4.9605410138323619E-2</v>
      </c>
      <c r="N914" s="1">
        <f t="shared" si="60"/>
        <v>-0.1880473205524506</v>
      </c>
      <c r="O914" s="1"/>
    </row>
    <row r="915" spans="1:15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-3.67E-6</v>
      </c>
      <c r="F915">
        <v>524740.83810000005</v>
      </c>
      <c r="G915" s="1">
        <v>-1.29E-5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8.9520598999650002E-3</v>
      </c>
      <c r="M915" s="1">
        <f t="shared" si="59"/>
        <v>-5.5093731104353824E-2</v>
      </c>
      <c r="N915" s="1">
        <f t="shared" si="60"/>
        <v>-9.0608618587491904E-2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 s="1">
        <v>-1.11E-6</v>
      </c>
      <c r="F916">
        <v>282564.40549999999</v>
      </c>
      <c r="G916" s="1">
        <v>2.23E-5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-9.3822086219661448E-3</v>
      </c>
      <c r="N916" s="1">
        <f t="shared" si="60"/>
        <v>8.8192295774544155E-2</v>
      </c>
      <c r="O916" s="1"/>
    </row>
    <row r="917" spans="1:15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-1.81E-6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4.2731233557089998E-3</v>
      </c>
      <c r="M917" s="1">
        <f t="shared" si="59"/>
        <v>0.1483299727305572</v>
      </c>
      <c r="N917" s="1">
        <f t="shared" si="60"/>
        <v>-3.0342462843499833E-2</v>
      </c>
      <c r="O917" s="1"/>
    </row>
    <row r="918" spans="1:15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2.6400000000000001E-5</v>
      </c>
      <c r="F918">
        <v>430516.70020000002</v>
      </c>
      <c r="G918">
        <v>0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4.2951301874708508E-3</v>
      </c>
      <c r="M918" s="1">
        <f t="shared" si="59"/>
        <v>0.27164102477947516</v>
      </c>
      <c r="N918" s="1">
        <f t="shared" si="60"/>
        <v>0</v>
      </c>
      <c r="O918" s="1"/>
    </row>
    <row r="919" spans="1:15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3.1099999999999999E-6</v>
      </c>
      <c r="F919">
        <v>417968.91480000003</v>
      </c>
      <c r="G919" s="1">
        <v>-1.08E-5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-1.1859628691625001E-2</v>
      </c>
      <c r="M919" s="1">
        <f t="shared" si="59"/>
        <v>4.1233800309476501E-2</v>
      </c>
      <c r="N919" s="1">
        <f t="shared" si="60"/>
        <v>-6.6997779316380013E-2</v>
      </c>
      <c r="O919" s="1"/>
    </row>
    <row r="920" spans="1:15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5.5999999999999997E-6</v>
      </c>
      <c r="F920">
        <v>538222.56059999997</v>
      </c>
      <c r="G920" s="1">
        <v>3.3899999999999997E-5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-0.18456306847832751</v>
      </c>
      <c r="M920" s="1">
        <f t="shared" si="59"/>
        <v>0.10018434593078801</v>
      </c>
      <c r="N920" s="1">
        <f t="shared" si="60"/>
        <v>0.28376264036654553</v>
      </c>
      <c r="O920" s="1"/>
    </row>
    <row r="921" spans="1:15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-2.6299999999999999E-5</v>
      </c>
      <c r="F921">
        <v>585456.31889999995</v>
      </c>
      <c r="G921" s="1">
        <v>-3.4E-5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-3.9961982718320008E-3</v>
      </c>
      <c r="M921" s="1">
        <f t="shared" si="59"/>
        <v>-0.22030579972809219</v>
      </c>
      <c r="N921" s="1">
        <f t="shared" si="60"/>
        <v>-0.13325784237224403</v>
      </c>
      <c r="O921" s="1"/>
    </row>
    <row r="922" spans="1:15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1.1399999999999999E-5</v>
      </c>
      <c r="F922">
        <v>660488.32510000002</v>
      </c>
      <c r="G922" s="1">
        <v>1.34E-5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-9.4110752024568495E-3</v>
      </c>
      <c r="M922" s="1">
        <f t="shared" si="59"/>
        <v>0.10582988277441521</v>
      </c>
      <c r="N922" s="1">
        <f t="shared" si="60"/>
        <v>5.8203880482886994E-2</v>
      </c>
      <c r="O922" s="1"/>
    </row>
    <row r="923" spans="1:15" x14ac:dyDescent="0.25">
      <c r="A923">
        <v>1500</v>
      </c>
      <c r="B923">
        <v>3847.1113639999999</v>
      </c>
      <c r="C923">
        <v>0</v>
      </c>
      <c r="D923">
        <v>87946.623649999994</v>
      </c>
      <c r="E923" s="1">
        <v>-4.3599999999999998E-6</v>
      </c>
      <c r="F923">
        <v>376841.57079999999</v>
      </c>
      <c r="G923">
        <v>0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0</v>
      </c>
      <c r="M923" s="1">
        <f t="shared" si="59"/>
        <v>-1.6978605401392951E-2</v>
      </c>
      <c r="N923" s="1">
        <f t="shared" si="60"/>
        <v>0</v>
      </c>
      <c r="O923" s="1"/>
    </row>
    <row r="924" spans="1:15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3.1999999999999999E-5</v>
      </c>
      <c r="F924">
        <v>721095.04500000004</v>
      </c>
      <c r="G924">
        <v>14039.143099999999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2.4268163452455003E-2</v>
      </c>
      <c r="M924" s="1">
        <f t="shared" si="59"/>
        <v>0.17363559819930882</v>
      </c>
      <c r="N924" s="1">
        <f t="shared" si="60"/>
        <v>35642902.96131999</v>
      </c>
      <c r="O924" s="1"/>
    </row>
    <row r="925" spans="1:15" x14ac:dyDescent="0.25">
      <c r="A925">
        <v>1502</v>
      </c>
      <c r="B925">
        <v>6974.1452710000003</v>
      </c>
      <c r="C925" s="1">
        <v>-2.1E-7</v>
      </c>
      <c r="D925">
        <v>54051.37096</v>
      </c>
      <c r="E925" s="1">
        <v>1.9999999999999999E-6</v>
      </c>
      <c r="F925">
        <v>357144.09179999999</v>
      </c>
      <c r="G925" s="1">
        <v>-3.9900000000000001E-5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-4.2986682997098753E-3</v>
      </c>
      <c r="M925" s="1">
        <f t="shared" si="59"/>
        <v>1.3730544898707E-2</v>
      </c>
      <c r="N925" s="1">
        <f t="shared" si="60"/>
        <v>-0.12816644868981136</v>
      </c>
      <c r="O925" s="1"/>
    </row>
    <row r="926" spans="1:15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-3.8899999999999997E-5</v>
      </c>
      <c r="F926">
        <v>778650.66709999996</v>
      </c>
      <c r="G926" s="1">
        <v>4.3800000000000001E-5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9.2866736101456196E-2</v>
      </c>
      <c r="M926" s="1">
        <f t="shared" si="59"/>
        <v>-0.27411364270364386</v>
      </c>
      <c r="N926" s="1">
        <f t="shared" si="60"/>
        <v>0.14441052217433545</v>
      </c>
      <c r="O926" s="1"/>
    </row>
    <row r="927" spans="1:15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-3.7799999999999998E-6</v>
      </c>
      <c r="F927">
        <v>383550.54729999998</v>
      </c>
      <c r="G927" s="1">
        <v>-1.45E-5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-2.6541885510796498E-3</v>
      </c>
      <c r="M927" s="1">
        <f t="shared" si="59"/>
        <v>-1.8693654133604059E-2</v>
      </c>
      <c r="N927" s="1">
        <f t="shared" si="60"/>
        <v>-3.3551665530314551E-2</v>
      </c>
      <c r="O927" s="1"/>
    </row>
    <row r="928" spans="1:15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-2.1799999999999999E-6</v>
      </c>
      <c r="F928">
        <v>333037.11229999998</v>
      </c>
      <c r="G928" s="1">
        <v>9.5200000000000003E-6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-8.3966835131562504E-3</v>
      </c>
      <c r="M928" s="1">
        <f t="shared" si="59"/>
        <v>-1.6155627015353748E-2</v>
      </c>
      <c r="N928" s="1">
        <f t="shared" si="60"/>
        <v>3.3010184447835003E-2</v>
      </c>
      <c r="O928" s="1"/>
    </row>
    <row r="929" spans="1:15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5.3700000000000003E-6</v>
      </c>
      <c r="F929">
        <v>1159103.6340000001</v>
      </c>
      <c r="G929">
        <v>4.1934999999999997E-4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-7.4838795119080218E-2</v>
      </c>
      <c r="M929" s="1">
        <f t="shared" si="59"/>
        <v>2.9558294161303116E-2</v>
      </c>
      <c r="N929" s="1">
        <f t="shared" si="60"/>
        <v>1.0800041062027668</v>
      </c>
      <c r="O929" s="1"/>
    </row>
    <row r="930" spans="1:15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>
        <v>0</v>
      </c>
      <c r="F930">
        <v>1062485.0330000001</v>
      </c>
      <c r="G930">
        <v>1214.154691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-8.0387592100178984E-2</v>
      </c>
      <c r="M930" s="1">
        <f t="shared" si="59"/>
        <v>0</v>
      </c>
      <c r="N930" s="1">
        <f t="shared" si="60"/>
        <v>3646704.4500937513</v>
      </c>
      <c r="O930" s="1"/>
    </row>
    <row r="931" spans="1:15" x14ac:dyDescent="0.25">
      <c r="A931">
        <v>1508</v>
      </c>
      <c r="B931">
        <v>6820.7761970000001</v>
      </c>
      <c r="C931" s="1">
        <v>4.7999999999999996E-7</v>
      </c>
      <c r="D931">
        <v>58004.19599</v>
      </c>
      <c r="E931" s="1">
        <v>3.5999999999999998E-6</v>
      </c>
      <c r="F931">
        <v>371023.77830000001</v>
      </c>
      <c r="G931" s="1">
        <v>-3.0700000000000001E-5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1.4409892055613599E-2</v>
      </c>
      <c r="M931" s="1">
        <f t="shared" si="59"/>
        <v>3.624642078604344E-2</v>
      </c>
      <c r="N931" s="1">
        <f t="shared" si="60"/>
        <v>-0.14462543584278345</v>
      </c>
      <c r="O931" s="1"/>
    </row>
    <row r="932" spans="1:15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3.2100000000000002E-6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3.4703571188357501E-3</v>
      </c>
      <c r="M932" s="1">
        <f t="shared" si="59"/>
        <v>3.8091416319752402E-3</v>
      </c>
      <c r="N932" s="1">
        <f t="shared" si="60"/>
        <v>7.9459043905538568E-3</v>
      </c>
      <c r="O932" s="1"/>
    </row>
    <row r="933" spans="1:15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-2.5899999999999999E-5</v>
      </c>
      <c r="F933">
        <v>1003305.371</v>
      </c>
      <c r="G933">
        <v>11574.92373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5.7056559062737003E-2</v>
      </c>
      <c r="M933" s="1">
        <f t="shared" si="59"/>
        <v>-0.14577047229865414</v>
      </c>
      <c r="N933" s="1">
        <f t="shared" si="60"/>
        <v>30481168.589880973</v>
      </c>
      <c r="O933" s="1"/>
    </row>
    <row r="934" spans="1:15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4.5399999999999997E-6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8.2057699896119999E-3</v>
      </c>
      <c r="M934" s="1">
        <f t="shared" si="59"/>
        <v>-2.40807788541306E-2</v>
      </c>
      <c r="N934" s="1">
        <f t="shared" si="60"/>
        <v>1.4615107564575095E-2</v>
      </c>
      <c r="O934" s="1"/>
    </row>
    <row r="935" spans="1:15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-4.1799999999999998E-6</v>
      </c>
      <c r="F935">
        <v>594693.61289999995</v>
      </c>
      <c r="G935">
        <v>11606.561079999999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0.13016936941836751</v>
      </c>
      <c r="M935" s="1">
        <f t="shared" si="59"/>
        <v>-4.0552320064544685E-2</v>
      </c>
      <c r="N935" s="1">
        <f t="shared" si="60"/>
        <v>52684961.081618935</v>
      </c>
      <c r="O935" s="1"/>
    </row>
    <row r="936" spans="1:15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-2.2000000000000001E-6</v>
      </c>
      <c r="F936">
        <v>673138.97420000006</v>
      </c>
      <c r="G936">
        <v>24032.924620000002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-4.0429293924532502E-3</v>
      </c>
      <c r="M936" s="1">
        <f t="shared" si="59"/>
        <v>-9.9435330083106604E-3</v>
      </c>
      <c r="N936" s="1">
        <f t="shared" si="60"/>
        <v>50823941.374085948</v>
      </c>
      <c r="O936" s="1"/>
    </row>
    <row r="937" spans="1:15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-1.9999999999999999E-7</v>
      </c>
      <c r="F937">
        <v>243493.2775</v>
      </c>
      <c r="G937">
        <v>4625.4965970000003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-5.2614843329490003E-3</v>
      </c>
      <c r="M937" s="1">
        <f t="shared" si="59"/>
        <v>-8.8231044967914004E-4</v>
      </c>
      <c r="N937" s="1">
        <f t="shared" si="60"/>
        <v>9547583.6287572701</v>
      </c>
      <c r="O937" s="1"/>
    </row>
    <row r="938" spans="1:15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>
        <v>34265.535580000003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3.3717021826176002E-2</v>
      </c>
      <c r="M938" s="1">
        <f t="shared" si="59"/>
        <v>-5.6540851985433602E-3</v>
      </c>
      <c r="N938" s="1">
        <f t="shared" si="60"/>
        <v>100721234.80830769</v>
      </c>
      <c r="O938" s="1"/>
    </row>
    <row r="939" spans="1:15" x14ac:dyDescent="0.25">
      <c r="A939">
        <v>1518</v>
      </c>
      <c r="B939">
        <v>12520.07303</v>
      </c>
      <c r="C939">
        <v>0</v>
      </c>
      <c r="D939">
        <v>55329.487410000002</v>
      </c>
      <c r="E939" s="1">
        <v>-3.8999999999999999E-6</v>
      </c>
      <c r="F939">
        <v>666563.71239999996</v>
      </c>
      <c r="G939">
        <v>9856.3822080000009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0</v>
      </c>
      <c r="M939" s="1">
        <f t="shared" si="59"/>
        <v>-3.441262284474924E-2</v>
      </c>
      <c r="N939" s="1">
        <f t="shared" si="60"/>
        <v>40692500.918413639</v>
      </c>
      <c r="O939" s="1"/>
    </row>
    <row r="940" spans="1:15" x14ac:dyDescent="0.25">
      <c r="A940">
        <v>1519</v>
      </c>
      <c r="B940">
        <v>12297.124159999999</v>
      </c>
      <c r="C940" s="1">
        <v>-2.3E-6</v>
      </c>
      <c r="D940">
        <v>154214.965</v>
      </c>
      <c r="E940">
        <v>11226.17081</v>
      </c>
      <c r="F940">
        <v>744566.70790000004</v>
      </c>
      <c r="G940">
        <v>27674.034970000001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-4.1293272653161753E-2</v>
      </c>
      <c r="M940" s="1">
        <f t="shared" si="59"/>
        <v>67596817.658600971</v>
      </c>
      <c r="N940" s="1">
        <f t="shared" si="60"/>
        <v>77966990.0239418</v>
      </c>
      <c r="O940" s="1"/>
    </row>
    <row r="941" spans="1:15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>
        <v>16430.199110000001</v>
      </c>
      <c r="F941">
        <v>780317.56030000001</v>
      </c>
      <c r="G941">
        <v>9189.0275369999999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8.5453268878432007E-2</v>
      </c>
      <c r="M941" s="1">
        <f t="shared" si="59"/>
        <v>168173132.11841482</v>
      </c>
      <c r="N941" s="1">
        <f t="shared" si="60"/>
        <v>44007532.399318047</v>
      </c>
      <c r="O941" s="1"/>
    </row>
    <row r="942" spans="1:15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>
        <v>14814.45004</v>
      </c>
      <c r="F942">
        <v>890798.45460000006</v>
      </c>
      <c r="G942">
        <v>51551.834779999997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-5.5359704198207502E-2</v>
      </c>
      <c r="M942" s="1">
        <f t="shared" si="59"/>
        <v>78587665.367924422</v>
      </c>
      <c r="N942" s="1">
        <f t="shared" si="60"/>
        <v>127954822.45193754</v>
      </c>
      <c r="O942" s="1"/>
    </row>
    <row r="943" spans="1:15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>
        <v>6743.3050430000003</v>
      </c>
      <c r="F943">
        <v>787927.1703</v>
      </c>
      <c r="G943">
        <v>24143.221880000001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-6.9789278000097502E-2</v>
      </c>
      <c r="M943" s="1">
        <f t="shared" si="59"/>
        <v>38496459.693138555</v>
      </c>
      <c r="N943" s="1">
        <f t="shared" si="60"/>
        <v>64489185.143466562</v>
      </c>
      <c r="O943" s="1"/>
    </row>
    <row r="944" spans="1:15" x14ac:dyDescent="0.25">
      <c r="A944">
        <v>1525</v>
      </c>
      <c r="B944">
        <v>17237.505730000001</v>
      </c>
      <c r="C944">
        <v>0</v>
      </c>
      <c r="D944">
        <v>292069.42749999999</v>
      </c>
      <c r="E944">
        <v>16472.185600000001</v>
      </c>
      <c r="F944">
        <v>885090.15419999999</v>
      </c>
      <c r="G944">
        <v>20669.489689999999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0</v>
      </c>
      <c r="M944" s="1">
        <f t="shared" si="59"/>
        <v>237236969.11930895</v>
      </c>
      <c r="N944" s="1">
        <f t="shared" si="60"/>
        <v>139285071.83694616</v>
      </c>
      <c r="O944" s="1"/>
    </row>
    <row r="945" spans="1:15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>
        <v>39521.770969999998</v>
      </c>
      <c r="F945">
        <v>864960.78139999998</v>
      </c>
      <c r="G945">
        <v>21572.258140000002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-0.14314624612410851</v>
      </c>
      <c r="M945" s="1">
        <f t="shared" si="59"/>
        <v>387225025.9617061</v>
      </c>
      <c r="N945" s="1">
        <f t="shared" si="60"/>
        <v>98893172.013327107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>
        <v>8357.0881879999997</v>
      </c>
      <c r="F946">
        <v>759688.80889999995</v>
      </c>
      <c r="G946">
        <v>14851.99663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61225804.781209677</v>
      </c>
      <c r="N946" s="1">
        <f t="shared" si="60"/>
        <v>50910579.147210546</v>
      </c>
      <c r="O946" s="1"/>
    </row>
    <row r="947" spans="1:15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>
        <v>7883.512205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-7.1468008781617491E-3</v>
      </c>
      <c r="M947" s="1">
        <f t="shared" si="59"/>
        <v>-2.716517338919738E-2</v>
      </c>
      <c r="N947" s="1">
        <f t="shared" si="60"/>
        <v>29471143.48137781</v>
      </c>
      <c r="O947" s="1"/>
    </row>
    <row r="948" spans="1:15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>
        <v>6033.1389129999998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-8.4278103617012514E-3</v>
      </c>
      <c r="M948" s="1">
        <f t="shared" si="59"/>
        <v>-2.3573493192025039E-2</v>
      </c>
      <c r="N948" s="1">
        <f t="shared" si="60"/>
        <v>15957868.817678679</v>
      </c>
      <c r="O948" s="1"/>
    </row>
    <row r="949" spans="1:15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-9.7999999999999993E-7</v>
      </c>
      <c r="F949">
        <v>375063.00900000002</v>
      </c>
      <c r="G949" s="1">
        <v>2.2200000000000001E-5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-0.13873354640567501</v>
      </c>
      <c r="M949" s="1">
        <f t="shared" si="59"/>
        <v>-9.119703032033355E-3</v>
      </c>
      <c r="N949" s="1">
        <f t="shared" si="60"/>
        <v>9.6660997686464772E-2</v>
      </c>
      <c r="O949" s="1"/>
    </row>
    <row r="950" spans="1:15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3.3399999999999999E-5</v>
      </c>
      <c r="F950">
        <v>848328.59660000005</v>
      </c>
      <c r="G950">
        <v>9769.4240019999997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-5.6248571843915754E-2</v>
      </c>
      <c r="M950" s="1">
        <f t="shared" si="59"/>
        <v>0.27395123833439416</v>
      </c>
      <c r="N950" s="1">
        <f t="shared" si="60"/>
        <v>37492071.625898018</v>
      </c>
      <c r="O950" s="1"/>
    </row>
    <row r="951" spans="1:15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2.69E-5</v>
      </c>
      <c r="F951">
        <v>637389.02619999996</v>
      </c>
      <c r="G951" s="1">
        <v>4.3900000000000003E-5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-2.86749221046275E-2</v>
      </c>
      <c r="M951" s="1">
        <f t="shared" si="59"/>
        <v>0.25870073570147167</v>
      </c>
      <c r="N951" s="1">
        <f t="shared" si="60"/>
        <v>0.19753933261554005</v>
      </c>
      <c r="O951" s="1"/>
    </row>
    <row r="952" spans="1:15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2.5299999999999998E-5</v>
      </c>
      <c r="F952">
        <v>649534.38740000001</v>
      </c>
      <c r="G952" s="1">
        <v>-4.0000000000000003E-5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0.21609379365502501</v>
      </c>
      <c r="M952" s="1">
        <f t="shared" si="59"/>
        <v>0.40746793488031618</v>
      </c>
      <c r="N952" s="1">
        <f t="shared" si="60"/>
        <v>-0.30142313781624008</v>
      </c>
      <c r="O952" s="1"/>
    </row>
    <row r="953" spans="1:15" x14ac:dyDescent="0.25">
      <c r="A953">
        <v>1537</v>
      </c>
      <c r="B953">
        <v>86606.470289999997</v>
      </c>
      <c r="C953" s="1">
        <v>-1.9999999999999999E-7</v>
      </c>
      <c r="D953">
        <v>404015.89069999999</v>
      </c>
      <c r="E953">
        <v>0</v>
      </c>
      <c r="F953">
        <v>1061200.473</v>
      </c>
      <c r="G953">
        <v>2.2314000000000001E-4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-1.0349105701675E-3</v>
      </c>
      <c r="M953" s="1">
        <f t="shared" si="59"/>
        <v>0</v>
      </c>
      <c r="N953" s="1">
        <f t="shared" si="60"/>
        <v>0.18119118732286116</v>
      </c>
      <c r="O953" s="1"/>
    </row>
    <row r="954" spans="1:15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2.0400000000000001E-5</v>
      </c>
      <c r="F954">
        <v>702900.43160000001</v>
      </c>
      <c r="G954" s="1">
        <v>-3.8600000000000003E-5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1.6759418518627202E-2</v>
      </c>
      <c r="M954" s="1">
        <f t="shared" si="59"/>
        <v>0.15925744879495488</v>
      </c>
      <c r="N954" s="1">
        <f t="shared" si="60"/>
        <v>-0.14099397989645091</v>
      </c>
      <c r="O954" s="1"/>
    </row>
    <row r="955" spans="1:15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-3.0800000000000002E-6</v>
      </c>
      <c r="F955">
        <v>1191782.9110000001</v>
      </c>
      <c r="G955" s="1">
        <v>6.5900000000000003E-5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-0.2366691059903625</v>
      </c>
      <c r="M955" s="1">
        <f t="shared" si="59"/>
        <v>-7.7611284261865201E-3</v>
      </c>
      <c r="N955" s="1">
        <f t="shared" si="60"/>
        <v>7.7696820349011902E-2</v>
      </c>
      <c r="O955" s="1"/>
    </row>
    <row r="956" spans="1:15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2.1100000000000001E-5</v>
      </c>
      <c r="F956">
        <v>1010444.912</v>
      </c>
      <c r="G956">
        <v>3297.3066349999999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4.6759582781393298E-2</v>
      </c>
      <c r="M956" s="1">
        <f t="shared" si="59"/>
        <v>0.11332177496198784</v>
      </c>
      <c r="N956" s="1">
        <f t="shared" si="60"/>
        <v>8285790.1056911638</v>
      </c>
      <c r="O956" s="1"/>
    </row>
    <row r="957" spans="1:15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1.91E-5</v>
      </c>
      <c r="F957">
        <v>996586.51280000003</v>
      </c>
      <c r="G957">
        <v>924.24473769999997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1.7699178360968001E-2</v>
      </c>
      <c r="M957" s="1">
        <f t="shared" si="59"/>
        <v>3.5430691759326234E-2</v>
      </c>
      <c r="N957" s="1">
        <f t="shared" si="60"/>
        <v>802189.41879678634</v>
      </c>
      <c r="O957" s="1"/>
    </row>
    <row r="958" spans="1:15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5.5000000000000003E-7</v>
      </c>
      <c r="F958">
        <v>333844.68119999999</v>
      </c>
      <c r="G958" s="1">
        <v>-1.5400000000000002E-5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1.4796319047467751E-2</v>
      </c>
      <c r="M958" s="1">
        <f t="shared" si="59"/>
        <v>2.8730018684880697E-3</v>
      </c>
      <c r="N958" s="1">
        <f t="shared" si="60"/>
        <v>-3.7638960258724444E-2</v>
      </c>
      <c r="O958" s="1"/>
    </row>
    <row r="959" spans="1:15" x14ac:dyDescent="0.25">
      <c r="A959">
        <v>1543</v>
      </c>
      <c r="B959">
        <v>91014.136140000002</v>
      </c>
      <c r="C959" s="1">
        <v>-1.46E-6</v>
      </c>
      <c r="D959">
        <v>426362.46039999998</v>
      </c>
      <c r="E959" s="1">
        <v>4.0299999999999997E-5</v>
      </c>
      <c r="F959">
        <v>1077658.871</v>
      </c>
      <c r="G959">
        <v>-3.3305999999999999E-4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-7.1530445102051003E-3</v>
      </c>
      <c r="M959" s="1">
        <f t="shared" si="59"/>
        <v>6.6219554520501461E-2</v>
      </c>
      <c r="N959" s="1">
        <f t="shared" si="60"/>
        <v>-0.2560633155595668</v>
      </c>
      <c r="O959" s="1"/>
    </row>
    <row r="960" spans="1:15" x14ac:dyDescent="0.25">
      <c r="A960">
        <v>1544</v>
      </c>
      <c r="B960">
        <v>79284.199059999999</v>
      </c>
      <c r="C960" s="1">
        <v>-4.7999999999999998E-6</v>
      </c>
      <c r="D960">
        <v>395732.88880000002</v>
      </c>
      <c r="E960" s="1">
        <v>-3.4100000000000002E-5</v>
      </c>
      <c r="F960">
        <v>1096769.0630000001</v>
      </c>
      <c r="G960">
        <v>0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-3.3758917661352E-2</v>
      </c>
      <c r="M960" s="1">
        <f t="shared" si="59"/>
        <v>-8.0434949394537991E-2</v>
      </c>
      <c r="N960" s="1">
        <f t="shared" si="60"/>
        <v>0</v>
      </c>
      <c r="O960" s="1"/>
    </row>
    <row r="961" spans="1:15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-1.1E-5</v>
      </c>
      <c r="F961">
        <v>1077233.0090000001</v>
      </c>
      <c r="G961">
        <v>1.6079000000000001E-4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-5.1605336763951758E-2</v>
      </c>
      <c r="M961" s="1">
        <f t="shared" si="59"/>
        <v>-4.70083941348362E-2</v>
      </c>
      <c r="N961" s="1">
        <f t="shared" si="60"/>
        <v>0.32150330637193997</v>
      </c>
      <c r="O961" s="1"/>
    </row>
    <row r="962" spans="1:15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2.7699999999999999E-5</v>
      </c>
      <c r="F962">
        <v>563240.16639999999</v>
      </c>
      <c r="G962" s="1">
        <v>-4.4499999999999997E-5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-2.5043792961167502E-2</v>
      </c>
      <c r="M962" s="1">
        <f t="shared" si="59"/>
        <v>8.3690895503766502E-2</v>
      </c>
      <c r="N962" s="1">
        <f t="shared" si="60"/>
        <v>-6.2907457803397515E-2</v>
      </c>
      <c r="O962" s="1"/>
    </row>
    <row r="963" spans="1:15" x14ac:dyDescent="0.25">
      <c r="A963">
        <v>1547</v>
      </c>
      <c r="B963">
        <v>68758.01586</v>
      </c>
      <c r="C963" s="1">
        <v>4.6E-6</v>
      </c>
      <c r="D963">
        <v>390018.3075</v>
      </c>
      <c r="E963" s="1">
        <v>4.1199999999999999E-5</v>
      </c>
      <c r="F963">
        <v>957335.06909999996</v>
      </c>
      <c r="G963">
        <v>4082.8076879999999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3.7792748462053001E-2</v>
      </c>
      <c r="M963" s="1">
        <f t="shared" ref="M963:M1026" si="63">$U$3*$K963*E963</f>
        <v>0.11352486608253352</v>
      </c>
      <c r="N963" s="1">
        <f t="shared" ref="N963:N1026" si="64">$U$4*$K963*G963</f>
        <v>5263763.6940117246</v>
      </c>
      <c r="O963" s="1"/>
    </row>
    <row r="964" spans="1:15" x14ac:dyDescent="0.25">
      <c r="A964">
        <v>1548</v>
      </c>
      <c r="B964">
        <v>73843.330520000003</v>
      </c>
      <c r="C964">
        <v>0</v>
      </c>
      <c r="D964">
        <v>392977.07679999998</v>
      </c>
      <c r="E964" s="1">
        <v>-1.6799999999999998E-5</v>
      </c>
      <c r="F964">
        <v>1004964.289</v>
      </c>
      <c r="G964">
        <v>-4.2324000000000002E-4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0</v>
      </c>
      <c r="M964" s="1">
        <f t="shared" si="63"/>
        <v>-4.8599572002266875E-2</v>
      </c>
      <c r="N964" s="1">
        <f t="shared" si="64"/>
        <v>-0.57286665878451903</v>
      </c>
      <c r="O964" s="1"/>
    </row>
    <row r="965" spans="1:15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3.4600000000000001E-5</v>
      </c>
      <c r="F965">
        <v>877716.75950000004</v>
      </c>
      <c r="G965">
        <v>6090.2189559999997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-0.11291028333855921</v>
      </c>
      <c r="M965" s="1">
        <f t="shared" si="63"/>
        <v>0.35604501888214229</v>
      </c>
      <c r="N965" s="1">
        <f t="shared" si="64"/>
        <v>29322797.4445711</v>
      </c>
      <c r="O965" s="1"/>
    </row>
    <row r="966" spans="1:15" x14ac:dyDescent="0.25">
      <c r="A966">
        <v>1550</v>
      </c>
      <c r="B966">
        <v>76344.127900000007</v>
      </c>
      <c r="C966" s="1">
        <v>-2.1900000000000002E-6</v>
      </c>
      <c r="D966">
        <v>514260.20520000003</v>
      </c>
      <c r="E966" s="1">
        <v>3.4699999999999998E-6</v>
      </c>
      <c r="F966">
        <v>1009864.672</v>
      </c>
      <c r="G966">
        <v>4121.7305839999999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-1.5870510019982478E-2</v>
      </c>
      <c r="M966" s="1">
        <f t="shared" si="63"/>
        <v>8.4337239267410907E-3</v>
      </c>
      <c r="N966" s="1">
        <f t="shared" si="64"/>
        <v>4687196.7589533562</v>
      </c>
      <c r="O966" s="1"/>
    </row>
    <row r="967" spans="1:15" x14ac:dyDescent="0.25">
      <c r="A967">
        <v>1551</v>
      </c>
      <c r="B967">
        <v>16989.87542</v>
      </c>
      <c r="C967" s="1">
        <v>3.3000000000000002E-7</v>
      </c>
      <c r="D967">
        <v>259092.6882</v>
      </c>
      <c r="E967" s="1">
        <v>2.2500000000000001E-5</v>
      </c>
      <c r="F967">
        <v>853806.33400000003</v>
      </c>
      <c r="G967" s="1">
        <v>2.9600000000000001E-5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1.5441256191182251E-2</v>
      </c>
      <c r="M967" s="1">
        <f t="shared" si="63"/>
        <v>0.35309725695920252</v>
      </c>
      <c r="N967" s="1">
        <f t="shared" si="64"/>
        <v>0.21734377945182964</v>
      </c>
      <c r="O967" s="1"/>
    </row>
    <row r="968" spans="1:15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-2.5599999999999999E-5</v>
      </c>
      <c r="F968">
        <v>1128799.469</v>
      </c>
      <c r="G968">
        <v>3035.9950699999999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1.4256330716418701E-2</v>
      </c>
      <c r="M968" s="1">
        <f t="shared" si="63"/>
        <v>-5.7737104834680315E-2</v>
      </c>
      <c r="N968" s="1">
        <f t="shared" si="64"/>
        <v>3203758.5462092506</v>
      </c>
      <c r="O968" s="1"/>
    </row>
    <row r="969" spans="1:15" x14ac:dyDescent="0.25">
      <c r="A969">
        <v>1553</v>
      </c>
      <c r="B969">
        <v>173758.61910000001</v>
      </c>
      <c r="C969" s="1">
        <v>-4.0500000000000002E-5</v>
      </c>
      <c r="D969">
        <v>774407.44099999999</v>
      </c>
      <c r="E969" s="1">
        <v>3.04E-5</v>
      </c>
      <c r="F969">
        <v>1313754.5349999999</v>
      </c>
      <c r="G969">
        <v>8665.8569239999997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-9.1909627798423515E-2</v>
      </c>
      <c r="M969" s="1">
        <f t="shared" si="63"/>
        <v>2.3137834201166659E-2</v>
      </c>
      <c r="N969" s="1">
        <f t="shared" si="64"/>
        <v>3086059.6320152548</v>
      </c>
      <c r="O969" s="1"/>
    </row>
    <row r="970" spans="1:15" x14ac:dyDescent="0.25">
      <c r="A970">
        <v>1554</v>
      </c>
      <c r="B970">
        <v>27384.856670000001</v>
      </c>
      <c r="C970">
        <v>0</v>
      </c>
      <c r="D970">
        <v>333176.54340000002</v>
      </c>
      <c r="E970" s="1">
        <v>4.7299999999999998E-5</v>
      </c>
      <c r="F970">
        <v>869431.27980000002</v>
      </c>
      <c r="G970">
        <v>11359.75891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0</v>
      </c>
      <c r="M970" s="1">
        <f t="shared" si="63"/>
        <v>0.34353240798765811</v>
      </c>
      <c r="N970" s="1">
        <f t="shared" si="64"/>
        <v>38602849.653410658</v>
      </c>
      <c r="O970" s="1"/>
    </row>
    <row r="971" spans="1:15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>
        <v>1051.2452169999999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4.8047002947001503E-2</v>
      </c>
      <c r="M971" s="1">
        <f t="shared" si="63"/>
        <v>3.3909935618354668E-2</v>
      </c>
      <c r="N971" s="1">
        <f t="shared" si="64"/>
        <v>3446111.4167227182</v>
      </c>
      <c r="O971" s="1"/>
    </row>
    <row r="972" spans="1:15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3.8300000000000003E-5</v>
      </c>
      <c r="F972">
        <v>771257.54810000001</v>
      </c>
      <c r="G972">
        <v>12451.71911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3.9926952428740003E-2</v>
      </c>
      <c r="M972" s="1">
        <f t="shared" si="63"/>
        <v>0.17685204064112561</v>
      </c>
      <c r="N972" s="1">
        <f t="shared" si="64"/>
        <v>26901983.049985293</v>
      </c>
      <c r="O972" s="1"/>
    </row>
    <row r="973" spans="1:15" x14ac:dyDescent="0.25">
      <c r="A973">
        <v>1557</v>
      </c>
      <c r="B973">
        <v>60471.79062</v>
      </c>
      <c r="C973" s="1">
        <v>6.9999999999999997E-7</v>
      </c>
      <c r="D973">
        <v>247743.2151</v>
      </c>
      <c r="E973" s="1">
        <v>2.1399999999999998E-5</v>
      </c>
      <c r="F973">
        <v>855054.99540000001</v>
      </c>
      <c r="G973">
        <v>11329.414419999999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2.0081328864574248E-2</v>
      </c>
      <c r="M973" s="1">
        <f t="shared" si="63"/>
        <v>0.20589761630552042</v>
      </c>
      <c r="N973" s="1">
        <f t="shared" si="64"/>
        <v>51002173.790613435</v>
      </c>
      <c r="O973" s="1"/>
    </row>
    <row r="974" spans="1:15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4.4799999999999998E-5</v>
      </c>
      <c r="F974">
        <v>721466.87730000005</v>
      </c>
      <c r="G974" s="1">
        <v>-3.7799999999999997E-5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9.1790013115807506E-2</v>
      </c>
      <c r="M974" s="1">
        <f t="shared" si="63"/>
        <v>0.45972204312524223</v>
      </c>
      <c r="N974" s="1">
        <f t="shared" si="64"/>
        <v>-0.18149003824067048</v>
      </c>
      <c r="O974" s="1"/>
    </row>
    <row r="975" spans="1:15" x14ac:dyDescent="0.25">
      <c r="A975">
        <v>1559</v>
      </c>
      <c r="B975">
        <v>7965.786814</v>
      </c>
      <c r="C975" s="1">
        <v>-9.9999999999999995E-8</v>
      </c>
      <c r="D975">
        <v>175308.3149</v>
      </c>
      <c r="E975" s="1">
        <v>3.2199999999999997E-5</v>
      </c>
      <c r="F975">
        <v>709686.321</v>
      </c>
      <c r="G975">
        <v>18799.190780000001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-1.4968714958892499E-3</v>
      </c>
      <c r="M975" s="1">
        <f t="shared" si="63"/>
        <v>0.16165291003914123</v>
      </c>
      <c r="N975" s="1">
        <f t="shared" si="64"/>
        <v>44158111.201312795</v>
      </c>
      <c r="O975" s="1"/>
    </row>
    <row r="976" spans="1:15" x14ac:dyDescent="0.25">
      <c r="A976">
        <v>1560</v>
      </c>
      <c r="B976">
        <v>2902.181196</v>
      </c>
      <c r="C976">
        <v>0</v>
      </c>
      <c r="D976">
        <v>131730.45370000001</v>
      </c>
      <c r="E976" s="1">
        <v>2.3199999999999998E-6</v>
      </c>
      <c r="F976">
        <v>657042.16960000002</v>
      </c>
      <c r="G976">
        <v>594.94630489999997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0</v>
      </c>
      <c r="M976" s="1">
        <f t="shared" si="63"/>
        <v>3.2611568618192796E-2</v>
      </c>
      <c r="N976" s="1">
        <f t="shared" si="64"/>
        <v>3912957.7054955587</v>
      </c>
      <c r="O976" s="1"/>
    </row>
    <row r="977" spans="1:15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-3.65E-5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-8.4214672616392504E-3</v>
      </c>
      <c r="M977" s="1">
        <f t="shared" si="63"/>
        <v>3.3893166702228118E-2</v>
      </c>
      <c r="N977" s="1">
        <f t="shared" si="64"/>
        <v>-0.16078524417991247</v>
      </c>
      <c r="O977" s="1"/>
    </row>
    <row r="978" spans="1:15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>
        <v>1868.113243</v>
      </c>
      <c r="F978">
        <v>1387757.9210000001</v>
      </c>
      <c r="G978">
        <v>4158.5211120000004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3.6776150037594504E-2</v>
      </c>
      <c r="M978" s="1">
        <f t="shared" si="63"/>
        <v>828834.46678302053</v>
      </c>
      <c r="N978" s="1">
        <f t="shared" si="64"/>
        <v>863271.08066632354</v>
      </c>
      <c r="O978" s="1"/>
    </row>
    <row r="979" spans="1:15" x14ac:dyDescent="0.25">
      <c r="A979">
        <v>1563</v>
      </c>
      <c r="B979">
        <v>7187.3955500000002</v>
      </c>
      <c r="C979" s="1">
        <v>9.9999999999999995E-8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2.8353894771735002E-3</v>
      </c>
      <c r="M979" s="1">
        <f t="shared" si="63"/>
        <v>1.9969866194615819E-2</v>
      </c>
      <c r="N979" s="1">
        <f t="shared" si="64"/>
        <v>0.15083399591031582</v>
      </c>
      <c r="O979" s="1"/>
    </row>
    <row r="980" spans="1:15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1.04E-5</v>
      </c>
      <c r="F980">
        <v>423011.45159999997</v>
      </c>
      <c r="G980" s="1">
        <v>-4.6999999999999997E-5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2.6085194553847001E-3</v>
      </c>
      <c r="M980" s="1">
        <f t="shared" si="63"/>
        <v>4.1356890274462876E-2</v>
      </c>
      <c r="N980" s="1">
        <f t="shared" si="64"/>
        <v>-8.7449246637162595E-2</v>
      </c>
      <c r="O980" s="1"/>
    </row>
    <row r="981" spans="1:15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3.4900000000000001E-5</v>
      </c>
      <c r="F981">
        <v>543147.97790000006</v>
      </c>
      <c r="G981" s="1">
        <v>-2.9600000000000001E-5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9.4664779590127507E-2</v>
      </c>
      <c r="M981" s="1">
        <f t="shared" si="63"/>
        <v>0.41038665303567412</v>
      </c>
      <c r="N981" s="1">
        <f t="shared" si="64"/>
        <v>-0.16285578492222963</v>
      </c>
      <c r="O981" s="1"/>
    </row>
    <row r="982" spans="1:15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-3.3899999999999997E-5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2.3613293367429999E-3</v>
      </c>
      <c r="M982" s="1">
        <f t="shared" si="63"/>
        <v>8.1571213734195885E-3</v>
      </c>
      <c r="N982" s="1">
        <f t="shared" si="64"/>
        <v>-3.1403863771499792E-2</v>
      </c>
      <c r="O982" s="1"/>
    </row>
    <row r="983" spans="1:15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-2.5900000000000002E-6</v>
      </c>
      <c r="F983">
        <v>522725.82679999998</v>
      </c>
      <c r="G983" s="1">
        <v>-4.1199999999999999E-5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-2.4455498393504752E-2</v>
      </c>
      <c r="M983" s="1">
        <f t="shared" si="63"/>
        <v>-1.9311976927189722E-2</v>
      </c>
      <c r="N983" s="1">
        <f t="shared" si="64"/>
        <v>-0.14373676426414594</v>
      </c>
      <c r="O983" s="1"/>
    </row>
    <row r="984" spans="1:15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4.57E-5</v>
      </c>
      <c r="F984">
        <v>838852.59250000003</v>
      </c>
      <c r="G984">
        <v>5727.2280760000003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1.9607118424276499E-2</v>
      </c>
      <c r="M984" s="1">
        <f t="shared" si="63"/>
        <v>0.11130363419583879</v>
      </c>
      <c r="N984" s="1">
        <f t="shared" si="64"/>
        <v>6526514.4109146856</v>
      </c>
      <c r="O984" s="1"/>
    </row>
    <row r="985" spans="1:15" x14ac:dyDescent="0.25">
      <c r="A985">
        <v>1569</v>
      </c>
      <c r="B985">
        <v>19217.238799999999</v>
      </c>
      <c r="C985">
        <v>0</v>
      </c>
      <c r="D985">
        <v>128190.92479999999</v>
      </c>
      <c r="E985" s="1">
        <v>2.12E-5</v>
      </c>
      <c r="F985">
        <v>657674.98389999999</v>
      </c>
      <c r="G985">
        <v>2983.4186770000001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0</v>
      </c>
      <c r="M985" s="1">
        <f t="shared" si="63"/>
        <v>0.20235278937985335</v>
      </c>
      <c r="N985" s="1">
        <f t="shared" si="64"/>
        <v>13323895.469155265</v>
      </c>
      <c r="O985" s="1"/>
    </row>
    <row r="986" spans="1:15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>
        <v>8360.7850390000003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-2.8690956240920999E-2</v>
      </c>
      <c r="M986" s="1">
        <f t="shared" si="63"/>
        <v>9.087921694773779E-2</v>
      </c>
      <c r="N986" s="1">
        <f t="shared" si="64"/>
        <v>13941680.68647122</v>
      </c>
      <c r="O986" s="1"/>
    </row>
    <row r="987" spans="1:15" x14ac:dyDescent="0.25">
      <c r="A987">
        <v>1571</v>
      </c>
      <c r="B987">
        <v>37705.080470000001</v>
      </c>
      <c r="C987">
        <v>0</v>
      </c>
      <c r="D987">
        <v>159400.51459999999</v>
      </c>
      <c r="E987" s="1">
        <v>-3.9900000000000001E-5</v>
      </c>
      <c r="F987">
        <v>949003.41760000004</v>
      </c>
      <c r="G987">
        <v>11399.16071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0</v>
      </c>
      <c r="M987" s="1">
        <f t="shared" si="63"/>
        <v>-0.22244078150999649</v>
      </c>
      <c r="N987" s="1">
        <f t="shared" si="64"/>
        <v>29734324.12715568</v>
      </c>
      <c r="O987" s="1"/>
    </row>
    <row r="988" spans="1:15" x14ac:dyDescent="0.25">
      <c r="A988">
        <v>1572</v>
      </c>
      <c r="B988">
        <v>3792.9058540000001</v>
      </c>
      <c r="C988" s="1">
        <v>9.9999999999999995E-8</v>
      </c>
      <c r="D988">
        <v>34884.04664</v>
      </c>
      <c r="E988" s="1">
        <v>4.8999999999999997E-6</v>
      </c>
      <c r="F988">
        <v>291680.47739999997</v>
      </c>
      <c r="G988" s="1">
        <v>-2.6100000000000001E-5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3.0231435988975E-3</v>
      </c>
      <c r="M988" s="1">
        <f t="shared" si="63"/>
        <v>4.9681876805266298E-2</v>
      </c>
      <c r="N988" s="1">
        <f t="shared" si="64"/>
        <v>-0.12381865983053732</v>
      </c>
      <c r="O988" s="1"/>
    </row>
    <row r="989" spans="1:15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1.9899999999999999E-5</v>
      </c>
      <c r="F989">
        <v>952018.26950000005</v>
      </c>
      <c r="G989">
        <v>4336.6708390000003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5.1709366818850001E-2</v>
      </c>
      <c r="M989" s="1">
        <f t="shared" si="63"/>
        <v>7.5025275964392998E-2</v>
      </c>
      <c r="N989" s="1">
        <f t="shared" si="64"/>
        <v>7649880.7107087029</v>
      </c>
      <c r="O989" s="1"/>
    </row>
    <row r="990" spans="1:15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>
        <v>25607.144680000001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-5.2606038763408004E-2</v>
      </c>
      <c r="M990" s="1">
        <f t="shared" si="63"/>
        <v>2.2765491712998399E-2</v>
      </c>
      <c r="N990" s="1">
        <f t="shared" si="64"/>
        <v>68190186.330987722</v>
      </c>
      <c r="O990" s="1"/>
    </row>
    <row r="991" spans="1:15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>
        <v>14082.95714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-3.9780615070072502E-2</v>
      </c>
      <c r="M991" s="1">
        <f t="shared" si="63"/>
        <v>-2.1039002218716445E-2</v>
      </c>
      <c r="N991" s="1">
        <f t="shared" si="64"/>
        <v>33812619.584340982</v>
      </c>
      <c r="O991" s="1"/>
    </row>
    <row r="992" spans="1:15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-3.96E-5</v>
      </c>
      <c r="F992">
        <v>1049052.7549999999</v>
      </c>
      <c r="G992">
        <v>3067.3899350000002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-4.3579510140868E-3</v>
      </c>
      <c r="M992" s="1">
        <f t="shared" si="63"/>
        <v>-3.6174345686931272E-2</v>
      </c>
      <c r="N992" s="1">
        <f t="shared" si="64"/>
        <v>1311046.7095566879</v>
      </c>
      <c r="O992" s="1"/>
    </row>
    <row r="993" spans="1:15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>
        <v>22251.28817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6.1682054356763744E-2</v>
      </c>
      <c r="M993" s="1">
        <f t="shared" si="63"/>
        <v>7.6838216284425701E-3</v>
      </c>
      <c r="N993" s="1">
        <f t="shared" si="64"/>
        <v>61536495.373105638</v>
      </c>
      <c r="O993" s="1"/>
    </row>
    <row r="994" spans="1:15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4.6E-6</v>
      </c>
      <c r="F994">
        <v>500880.37040000001</v>
      </c>
      <c r="G994">
        <v>34231.29118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9.0039406556996007E-2</v>
      </c>
      <c r="M994" s="1">
        <f t="shared" si="63"/>
        <v>3.2304657207640641E-2</v>
      </c>
      <c r="N994" s="1">
        <f t="shared" si="64"/>
        <v>112479729.74588445</v>
      </c>
      <c r="O994" s="1"/>
    </row>
    <row r="995" spans="1:15" x14ac:dyDescent="0.25">
      <c r="A995">
        <v>1581</v>
      </c>
      <c r="B995">
        <v>33150.360670000002</v>
      </c>
      <c r="C995">
        <v>0</v>
      </c>
      <c r="D995">
        <v>155194.50520000001</v>
      </c>
      <c r="E995" s="1">
        <v>-1.19E-5</v>
      </c>
      <c r="F995">
        <v>941399.94</v>
      </c>
      <c r="G995">
        <v>11802.46595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0</v>
      </c>
      <c r="M995" s="1">
        <f t="shared" si="63"/>
        <v>-1.4619191166925449E-2</v>
      </c>
      <c r="N995" s="1">
        <f t="shared" si="64"/>
        <v>6784109.015629557</v>
      </c>
      <c r="O995" s="1"/>
    </row>
    <row r="996" spans="1:15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-1.1199999999999999E-5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-1.3498696959865001E-2</v>
      </c>
      <c r="M996" s="1">
        <f t="shared" si="63"/>
        <v>-2.200246070005811E-2</v>
      </c>
      <c r="N996" s="1">
        <f t="shared" si="64"/>
        <v>-4.7448958175230087E-2</v>
      </c>
      <c r="O996" s="1"/>
    </row>
    <row r="997" spans="1:15" x14ac:dyDescent="0.25">
      <c r="A997">
        <v>1583</v>
      </c>
      <c r="B997">
        <v>35079.252999999997</v>
      </c>
      <c r="C997">
        <v>0</v>
      </c>
      <c r="D997">
        <v>242819.57130000001</v>
      </c>
      <c r="E997" s="1">
        <v>4.4199999999999997E-5</v>
      </c>
      <c r="F997">
        <v>1127227.304</v>
      </c>
      <c r="G997">
        <v>4791.084108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0</v>
      </c>
      <c r="M997" s="1">
        <f t="shared" si="63"/>
        <v>0.1965104719049087</v>
      </c>
      <c r="N997" s="1">
        <f t="shared" si="64"/>
        <v>9966459.4107182976</v>
      </c>
      <c r="O997" s="1"/>
    </row>
    <row r="998" spans="1:15" x14ac:dyDescent="0.25">
      <c r="A998">
        <v>1584</v>
      </c>
      <c r="B998">
        <v>36981.330650000004</v>
      </c>
      <c r="C998" s="1">
        <v>2.2000000000000001E-6</v>
      </c>
      <c r="D998">
        <v>237119.0289</v>
      </c>
      <c r="E998" s="1">
        <v>-4.3800000000000001E-5</v>
      </c>
      <c r="F998">
        <v>1138562.618</v>
      </c>
      <c r="G998">
        <v>9092.445952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2.2185321825595506E-2</v>
      </c>
      <c r="M998" s="1">
        <f t="shared" si="63"/>
        <v>-0.14813589295071056</v>
      </c>
      <c r="N998" s="1">
        <f t="shared" si="64"/>
        <v>14388336.812551897</v>
      </c>
      <c r="O998" s="1"/>
    </row>
    <row r="999" spans="1:15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-3.3300000000000003E-5</v>
      </c>
      <c r="F999">
        <v>917592.15720000002</v>
      </c>
      <c r="G999">
        <v>11868.327359999999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-5.0402049428610748E-2</v>
      </c>
      <c r="M999" s="1">
        <f t="shared" si="63"/>
        <v>-0.18158245043278257</v>
      </c>
      <c r="N999" s="1">
        <f t="shared" si="64"/>
        <v>30280485.492720913</v>
      </c>
      <c r="O999" s="1"/>
    </row>
    <row r="1000" spans="1:15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3.3800000000000002E-5</v>
      </c>
      <c r="F1000">
        <v>1016039.441</v>
      </c>
      <c r="G1000">
        <v>4571.0251340000004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-3.0564687054329999E-2</v>
      </c>
      <c r="M1000" s="1">
        <f t="shared" si="63"/>
        <v>0.14436720518661869</v>
      </c>
      <c r="N1000" s="1">
        <f t="shared" si="64"/>
        <v>9135012.2944199108</v>
      </c>
      <c r="O1000" s="1"/>
    </row>
    <row r="1001" spans="1:15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-2.6999999999999999E-5</v>
      </c>
      <c r="F1001">
        <v>1033084.339</v>
      </c>
      <c r="G1001">
        <v>2512.9576310000002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2.9538680731787496E-3</v>
      </c>
      <c r="M1001" s="1">
        <f t="shared" si="63"/>
        <v>-5.3496823011477297E-2</v>
      </c>
      <c r="N1001" s="1">
        <f t="shared" si="64"/>
        <v>2329662.8374680132</v>
      </c>
      <c r="O1001" s="1"/>
    </row>
    <row r="1002" spans="1:15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-5.0999999999999999E-7</v>
      </c>
      <c r="F1002">
        <v>355590.23509999999</v>
      </c>
      <c r="G1002" s="1">
        <v>4.6300000000000001E-5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-1.2207579164722501E-2</v>
      </c>
      <c r="M1002" s="1">
        <f t="shared" si="63"/>
        <v>-6.9601982129940893E-3</v>
      </c>
      <c r="N1002" s="1">
        <f t="shared" si="64"/>
        <v>0.2956487864785563</v>
      </c>
      <c r="O1002" s="1"/>
    </row>
    <row r="1003" spans="1:15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>
        <v>5622.1922750000003</v>
      </c>
      <c r="F1003">
        <v>1325242.1499999999</v>
      </c>
      <c r="G1003">
        <v>10476.439679999999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1.382768389513875E-2</v>
      </c>
      <c r="M1003" s="1">
        <f t="shared" si="63"/>
        <v>13722861.272593714</v>
      </c>
      <c r="N1003" s="1">
        <f t="shared" si="64"/>
        <v>11964550.134927865</v>
      </c>
      <c r="O1003" s="1"/>
    </row>
    <row r="1004" spans="1:15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-2.4600000000000002E-5</v>
      </c>
      <c r="F1004">
        <v>1044378.0209999999</v>
      </c>
      <c r="G1004">
        <v>5120.7612339999996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3.4032305982987003E-2</v>
      </c>
      <c r="M1004" s="1">
        <f t="shared" si="63"/>
        <v>-0.1559901286543271</v>
      </c>
      <c r="N1004" s="1">
        <f t="shared" si="64"/>
        <v>15192883.713242069</v>
      </c>
      <c r="O1004" s="1"/>
    </row>
    <row r="1005" spans="1:15" x14ac:dyDescent="0.25">
      <c r="A1005">
        <v>1591</v>
      </c>
      <c r="B1005">
        <v>36193.948490000002</v>
      </c>
      <c r="C1005" s="1">
        <v>3.1E-6</v>
      </c>
      <c r="D1005">
        <v>223388.8947</v>
      </c>
      <c r="E1005" s="1">
        <v>2.9899999999999998E-5</v>
      </c>
      <c r="F1005">
        <v>1175877.879</v>
      </c>
      <c r="G1005">
        <v>2105.9884099999999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1.0346198999916E-2</v>
      </c>
      <c r="M1005" s="1">
        <f t="shared" si="63"/>
        <v>3.3468285022954077E-2</v>
      </c>
      <c r="N1005" s="1">
        <f t="shared" si="64"/>
        <v>1102965.4930523185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-2.1453024739096858E-2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2.2381780415217999E-2</v>
      </c>
      <c r="N1007" s="1">
        <f t="shared" si="64"/>
        <v>-0.1628428528283361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-2.1E-7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-2.4954696855837002E-3</v>
      </c>
      <c r="O1008" s="1"/>
    </row>
    <row r="1009" spans="1:15" x14ac:dyDescent="0.25">
      <c r="A1009">
        <v>1603</v>
      </c>
      <c r="B1009">
        <v>394.77280630000001</v>
      </c>
      <c r="C1009">
        <v>0</v>
      </c>
      <c r="D1009">
        <v>10222.09246</v>
      </c>
      <c r="E1009" s="1">
        <v>-3.3000000000000002E-6</v>
      </c>
      <c r="F1009">
        <v>33298.237710000001</v>
      </c>
      <c r="G1009" s="1">
        <v>-2.2000000000000001E-7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0</v>
      </c>
      <c r="M1009" s="1">
        <f t="shared" si="63"/>
        <v>-0.11901350728338392</v>
      </c>
      <c r="N1009" s="1">
        <f t="shared" si="64"/>
        <v>-3.7123479336101405E-3</v>
      </c>
      <c r="O1009" s="1"/>
    </row>
    <row r="1010" spans="1:15" x14ac:dyDescent="0.25">
      <c r="A1010">
        <v>1604</v>
      </c>
      <c r="B1010">
        <v>1045.8856470000001</v>
      </c>
      <c r="C1010" s="1">
        <v>9.9999999999999995E-8</v>
      </c>
      <c r="D1010">
        <v>10440.72147</v>
      </c>
      <c r="E1010" s="1">
        <v>-7.9999999999999996E-7</v>
      </c>
      <c r="F1010">
        <v>30849.654589999998</v>
      </c>
      <c r="G1010">
        <v>0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7.4982597287974982E-3</v>
      </c>
      <c r="M1010" s="1">
        <f t="shared" si="63"/>
        <v>-2.0118407641573598E-2</v>
      </c>
      <c r="N1010" s="1">
        <f t="shared" si="64"/>
        <v>0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 s="1">
        <v>-1.31E-6</v>
      </c>
      <c r="F1012">
        <v>41308.473010000002</v>
      </c>
      <c r="G1012">
        <v>0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-2.9441132718874951E-2</v>
      </c>
      <c r="N1012" s="1">
        <f t="shared" si="64"/>
        <v>0</v>
      </c>
      <c r="O1012" s="1"/>
    </row>
    <row r="1013" spans="1:15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6.6597800713664992E-3</v>
      </c>
      <c r="M1013" s="1">
        <f t="shared" si="63"/>
        <v>-1.9432213666698003E-2</v>
      </c>
      <c r="N1013" s="1">
        <f t="shared" si="64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1.87584999994596E-2</v>
      </c>
      <c r="O1014" s="1"/>
    </row>
    <row r="1015" spans="1:15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>
        <v>0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-7.063514039994101E-2</v>
      </c>
      <c r="M1015" s="1">
        <f t="shared" si="63"/>
        <v>-2.3277940449660826E-2</v>
      </c>
      <c r="N1015" s="1">
        <f t="shared" si="64"/>
        <v>0</v>
      </c>
      <c r="O1015" s="1"/>
    </row>
    <row r="1016" spans="1:15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-2.0522277374884998E-4</v>
      </c>
      <c r="M1016" s="1">
        <f t="shared" si="63"/>
        <v>-6.8828561041921999E-5</v>
      </c>
      <c r="N1016" s="1">
        <f t="shared" si="64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-1.3403891572175001E-3</v>
      </c>
      <c r="M1017" s="1">
        <f t="shared" si="63"/>
        <v>-4.495459019591E-4</v>
      </c>
      <c r="N1017" s="1">
        <f t="shared" si="64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>
        <v>0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0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>
        <v>0</v>
      </c>
      <c r="F1020">
        <v>10093.031569999999</v>
      </c>
      <c r="G1020">
        <v>0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0</v>
      </c>
      <c r="N1020" s="1">
        <f t="shared" si="64"/>
        <v>0</v>
      </c>
      <c r="O1020" s="1"/>
    </row>
    <row r="1021" spans="1:15" x14ac:dyDescent="0.25">
      <c r="A1021">
        <v>1617</v>
      </c>
      <c r="B1021">
        <v>852.81615380000005</v>
      </c>
      <c r="C1021">
        <v>0</v>
      </c>
      <c r="D1021">
        <v>1091.7974180000001</v>
      </c>
      <c r="E1021">
        <v>0</v>
      </c>
      <c r="F1021">
        <v>11306.136780000001</v>
      </c>
      <c r="G1021" s="1">
        <v>-1.1000000000000001E-7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0</v>
      </c>
      <c r="M1021" s="1">
        <f t="shared" si="63"/>
        <v>0</v>
      </c>
      <c r="N1021" s="1">
        <f t="shared" si="64"/>
        <v>-7.7051821220022016E-4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-9.4273595127387408E-2</v>
      </c>
      <c r="O1022" s="1"/>
    </row>
    <row r="1023" spans="1:15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3.9500000000000003E-6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-8.1915243171033672E-2</v>
      </c>
      <c r="M1023" s="1">
        <f t="shared" si="63"/>
        <v>-1.2307487687020112E-2</v>
      </c>
      <c r="N1023" s="1">
        <f t="shared" si="64"/>
        <v>1.0780222594678906E-2</v>
      </c>
      <c r="O1023" s="1"/>
    </row>
    <row r="1024" spans="1:15" x14ac:dyDescent="0.25">
      <c r="A1024">
        <v>1620</v>
      </c>
      <c r="B1024">
        <v>13629.850899999999</v>
      </c>
      <c r="C1024">
        <v>0</v>
      </c>
      <c r="D1024">
        <v>43394.743190000001</v>
      </c>
      <c r="E1024" s="1">
        <v>4.5199999999999999E-6</v>
      </c>
      <c r="F1024">
        <v>265101.59659999999</v>
      </c>
      <c r="G1024" s="1">
        <v>3.2700000000000002E-5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0</v>
      </c>
      <c r="M1024" s="1">
        <f t="shared" si="63"/>
        <v>1.3834301974710868E-2</v>
      </c>
      <c r="N1024" s="1">
        <f t="shared" si="64"/>
        <v>4.6828500047140773E-2</v>
      </c>
      <c r="O1024" s="1"/>
    </row>
    <row r="1025" spans="1:15" x14ac:dyDescent="0.25">
      <c r="A1025">
        <v>1621</v>
      </c>
      <c r="B1025">
        <v>9222.9582009999995</v>
      </c>
      <c r="C1025" s="1">
        <v>-3.9999999999999998E-7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-9.6299390701150012E-3</v>
      </c>
      <c r="M1025" s="1">
        <f t="shared" si="63"/>
        <v>-5.8135201401740407E-3</v>
      </c>
      <c r="N1025" s="1">
        <f t="shared" si="64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-1.7765075939629997E-2</v>
      </c>
      <c r="N1026" s="1">
        <f t="shared" si="64"/>
        <v>4.62152746187292E-2</v>
      </c>
      <c r="O1026" s="1"/>
    </row>
    <row r="1027" spans="1:15" x14ac:dyDescent="0.25">
      <c r="A1027">
        <v>1623</v>
      </c>
      <c r="B1027">
        <v>6782.4315370000004</v>
      </c>
      <c r="C1027" s="1">
        <v>9.9999999999999995E-8</v>
      </c>
      <c r="D1027">
        <v>16671.698260000001</v>
      </c>
      <c r="E1027" s="1">
        <v>-1.4100000000000001E-6</v>
      </c>
      <c r="F1027">
        <v>33532.398759999996</v>
      </c>
      <c r="G1027" s="1">
        <v>-2.92E-6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2.2130925781965001E-3</v>
      </c>
      <c r="M1027" s="1">
        <f t="shared" ref="M1027:M1090" si="67">$U$3*$K1027*E1027</f>
        <v>-1.046554456440062E-2</v>
      </c>
      <c r="N1027" s="1">
        <f t="shared" ref="N1027:N1090" si="68">$U$4*$K1027*G1027</f>
        <v>-1.0140730669077625E-2</v>
      </c>
      <c r="O1027" s="1"/>
    </row>
    <row r="1028" spans="1:15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-2.1100000000000001E-5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-4.0307737602353323E-2</v>
      </c>
      <c r="M1028" s="1">
        <f t="shared" si="67"/>
        <v>2.035271878117351E-2</v>
      </c>
      <c r="N1028" s="1">
        <f t="shared" si="68"/>
        <v>-4.9247977784720315E-2</v>
      </c>
      <c r="O1028" s="1"/>
    </row>
    <row r="1029" spans="1:15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-9.7599999999999997E-6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-2.0559187246780651E-2</v>
      </c>
      <c r="M1029" s="1">
        <f t="shared" si="67"/>
        <v>-0.10220596719452481</v>
      </c>
      <c r="N1029" s="1">
        <f t="shared" si="68"/>
        <v>-1.1165893119429938E-2</v>
      </c>
      <c r="O1029" s="1"/>
    </row>
    <row r="1030" spans="1:15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-3.7823059229650499E-2</v>
      </c>
      <c r="M1030" s="1">
        <f t="shared" si="67"/>
        <v>4.3156080586535398E-3</v>
      </c>
      <c r="N1030" s="1">
        <f t="shared" si="68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1.7200000000000001E-5</v>
      </c>
      <c r="F1031">
        <v>672268.06889999995</v>
      </c>
      <c r="G1031" s="1">
        <v>4.2799999999999997E-5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-2.9550707744817353E-2</v>
      </c>
      <c r="M1031" s="1">
        <f t="shared" si="67"/>
        <v>5.2939958795970923E-2</v>
      </c>
      <c r="N1031" s="1">
        <f t="shared" si="68"/>
        <v>6.1637157062004115E-2</v>
      </c>
      <c r="O1031" s="1"/>
    </row>
    <row r="1032" spans="1:15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-2.3099999999999999E-5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-1.5485135285000552E-2</v>
      </c>
      <c r="M1032" s="1">
        <f t="shared" si="67"/>
        <v>-5.8196399318773476E-3</v>
      </c>
      <c r="N1032" s="1">
        <f t="shared" si="68"/>
        <v>-3.9810229960194538E-2</v>
      </c>
      <c r="O1032" s="1"/>
    </row>
    <row r="1033" spans="1:15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1.7600000000000001E-6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-2.4621439137724002E-3</v>
      </c>
      <c r="M1033" s="1">
        <f t="shared" si="67"/>
        <v>-1.9367947172897183E-2</v>
      </c>
      <c r="N1033" s="1">
        <f t="shared" si="68"/>
        <v>6.181875180425473E-3</v>
      </c>
      <c r="O1033" s="1"/>
    </row>
    <row r="1034" spans="1:15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-1.5E-6</v>
      </c>
      <c r="F1034">
        <v>458677.16190000001</v>
      </c>
      <c r="G1034" s="1">
        <v>-3.7599999999999999E-5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-1.46066658372817E-2</v>
      </c>
      <c r="M1034" s="1">
        <f t="shared" si="67"/>
        <v>-2.0299106369703001E-3</v>
      </c>
      <c r="N1034" s="1">
        <f t="shared" si="68"/>
        <v>-2.3807685855989281E-2</v>
      </c>
      <c r="O1034" s="1"/>
    </row>
    <row r="1035" spans="1:15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-4.7500000000000003E-6</v>
      </c>
      <c r="F1035">
        <v>622913.54599999997</v>
      </c>
      <c r="G1035" s="1">
        <v>-3.4400000000000003E-5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1.1732467741769777E-2</v>
      </c>
      <c r="M1035" s="1">
        <f t="shared" si="67"/>
        <v>-6.2510781304875758E-3</v>
      </c>
      <c r="N1035" s="1">
        <f t="shared" si="68"/>
        <v>-2.1181828048531921E-2</v>
      </c>
      <c r="O1035" s="1"/>
    </row>
    <row r="1036" spans="1:15" x14ac:dyDescent="0.25">
      <c r="A1036">
        <v>1632</v>
      </c>
      <c r="B1036">
        <v>10530.420029999999</v>
      </c>
      <c r="C1036">
        <v>0</v>
      </c>
      <c r="D1036">
        <v>32956.377439999997</v>
      </c>
      <c r="E1036" s="1">
        <v>3.2000000000000001E-7</v>
      </c>
      <c r="F1036">
        <v>190069.6347</v>
      </c>
      <c r="G1036" s="1">
        <v>3.6999999999999998E-5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0</v>
      </c>
      <c r="M1036" s="1">
        <f t="shared" si="67"/>
        <v>4.7610026660867199E-3</v>
      </c>
      <c r="N1036" s="1">
        <f t="shared" si="68"/>
        <v>0.257569152262203</v>
      </c>
      <c r="O1036" s="1"/>
    </row>
    <row r="1037" spans="1:15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1.8099999999999999E-5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5.4515002747958036E-2</v>
      </c>
      <c r="M1037" s="1">
        <f t="shared" si="67"/>
        <v>1.7752837753002574E-2</v>
      </c>
      <c r="N1037" s="1">
        <f t="shared" si="68"/>
        <v>4.0854718113773135E-2</v>
      </c>
      <c r="O1037" s="1"/>
    </row>
    <row r="1038" spans="1:15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>
        <v>0</v>
      </c>
      <c r="F1038">
        <v>259052.20120000001</v>
      </c>
      <c r="G1038" s="1">
        <v>1.8899999999999999E-5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-0.12446110925039935</v>
      </c>
      <c r="M1038" s="1">
        <f t="shared" si="67"/>
        <v>0</v>
      </c>
      <c r="N1038" s="1">
        <f t="shared" si="68"/>
        <v>8.1847561457588217E-2</v>
      </c>
      <c r="O1038" s="1"/>
    </row>
    <row r="1039" spans="1:15" x14ac:dyDescent="0.25">
      <c r="A1039">
        <v>1635</v>
      </c>
      <c r="B1039">
        <v>19472.835179999998</v>
      </c>
      <c r="C1039" s="1">
        <v>-2.1E-7</v>
      </c>
      <c r="D1039">
        <v>100942.0592</v>
      </c>
      <c r="E1039" s="1">
        <v>-4.4299999999999999E-5</v>
      </c>
      <c r="F1039">
        <v>557121.48580000002</v>
      </c>
      <c r="G1039" s="1">
        <v>-2.8E-5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-1.0983379049438252E-3</v>
      </c>
      <c r="M1039" s="1">
        <f t="shared" si="67"/>
        <v>-7.7707607935564069E-2</v>
      </c>
      <c r="N1039" s="1">
        <f t="shared" si="68"/>
        <v>-2.2980608472670801E-2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>
        <v>0</v>
      </c>
      <c r="F1040">
        <v>33742.066630000001</v>
      </c>
      <c r="G1040" s="1">
        <v>4.8199999999999996E-6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0</v>
      </c>
      <c r="N1040" s="1">
        <f t="shared" si="68"/>
        <v>4.8914016056494924E-2</v>
      </c>
      <c r="O1040" s="1"/>
    </row>
    <row r="1041" spans="1:15" x14ac:dyDescent="0.25">
      <c r="A1041">
        <v>1638</v>
      </c>
      <c r="B1041">
        <v>2183.4131560000001</v>
      </c>
      <c r="C1041">
        <v>0</v>
      </c>
      <c r="D1041">
        <v>14090.55912</v>
      </c>
      <c r="E1041">
        <v>0</v>
      </c>
      <c r="F1041">
        <v>37205.376080000002</v>
      </c>
      <c r="G1041" s="1">
        <v>1.2700000000000001E-7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0</v>
      </c>
      <c r="M1041" s="1">
        <f t="shared" si="67"/>
        <v>0</v>
      </c>
      <c r="N1041" s="1">
        <f t="shared" si="68"/>
        <v>9.3595121367358531E-4</v>
      </c>
      <c r="O1041" s="1"/>
    </row>
    <row r="1042" spans="1:15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4.4000000000000002E-6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-2.102704982742E-2</v>
      </c>
      <c r="M1042" s="1">
        <f t="shared" si="67"/>
        <v>-2.6798166272361118E-2</v>
      </c>
      <c r="N1042" s="1">
        <f t="shared" si="68"/>
        <v>3.6295922932869609E-2</v>
      </c>
      <c r="O1042" s="1"/>
    </row>
    <row r="1043" spans="1:15" x14ac:dyDescent="0.25">
      <c r="A1043">
        <v>1640</v>
      </c>
      <c r="B1043">
        <v>10334.02087</v>
      </c>
      <c r="C1043">
        <v>0</v>
      </c>
      <c r="D1043">
        <v>36688.142390000001</v>
      </c>
      <c r="E1043" s="1">
        <v>1.22E-6</v>
      </c>
      <c r="F1043">
        <v>250726.23860000001</v>
      </c>
      <c r="G1043" s="1">
        <v>3.29E-5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0</v>
      </c>
      <c r="M1043" s="1">
        <f t="shared" si="67"/>
        <v>6.0530291145056998E-3</v>
      </c>
      <c r="N1043" s="1">
        <f t="shared" si="68"/>
        <v>7.6375225983073503E-2</v>
      </c>
      <c r="O1043" s="1"/>
    </row>
    <row r="1044" spans="1:15" x14ac:dyDescent="0.25">
      <c r="A1044">
        <v>1641</v>
      </c>
      <c r="B1044">
        <v>2541.525838</v>
      </c>
      <c r="C1044">
        <v>0</v>
      </c>
      <c r="D1044">
        <v>21187.978139999999</v>
      </c>
      <c r="E1044" s="1">
        <v>-4.2200000000000003E-6</v>
      </c>
      <c r="F1044">
        <v>69596.962939999998</v>
      </c>
      <c r="G1044" s="1">
        <v>7.9699999999999995E-7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0</v>
      </c>
      <c r="M1044" s="1">
        <f t="shared" si="67"/>
        <v>-2.6164032313892093E-2</v>
      </c>
      <c r="N1044" s="1">
        <f t="shared" si="68"/>
        <v>2.3120340481385536E-3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 s="1">
        <v>-2.3199999999999998E-6</v>
      </c>
      <c r="F1045">
        <v>89832.328179999997</v>
      </c>
      <c r="G1045" s="1">
        <v>8.9700000000000005E-7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-2.7282468740106397E-2</v>
      </c>
      <c r="N1045" s="1">
        <f t="shared" si="68"/>
        <v>4.9355073451979106E-3</v>
      </c>
      <c r="O1045" s="1"/>
    </row>
    <row r="1046" spans="1:15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4.5200000000000001E-5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-1.4413715441368749E-2</v>
      </c>
      <c r="M1046" s="1">
        <f t="shared" si="67"/>
        <v>7.9956649294234041E-3</v>
      </c>
      <c r="N1046" s="1">
        <f t="shared" si="68"/>
        <v>0.20447074975657381</v>
      </c>
      <c r="O1046" s="1"/>
    </row>
    <row r="1047" spans="1:15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-1.37E-6</v>
      </c>
      <c r="F1047">
        <v>137673.23050000001</v>
      </c>
      <c r="G1047" s="1">
        <v>-4.0599999999999998E-5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5.9458551417057E-3</v>
      </c>
      <c r="M1047" s="1">
        <f t="shared" si="67"/>
        <v>-1.4378859081958092E-2</v>
      </c>
      <c r="N1047" s="1">
        <f t="shared" si="68"/>
        <v>-0.19937631832252345</v>
      </c>
      <c r="O1047" s="1"/>
    </row>
    <row r="1048" spans="1:15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3.7000000000000002E-6</v>
      </c>
      <c r="F1048">
        <v>276533.22169999999</v>
      </c>
      <c r="G1048" s="1">
        <v>-3.3699999999999999E-5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1.254921423483E-2</v>
      </c>
      <c r="M1048" s="1">
        <f t="shared" si="67"/>
        <v>3.8931523853130298E-2</v>
      </c>
      <c r="N1048" s="1">
        <f t="shared" si="68"/>
        <v>-0.16591026542617171</v>
      </c>
      <c r="O1048" s="1"/>
    </row>
    <row r="1049" spans="1:15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-4.9799999999999998E-5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-2.6591316321180003E-4</v>
      </c>
      <c r="M1049" s="1">
        <f t="shared" si="67"/>
        <v>3.1927579861079566E-2</v>
      </c>
      <c r="N1049" s="1">
        <f t="shared" si="68"/>
        <v>-0.20780500059240914</v>
      </c>
      <c r="O1049" s="1"/>
    </row>
    <row r="1050" spans="1:15" x14ac:dyDescent="0.25">
      <c r="A1050">
        <v>1701</v>
      </c>
      <c r="B1050">
        <v>17624.568510000001</v>
      </c>
      <c r="C1050" s="1">
        <v>7.9999999999999996E-7</v>
      </c>
      <c r="D1050">
        <v>185480.05480000001</v>
      </c>
      <c r="E1050" s="1">
        <v>-4.2400000000000001E-5</v>
      </c>
      <c r="F1050">
        <v>696389.76789999998</v>
      </c>
      <c r="G1050" s="1">
        <v>-1.9599999999999999E-5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1.8547326738641998E-2</v>
      </c>
      <c r="M1050" s="1">
        <f t="shared" si="67"/>
        <v>-0.32968586636656871</v>
      </c>
      <c r="N1050" s="1">
        <f t="shared" si="68"/>
        <v>-7.1307337722871317E-2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 s="1">
        <v>9.9999999999999995E-8</v>
      </c>
      <c r="F1051">
        <v>39439.403780000001</v>
      </c>
      <c r="G1051" s="1">
        <v>2.5000000000000002E-6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3.4711289489131993E-3</v>
      </c>
      <c r="N1051" s="1">
        <f t="shared" si="68"/>
        <v>4.060265513637E-2</v>
      </c>
      <c r="O1051" s="1"/>
    </row>
    <row r="1052" spans="1:15" x14ac:dyDescent="0.25">
      <c r="A1052">
        <v>1703</v>
      </c>
      <c r="B1052">
        <v>36697.562830000003</v>
      </c>
      <c r="C1052" s="1">
        <v>-4.42E-6</v>
      </c>
      <c r="D1052">
        <v>300312.72649999999</v>
      </c>
      <c r="E1052" s="1">
        <v>4.0099999999999999E-5</v>
      </c>
      <c r="F1052">
        <v>821054.53040000005</v>
      </c>
      <c r="G1052">
        <v>1028.976521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-0.19322634516449552</v>
      </c>
      <c r="M1052" s="1">
        <f t="shared" si="67"/>
        <v>0.58793806618830036</v>
      </c>
      <c r="N1052" s="1">
        <f t="shared" si="68"/>
        <v>7058888.96140501</v>
      </c>
      <c r="O1052" s="1"/>
    </row>
    <row r="1053" spans="1:15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3.2899999999999998E-6</v>
      </c>
      <c r="F1053">
        <v>320964.54460000002</v>
      </c>
      <c r="G1053" s="1">
        <v>2.4300000000000001E-5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-8.4444476593749998E-3</v>
      </c>
      <c r="M1053" s="1">
        <f t="shared" si="67"/>
        <v>4.6588667309668749E-2</v>
      </c>
      <c r="N1053" s="1">
        <f t="shared" si="68"/>
        <v>0.16100313821943751</v>
      </c>
      <c r="O1053" s="1"/>
    </row>
    <row r="1054" spans="1:15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5.6799999999999998E-6</v>
      </c>
      <c r="F1054">
        <v>785874.84400000004</v>
      </c>
      <c r="G1054">
        <v>2552.869698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-0.13439044585391752</v>
      </c>
      <c r="M1054" s="1">
        <f t="shared" si="67"/>
        <v>8.8279907519445519E-2</v>
      </c>
      <c r="N1054" s="1">
        <f t="shared" si="68"/>
        <v>18564611.292286433</v>
      </c>
      <c r="O1054" s="1"/>
    </row>
    <row r="1055" spans="1:15" x14ac:dyDescent="0.25">
      <c r="A1055">
        <v>1706</v>
      </c>
      <c r="B1055">
        <v>9619.4457490000004</v>
      </c>
      <c r="C1055" s="1">
        <v>9.9999999999999995E-8</v>
      </c>
      <c r="D1055">
        <v>150951.1017</v>
      </c>
      <c r="E1055" s="1">
        <v>-4.1E-5</v>
      </c>
      <c r="F1055">
        <v>672143.15610000002</v>
      </c>
      <c r="G1055">
        <v>192.80951529999999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3.0108793107087497E-3</v>
      </c>
      <c r="M1055" s="1">
        <f t="shared" si="67"/>
        <v>-0.41401906583253545</v>
      </c>
      <c r="N1055" s="1">
        <f t="shared" si="68"/>
        <v>910979.54482314328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 s="1">
        <v>3.05E-6</v>
      </c>
      <c r="F1056">
        <v>275086.64140000002</v>
      </c>
      <c r="G1056" s="1">
        <v>-4.7200000000000002E-5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3.37936989197197E-2</v>
      </c>
      <c r="N1056" s="1">
        <f t="shared" si="68"/>
        <v>-0.24469301260204321</v>
      </c>
      <c r="O1056" s="1"/>
    </row>
    <row r="1057" spans="1:15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-1.9400000000000001E-5</v>
      </c>
      <c r="F1057">
        <v>638715.76309999998</v>
      </c>
      <c r="G1057" s="1">
        <v>1.6200000000000001E-5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-1.4960105733592499E-2</v>
      </c>
      <c r="M1057" s="1">
        <f t="shared" si="67"/>
        <v>-0.19467470513387508</v>
      </c>
      <c r="N1057" s="1">
        <f t="shared" si="68"/>
        <v>7.6061780659040762E-2</v>
      </c>
      <c r="O1057" s="1"/>
    </row>
    <row r="1058" spans="1:15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3.3699999999999999E-6</v>
      </c>
      <c r="F1058">
        <v>702542.80090000003</v>
      </c>
      <c r="G1058">
        <v>858.43564249999997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1.616859488959E-2</v>
      </c>
      <c r="M1058" s="1">
        <f t="shared" si="67"/>
        <v>9.1372460935278371E-2</v>
      </c>
      <c r="N1058" s="1">
        <f t="shared" si="68"/>
        <v>10890224.696319044</v>
      </c>
      <c r="O1058" s="1"/>
    </row>
    <row r="1059" spans="1:15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-1.24E-5</v>
      </c>
      <c r="F1059">
        <v>879359.16520000005</v>
      </c>
      <c r="G1059" s="1">
        <v>-3.4999999999999999E-6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-4.3985110119210004E-2</v>
      </c>
      <c r="M1059" s="1">
        <f t="shared" si="67"/>
        <v>-0.2032488028619632</v>
      </c>
      <c r="N1059" s="1">
        <f t="shared" si="68"/>
        <v>-2.6842195406082001E-2</v>
      </c>
      <c r="O1059" s="1"/>
    </row>
    <row r="1060" spans="1:15" x14ac:dyDescent="0.25">
      <c r="A1060">
        <v>1712</v>
      </c>
      <c r="B1060">
        <v>29980.5746</v>
      </c>
      <c r="C1060" s="1">
        <v>-1.9999999999999999E-7</v>
      </c>
      <c r="D1060">
        <v>357190.2352</v>
      </c>
      <c r="E1060" s="1">
        <v>-3.01E-5</v>
      </c>
      <c r="F1060">
        <v>791574.61360000004</v>
      </c>
      <c r="G1060">
        <v>9018.7578589999994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-1.3178708257520001E-2</v>
      </c>
      <c r="M1060" s="1">
        <f t="shared" si="67"/>
        <v>-0.66520036803226723</v>
      </c>
      <c r="N1060" s="1">
        <f t="shared" si="68"/>
        <v>93255915.571043253</v>
      </c>
      <c r="O1060" s="1"/>
    </row>
    <row r="1061" spans="1:15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2.9600000000000001E-5</v>
      </c>
      <c r="F1061">
        <v>715708.29590000003</v>
      </c>
      <c r="G1061">
        <v>2552.8697099999999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-2.5519971038575003E-2</v>
      </c>
      <c r="M1061" s="1">
        <f t="shared" si="67"/>
        <v>0.50669313574682084</v>
      </c>
      <c r="N1061" s="1">
        <f t="shared" si="68"/>
        <v>20446813.626382913</v>
      </c>
      <c r="O1061" s="1"/>
    </row>
    <row r="1062" spans="1:15" x14ac:dyDescent="0.25">
      <c r="A1062">
        <v>1714</v>
      </c>
      <c r="B1062">
        <v>94149.781860000003</v>
      </c>
      <c r="C1062" s="1">
        <v>3.0000000000000001E-6</v>
      </c>
      <c r="D1062">
        <v>582656.59589999996</v>
      </c>
      <c r="E1062" s="1">
        <v>-4.99E-5</v>
      </c>
      <c r="F1062">
        <v>1028993.802</v>
      </c>
      <c r="G1062">
        <v>8665.8564819999992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9.1756704263737512E-2</v>
      </c>
      <c r="M1062" s="1">
        <f t="shared" si="67"/>
        <v>-0.51187065657527653</v>
      </c>
      <c r="N1062" s="1">
        <f t="shared" si="68"/>
        <v>41592484.052260719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 s="1">
        <v>-2.5000000000000002E-6</v>
      </c>
      <c r="F1063">
        <v>220652.48329999999</v>
      </c>
      <c r="G1063" s="1">
        <v>-1.49E-5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-4.0612893047267506E-2</v>
      </c>
      <c r="N1063" s="1">
        <f t="shared" si="68"/>
        <v>-0.11325408229951771</v>
      </c>
      <c r="O1063" s="1"/>
    </row>
    <row r="1064" spans="1:15" x14ac:dyDescent="0.25">
      <c r="A1064">
        <v>1716</v>
      </c>
      <c r="B1064">
        <v>37490.105799999998</v>
      </c>
      <c r="C1064" s="1">
        <v>-7.9999999999999996E-7</v>
      </c>
      <c r="D1064">
        <v>396795.95750000002</v>
      </c>
      <c r="E1064" s="1">
        <v>-1.77E-5</v>
      </c>
      <c r="F1064">
        <v>883977.50159999996</v>
      </c>
      <c r="G1064">
        <v>819.39935990000004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-2.5430880859618001E-2</v>
      </c>
      <c r="M1064" s="1">
        <f t="shared" si="67"/>
        <v>-0.18870691708638851</v>
      </c>
      <c r="N1064" s="1">
        <f t="shared" si="68"/>
        <v>4087463.163081815</v>
      </c>
      <c r="O1064" s="1"/>
    </row>
    <row r="1065" spans="1:15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-4.3399999999999998E-5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-1.1132776150431E-2</v>
      </c>
      <c r="M1065" s="1">
        <f t="shared" si="67"/>
        <v>3.5470737550065544E-2</v>
      </c>
      <c r="N1065" s="1">
        <f t="shared" si="68"/>
        <v>-0.18954835947203058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 s="1">
        <v>2.4899999999999999E-6</v>
      </c>
      <c r="F1066">
        <v>270048.43109999999</v>
      </c>
      <c r="G1066" s="1">
        <v>2.2200000000000001E-5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3.9589896013762164E-2</v>
      </c>
      <c r="N1066" s="1">
        <f t="shared" si="68"/>
        <v>0.1651511744842914</v>
      </c>
      <c r="O1066" s="1"/>
    </row>
    <row r="1067" spans="1:15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>
        <v>1882.2823969999999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-5.8515308716084992E-2</v>
      </c>
      <c r="M1067" s="1">
        <f t="shared" si="67"/>
        <v>-7.065048350828231E-3</v>
      </c>
      <c r="N1067" s="1">
        <f t="shared" si="68"/>
        <v>8641937.0971025862</v>
      </c>
      <c r="O1067" s="1"/>
    </row>
    <row r="1068" spans="1:15" x14ac:dyDescent="0.25">
      <c r="A1068">
        <v>1722</v>
      </c>
      <c r="B1068">
        <v>7421.6540779999996</v>
      </c>
      <c r="C1068">
        <v>0</v>
      </c>
      <c r="D1068">
        <v>54564.457269999999</v>
      </c>
      <c r="E1068" s="1">
        <v>1.9800000000000001E-6</v>
      </c>
      <c r="F1068">
        <v>422345.58159999998</v>
      </c>
      <c r="G1068" s="1">
        <v>-4.74E-5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0</v>
      </c>
      <c r="M1068" s="1">
        <f t="shared" si="67"/>
        <v>1.6350227389770121E-2</v>
      </c>
      <c r="N1068" s="1">
        <f t="shared" si="68"/>
        <v>-0.18313891062936841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-2.0555589949596996E-3</v>
      </c>
      <c r="N1069" s="1">
        <f t="shared" si="68"/>
        <v>-2.414056027016433E-2</v>
      </c>
      <c r="O1069" s="1"/>
    </row>
    <row r="1070" spans="1:15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-4.3699999999999997E-6</v>
      </c>
      <c r="F1070">
        <v>413412.79119999998</v>
      </c>
      <c r="G1070" s="1">
        <v>-1.8700000000000001E-5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1.009811003019E-2</v>
      </c>
      <c r="M1070" s="1">
        <f t="shared" si="67"/>
        <v>-7.4000503856621574E-2</v>
      </c>
      <c r="N1070" s="1">
        <f t="shared" si="68"/>
        <v>-0.14816257747372624</v>
      </c>
      <c r="O1070" s="1"/>
    </row>
    <row r="1071" spans="1:15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4.5499999999999996E-6</v>
      </c>
      <c r="F1071">
        <v>243948.69839999999</v>
      </c>
      <c r="G1071">
        <v>0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0.116425422352395</v>
      </c>
      <c r="M1071" s="1">
        <f t="shared" si="67"/>
        <v>9.8702885838752655E-2</v>
      </c>
      <c r="N1071" s="1">
        <f t="shared" si="68"/>
        <v>0</v>
      </c>
      <c r="O1071" s="1"/>
    </row>
    <row r="1072" spans="1:15" x14ac:dyDescent="0.25">
      <c r="A1072">
        <v>1726</v>
      </c>
      <c r="B1072">
        <v>33336.419479999997</v>
      </c>
      <c r="C1072">
        <v>0</v>
      </c>
      <c r="D1072">
        <v>121289.9178</v>
      </c>
      <c r="E1072" s="1">
        <v>4.1300000000000001E-5</v>
      </c>
      <c r="F1072">
        <v>585690.09080000001</v>
      </c>
      <c r="G1072" s="1">
        <v>2.4700000000000001E-5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0</v>
      </c>
      <c r="M1072" s="1">
        <f t="shared" si="67"/>
        <v>0.75932591569046726</v>
      </c>
      <c r="N1072" s="1">
        <f t="shared" si="68"/>
        <v>0.21248036430576933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-1.8925772685085E-2</v>
      </c>
      <c r="N1073" s="1">
        <f t="shared" si="68"/>
        <v>-3.8962783399386004E-2</v>
      </c>
      <c r="O1073" s="1"/>
    </row>
    <row r="1074" spans="1:15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-5.8065838151977495E-2</v>
      </c>
      <c r="M1074" s="1">
        <f t="shared" si="67"/>
        <v>-2.5965851727448398E-2</v>
      </c>
      <c r="N1074" s="1">
        <f t="shared" si="68"/>
        <v>-0.11572074883395639</v>
      </c>
      <c r="O1074" s="1"/>
    </row>
    <row r="1075" spans="1:15" x14ac:dyDescent="0.25">
      <c r="A1075">
        <v>1731</v>
      </c>
      <c r="B1075">
        <v>3094.7458839999999</v>
      </c>
      <c r="C1075" s="1">
        <v>9.9999999999999995E-8</v>
      </c>
      <c r="D1075">
        <v>10611.33202</v>
      </c>
      <c r="E1075" s="1">
        <v>-9.9999999999999995E-7</v>
      </c>
      <c r="F1075">
        <v>101704.4599</v>
      </c>
      <c r="G1075">
        <v>0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6.984639017785E-3</v>
      </c>
      <c r="M1075" s="1">
        <f t="shared" si="67"/>
        <v>-2.3425404705802001E-2</v>
      </c>
      <c r="N1075" s="1">
        <f t="shared" si="68"/>
        <v>0</v>
      </c>
      <c r="O1075" s="1"/>
    </row>
    <row r="1076" spans="1:15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1.9800000000000001E-6</v>
      </c>
      <c r="F1076">
        <v>363306.2757</v>
      </c>
      <c r="G1076" s="1">
        <v>3.2700000000000002E-5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4.1882466761915E-3</v>
      </c>
      <c r="M1076" s="1">
        <f t="shared" si="67"/>
        <v>1.3906267656240761E-2</v>
      </c>
      <c r="N1076" s="1">
        <f t="shared" si="68"/>
        <v>0.1074575227982241</v>
      </c>
      <c r="O1076" s="1"/>
    </row>
    <row r="1077" spans="1:15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-2.098224376456E-2</v>
      </c>
      <c r="M1077" s="1">
        <f t="shared" si="67"/>
        <v>7.0371217548831988E-3</v>
      </c>
      <c r="N1077" s="1">
        <f t="shared" si="68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2.6800000000000002E-6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-1.3635151815187501E-2</v>
      </c>
      <c r="M1078" s="1">
        <f t="shared" si="67"/>
        <v>-3.3017205463126954E-2</v>
      </c>
      <c r="N1078" s="1">
        <f t="shared" si="68"/>
        <v>1.14686310775374E-2</v>
      </c>
      <c r="O1078" s="1"/>
    </row>
    <row r="1079" spans="1:15" x14ac:dyDescent="0.25">
      <c r="A1079">
        <v>1735</v>
      </c>
      <c r="B1079">
        <v>542.55276990000004</v>
      </c>
      <c r="C1079">
        <v>0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0</v>
      </c>
      <c r="M1079" s="1">
        <f t="shared" si="67"/>
        <v>-9.5263662761504997E-3</v>
      </c>
      <c r="N1079" s="1">
        <f t="shared" si="68"/>
        <v>1.3282726116049111E-2</v>
      </c>
      <c r="O1079" s="1"/>
    </row>
    <row r="1080" spans="1:15" x14ac:dyDescent="0.25">
      <c r="A1080">
        <v>1736</v>
      </c>
      <c r="B1080">
        <v>4015.5195349999999</v>
      </c>
      <c r="C1080">
        <v>0</v>
      </c>
      <c r="D1080">
        <v>16786.81553</v>
      </c>
      <c r="E1080" s="1">
        <v>-3.9099999999999998E-6</v>
      </c>
      <c r="F1080">
        <v>481020.7745</v>
      </c>
      <c r="G1080">
        <v>2509.6827760000001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0</v>
      </c>
      <c r="M1080" s="1">
        <f t="shared" si="67"/>
        <v>-5.6320996663851319E-2</v>
      </c>
      <c r="N1080" s="1">
        <f t="shared" si="68"/>
        <v>16914379.966623988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-9.9999999999999995E-8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-5.8926246282269999E-3</v>
      </c>
      <c r="O1081" s="1"/>
    </row>
    <row r="1082" spans="1:15" x14ac:dyDescent="0.25">
      <c r="A1082">
        <v>1740</v>
      </c>
      <c r="B1082">
        <v>2013.0735910000001</v>
      </c>
      <c r="C1082">
        <v>0</v>
      </c>
      <c r="D1082">
        <v>16859.702519999999</v>
      </c>
      <c r="E1082" s="1">
        <v>4.0899999999999998E-6</v>
      </c>
      <c r="F1082">
        <v>148288.36480000001</v>
      </c>
      <c r="G1082" s="1">
        <v>4.6900000000000002E-5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0</v>
      </c>
      <c r="M1082" s="1">
        <f t="shared" si="67"/>
        <v>5.4524453442593275E-2</v>
      </c>
      <c r="N1082" s="1">
        <f t="shared" si="68"/>
        <v>0.29253951277301732</v>
      </c>
      <c r="O1082" s="1"/>
    </row>
    <row r="1083" spans="1:15" x14ac:dyDescent="0.25">
      <c r="A1083">
        <v>1741</v>
      </c>
      <c r="B1083">
        <v>1730.913933</v>
      </c>
      <c r="C1083">
        <v>0</v>
      </c>
      <c r="D1083">
        <v>8586.5029040000009</v>
      </c>
      <c r="E1083" s="1">
        <v>-2.1E-7</v>
      </c>
      <c r="F1083">
        <v>56266.22782</v>
      </c>
      <c r="G1083" s="1">
        <v>-1.0100000000000001E-6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0</v>
      </c>
      <c r="M1083" s="1">
        <f t="shared" si="67"/>
        <v>-2.2235668171256399E-3</v>
      </c>
      <c r="N1083" s="1">
        <f t="shared" si="68"/>
        <v>-5.0037538990887614E-3</v>
      </c>
      <c r="O1083" s="1"/>
    </row>
    <row r="1084" spans="1:15" x14ac:dyDescent="0.25">
      <c r="A1084">
        <v>1742</v>
      </c>
      <c r="B1084">
        <v>14014.81279</v>
      </c>
      <c r="C1084">
        <v>0</v>
      </c>
      <c r="D1084">
        <v>145800.94010000001</v>
      </c>
      <c r="E1084" s="1">
        <v>3.5700000000000001E-6</v>
      </c>
      <c r="F1084">
        <v>649220.39390000002</v>
      </c>
      <c r="G1084" s="1">
        <v>1.9199999999999999E-5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0</v>
      </c>
      <c r="M1084" s="1">
        <f t="shared" si="67"/>
        <v>3.4544357510844594E-2</v>
      </c>
      <c r="N1084" s="1">
        <f t="shared" si="68"/>
        <v>8.6926823618376961E-2</v>
      </c>
      <c r="O1084" s="1"/>
    </row>
    <row r="1085" spans="1:15" x14ac:dyDescent="0.25">
      <c r="A1085">
        <v>1743</v>
      </c>
      <c r="B1085">
        <v>2260.3449690000002</v>
      </c>
      <c r="C1085">
        <v>0</v>
      </c>
      <c r="D1085">
        <v>29551.63912</v>
      </c>
      <c r="E1085" s="1">
        <v>-4.3100000000000002E-6</v>
      </c>
      <c r="F1085">
        <v>213325.0264</v>
      </c>
      <c r="G1085" s="1">
        <v>4.3800000000000001E-5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0</v>
      </c>
      <c r="M1085" s="1">
        <f t="shared" si="67"/>
        <v>-6.2858691018882071E-2</v>
      </c>
      <c r="N1085" s="1">
        <f t="shared" si="68"/>
        <v>0.29888619169837322</v>
      </c>
      <c r="O1085" s="1"/>
    </row>
    <row r="1086" spans="1:15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4.5200000000000001E-5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9.2912698236800005E-3</v>
      </c>
      <c r="M1086" s="1">
        <f t="shared" si="67"/>
        <v>5.2818724808430723E-2</v>
      </c>
      <c r="N1086" s="1">
        <f t="shared" si="68"/>
        <v>0.32951131073149442</v>
      </c>
      <c r="O1086" s="1"/>
    </row>
    <row r="1087" spans="1:15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>
        <v>0</v>
      </c>
      <c r="F1087">
        <v>135253.24559999999</v>
      </c>
      <c r="G1087" s="1">
        <v>3.3300000000000003E-5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4.161880002111E-2</v>
      </c>
      <c r="M1087" s="1">
        <f t="shared" si="67"/>
        <v>0</v>
      </c>
      <c r="N1087" s="1">
        <f t="shared" si="68"/>
        <v>0.54370160058347017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>
        <v>0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0</v>
      </c>
      <c r="O1088" s="1"/>
    </row>
    <row r="1089" spans="1:15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1.22E-5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-1.6586246972489997E-2</v>
      </c>
      <c r="M1089" s="1">
        <f t="shared" si="67"/>
        <v>-5.2104631643117558E-2</v>
      </c>
      <c r="N1089" s="1">
        <f t="shared" si="68"/>
        <v>0.10584577298752081</v>
      </c>
      <c r="O1089" s="1"/>
    </row>
    <row r="1090" spans="1:15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4.8999999999999997E-7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2.0144462633230002E-3</v>
      </c>
      <c r="M1090" s="1">
        <f t="shared" si="67"/>
        <v>3.3105099976640439E-3</v>
      </c>
      <c r="N1090" s="1">
        <f t="shared" si="68"/>
        <v>1.2897414722223072E-2</v>
      </c>
      <c r="O1090" s="1"/>
    </row>
    <row r="1091" spans="1:15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2.7100000000000001E-5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9.9906061298159987E-2</v>
      </c>
      <c r="M1091" s="1">
        <f t="shared" ref="M1091:M1154" si="71">$U$3*$K1091*E1091</f>
        <v>4.8174659548678396E-2</v>
      </c>
      <c r="N1091" s="1">
        <f t="shared" ref="N1091:N1154" si="72">$U$4*$K1091*G1091</f>
        <v>0.170627330639712</v>
      </c>
      <c r="O1091" s="1"/>
    </row>
    <row r="1092" spans="1:15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-2.1E-7</v>
      </c>
      <c r="F1092">
        <v>149611.08720000001</v>
      </c>
      <c r="G1092" s="1">
        <v>-3.8300000000000003E-5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6.3504759273669996E-3</v>
      </c>
      <c r="M1092" s="1">
        <f t="shared" si="71"/>
        <v>-2.2363445227297019E-3</v>
      </c>
      <c r="N1092" s="1">
        <f t="shared" si="72"/>
        <v>-0.19083668659886097</v>
      </c>
      <c r="O1092" s="1"/>
    </row>
    <row r="1093" spans="1:15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2.0100000000000001E-5</v>
      </c>
      <c r="F1093">
        <v>641818.4828</v>
      </c>
      <c r="G1093" s="1">
        <v>1.3400000000000001E-6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-0.15315546240331482</v>
      </c>
      <c r="M1093" s="1">
        <f t="shared" si="71"/>
        <v>0.21027623536232015</v>
      </c>
      <c r="N1093" s="1">
        <f t="shared" si="72"/>
        <v>6.5590752314852174E-3</v>
      </c>
      <c r="O1093" s="1"/>
    </row>
    <row r="1094" spans="1:15" x14ac:dyDescent="0.25">
      <c r="A1094">
        <v>1754</v>
      </c>
      <c r="B1094">
        <v>2070.657745</v>
      </c>
      <c r="C1094" s="1">
        <v>-9.9999999999999995E-8</v>
      </c>
      <c r="D1094">
        <v>11558.698899999999</v>
      </c>
      <c r="E1094" s="1">
        <v>-4.4100000000000001E-6</v>
      </c>
      <c r="F1094">
        <v>98373.858630000002</v>
      </c>
      <c r="G1094" s="1">
        <v>-3.2000000000000001E-7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-5.1084700176575E-3</v>
      </c>
      <c r="M1094" s="1">
        <f t="shared" si="71"/>
        <v>-7.5556629316547191E-2</v>
      </c>
      <c r="N1094" s="1">
        <f t="shared" si="72"/>
        <v>-2.5652378673283204E-3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 s="1">
        <v>9.9999999999999995E-8</v>
      </c>
      <c r="F1095">
        <v>35189.477610000002</v>
      </c>
      <c r="G1095">
        <v>0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2.3350036469194E-3</v>
      </c>
      <c r="N1095" s="1">
        <f t="shared" si="72"/>
        <v>0</v>
      </c>
      <c r="O1095" s="1"/>
    </row>
    <row r="1096" spans="1:15" x14ac:dyDescent="0.25">
      <c r="A1096">
        <v>1800</v>
      </c>
      <c r="B1096">
        <v>35268.378140000001</v>
      </c>
      <c r="C1096">
        <v>0</v>
      </c>
      <c r="D1096">
        <v>342007.40389999998</v>
      </c>
      <c r="E1096">
        <v>0</v>
      </c>
      <c r="F1096">
        <v>761669.98670000001</v>
      </c>
      <c r="G1096">
        <v>9816.4173640000008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0</v>
      </c>
      <c r="M1096" s="1">
        <f t="shared" si="71"/>
        <v>0</v>
      </c>
      <c r="N1096" s="1">
        <f t="shared" si="72"/>
        <v>32564315.359042909</v>
      </c>
      <c r="O1096" s="1"/>
    </row>
    <row r="1097" spans="1:15" x14ac:dyDescent="0.25">
      <c r="A1097">
        <v>1801</v>
      </c>
      <c r="B1097">
        <v>23075.762910000001</v>
      </c>
      <c r="C1097" s="1">
        <v>-2.7E-6</v>
      </c>
      <c r="D1097">
        <v>481853.4817</v>
      </c>
      <c r="E1097">
        <v>4627.9616889999998</v>
      </c>
      <c r="F1097">
        <v>830617.76500000001</v>
      </c>
      <c r="G1097">
        <v>30341.41418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-3.4422776832541503E-2</v>
      </c>
      <c r="M1097" s="1">
        <f t="shared" si="71"/>
        <v>19788598.14551552</v>
      </c>
      <c r="N1097" s="1">
        <f t="shared" si="72"/>
        <v>60702247.503355391</v>
      </c>
      <c r="O1097" s="1"/>
    </row>
    <row r="1098" spans="1:15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-3.3200000000000001E-5</v>
      </c>
      <c r="F1098">
        <v>983667.96640000003</v>
      </c>
      <c r="G1098" s="1">
        <v>-3.1699999999999998E-5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5.2996647564324754E-2</v>
      </c>
      <c r="M1098" s="1">
        <f t="shared" si="71"/>
        <v>-0.1788198304948983</v>
      </c>
      <c r="N1098" s="1">
        <f t="shared" si="72"/>
        <v>-7.9887813629131763E-2</v>
      </c>
      <c r="O1098" s="1"/>
    </row>
    <row r="1099" spans="1:15" x14ac:dyDescent="0.25">
      <c r="A1099">
        <v>1803</v>
      </c>
      <c r="B1099">
        <v>105601.33719999999</v>
      </c>
      <c r="C1099" s="1">
        <v>6.8000000000000001E-6</v>
      </c>
      <c r="D1099">
        <v>647568.72389999998</v>
      </c>
      <c r="E1099" s="1">
        <v>3.9600000000000002E-6</v>
      </c>
      <c r="F1099">
        <v>1072255.8149999999</v>
      </c>
      <c r="G1099">
        <v>9516.7738879999997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4.3067807091907002E-2</v>
      </c>
      <c r="M1099" s="1">
        <f t="shared" si="71"/>
        <v>8.41166889282839E-3</v>
      </c>
      <c r="N1099" s="1">
        <f t="shared" si="72"/>
        <v>9458459.5833618883</v>
      </c>
      <c r="O1099" s="1"/>
    </row>
    <row r="1100" spans="1:15" x14ac:dyDescent="0.25">
      <c r="A1100">
        <v>1804</v>
      </c>
      <c r="B1100">
        <v>67821.354479999995</v>
      </c>
      <c r="C1100" s="1">
        <v>1.1999999999999999E-6</v>
      </c>
      <c r="D1100">
        <v>569969.58490000002</v>
      </c>
      <c r="E1100">
        <v>2567.0388229999999</v>
      </c>
      <c r="F1100">
        <v>983472.22140000004</v>
      </c>
      <c r="G1100">
        <v>29418.598320000001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2.8401214506170998E-2</v>
      </c>
      <c r="M1100" s="1">
        <f t="shared" si="71"/>
        <v>20376577.456636917</v>
      </c>
      <c r="N1100" s="1">
        <f t="shared" si="72"/>
        <v>109260820.48517255</v>
      </c>
      <c r="O1100" s="1"/>
    </row>
    <row r="1101" spans="1:15" x14ac:dyDescent="0.25">
      <c r="A1101">
        <v>1805</v>
      </c>
      <c r="B1101">
        <v>277350.30180000002</v>
      </c>
      <c r="C1101" s="1">
        <v>-4.8799999999999999E-6</v>
      </c>
      <c r="D1101">
        <v>826712.95090000005</v>
      </c>
      <c r="E1101">
        <v>843.519229</v>
      </c>
      <c r="F1101">
        <v>1266958.1669999999</v>
      </c>
      <c r="G1101">
        <v>7238.6486919999998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-1.9285551623390001E-2</v>
      </c>
      <c r="M1101" s="1">
        <f t="shared" si="71"/>
        <v>1118022.0468764047</v>
      </c>
      <c r="N1101" s="1">
        <f t="shared" si="72"/>
        <v>4489071.8692879416</v>
      </c>
      <c r="O1101" s="1"/>
    </row>
    <row r="1102" spans="1:15" x14ac:dyDescent="0.25">
      <c r="A1102">
        <v>1806</v>
      </c>
      <c r="B1102">
        <v>365299.82900000003</v>
      </c>
      <c r="C1102" s="1">
        <v>-2.9E-5</v>
      </c>
      <c r="D1102">
        <v>913659.21950000001</v>
      </c>
      <c r="E1102" s="1">
        <v>3.7100000000000001E-5</v>
      </c>
      <c r="F1102">
        <v>1338934.3</v>
      </c>
      <c r="G1102">
        <v>13612.38445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-8.7872180606671499E-2</v>
      </c>
      <c r="M1102" s="1">
        <f t="shared" si="71"/>
        <v>3.7702526382527204E-2</v>
      </c>
      <c r="N1102" s="1">
        <f t="shared" si="72"/>
        <v>6472535.2942992235</v>
      </c>
      <c r="O1102" s="1"/>
    </row>
    <row r="1103" spans="1:15" x14ac:dyDescent="0.25">
      <c r="A1103">
        <v>1807</v>
      </c>
      <c r="B1103">
        <v>123925.5049</v>
      </c>
      <c r="C1103" s="1">
        <v>-3.3500000000000001E-5</v>
      </c>
      <c r="D1103">
        <v>681714.79639999999</v>
      </c>
      <c r="E1103">
        <v>684.75646019999999</v>
      </c>
      <c r="F1103">
        <v>1142420.5009999999</v>
      </c>
      <c r="G1103">
        <v>8865.2076699999998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-0.62477657594041636</v>
      </c>
      <c r="M1103" s="1">
        <f t="shared" si="71"/>
        <v>4283109.7887205621</v>
      </c>
      <c r="N1103" s="1">
        <f t="shared" si="72"/>
        <v>25945118.598964788</v>
      </c>
      <c r="O1103" s="1"/>
    </row>
    <row r="1104" spans="1:15" x14ac:dyDescent="0.25">
      <c r="A1104">
        <v>1808</v>
      </c>
      <c r="B1104">
        <v>132550.9051</v>
      </c>
      <c r="C1104" s="1">
        <v>-2.62E-5</v>
      </c>
      <c r="D1104">
        <v>641047.89749999996</v>
      </c>
      <c r="E1104">
        <v>9407.752821</v>
      </c>
      <c r="F1104">
        <v>1064046.8740000001</v>
      </c>
      <c r="G1104">
        <v>22800.26959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-0.79660331303311849</v>
      </c>
      <c r="M1104" s="1">
        <f t="shared" si="71"/>
        <v>95933403.420924723</v>
      </c>
      <c r="N1104" s="1">
        <f t="shared" si="72"/>
        <v>108784648.85091665</v>
      </c>
      <c r="O1104" s="1"/>
    </row>
    <row r="1105" spans="1:15" x14ac:dyDescent="0.25">
      <c r="A1105">
        <v>1809</v>
      </c>
      <c r="B1105">
        <v>153397.628</v>
      </c>
      <c r="C1105" s="1">
        <v>2.5299999999999998E-5</v>
      </c>
      <c r="D1105">
        <v>684339.86820000003</v>
      </c>
      <c r="E1105">
        <v>10734.4681</v>
      </c>
      <c r="F1105">
        <v>1121986.2690000001</v>
      </c>
      <c r="G1105">
        <v>14441.818579999999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0.24257809500392324</v>
      </c>
      <c r="M1105" s="1">
        <f t="shared" si="71"/>
        <v>34518723.461361364</v>
      </c>
      <c r="N1105" s="1">
        <f t="shared" si="72"/>
        <v>21729001.011366598</v>
      </c>
      <c r="O1105" s="1"/>
    </row>
    <row r="1106" spans="1:15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>
        <v>10831.5206</v>
      </c>
      <c r="F1106">
        <v>1115925.9839999999</v>
      </c>
      <c r="G1106">
        <v>14843.721030000001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-0.36770313052077153</v>
      </c>
      <c r="M1106" s="1">
        <f t="shared" si="71"/>
        <v>50216710.189508907</v>
      </c>
      <c r="N1106" s="1">
        <f t="shared" si="72"/>
        <v>32199215.414309844</v>
      </c>
      <c r="O1106" s="1"/>
    </row>
    <row r="1107" spans="1:15" x14ac:dyDescent="0.25">
      <c r="A1107">
        <v>1811</v>
      </c>
      <c r="B1107">
        <v>241285.59039999999</v>
      </c>
      <c r="C1107" s="1">
        <v>3.7900000000000001E-6</v>
      </c>
      <c r="D1107">
        <v>800590.89760000003</v>
      </c>
      <c r="E1107">
        <v>843.51928239999995</v>
      </c>
      <c r="F1107">
        <v>1252113.926</v>
      </c>
      <c r="G1107">
        <v>4697.1448479999999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1.0260078564517569E-2</v>
      </c>
      <c r="M1107" s="1">
        <f t="shared" si="71"/>
        <v>765860.42442373326</v>
      </c>
      <c r="N1107" s="1">
        <f t="shared" si="72"/>
        <v>1995410.459621957</v>
      </c>
      <c r="O1107" s="1"/>
    </row>
    <row r="1108" spans="1:15" x14ac:dyDescent="0.25">
      <c r="A1108">
        <v>1812</v>
      </c>
      <c r="B1108">
        <v>234580.3401</v>
      </c>
      <c r="C1108" s="1">
        <v>3.4999999999999997E-5</v>
      </c>
      <c r="D1108">
        <v>773505.44960000005</v>
      </c>
      <c r="E1108">
        <v>1868.113308</v>
      </c>
      <c r="F1108">
        <v>1227221.128</v>
      </c>
      <c r="G1108">
        <v>4925.7425350000003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8.1458476889562495E-2</v>
      </c>
      <c r="M1108" s="1">
        <f t="shared" si="71"/>
        <v>1458191.6004590273</v>
      </c>
      <c r="N1108" s="1">
        <f t="shared" si="72"/>
        <v>1798981.776440691</v>
      </c>
      <c r="O1108" s="1"/>
    </row>
    <row r="1109" spans="1:15" x14ac:dyDescent="0.25">
      <c r="A1109">
        <v>1813</v>
      </c>
      <c r="B1109">
        <v>23342.467820000002</v>
      </c>
      <c r="C1109" s="1">
        <v>3.9999999999999998E-7</v>
      </c>
      <c r="D1109">
        <v>262648.31430000003</v>
      </c>
      <c r="E1109" s="1">
        <v>-2.7699999999999999E-5</v>
      </c>
      <c r="F1109">
        <v>810801.76890000002</v>
      </c>
      <c r="G1109">
        <v>843.51928980000002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9.5970731912380005E-3</v>
      </c>
      <c r="M1109" s="1">
        <f t="shared" si="71"/>
        <v>-0.22289571604849917</v>
      </c>
      <c r="N1109" s="1">
        <f t="shared" si="72"/>
        <v>3175854.8806462819</v>
      </c>
      <c r="O1109" s="1"/>
    </row>
    <row r="1110" spans="1:15" x14ac:dyDescent="0.25">
      <c r="A1110">
        <v>1814</v>
      </c>
      <c r="B1110">
        <v>1758.3371500000001</v>
      </c>
      <c r="C1110">
        <v>0</v>
      </c>
      <c r="D1110">
        <v>46001.759870000002</v>
      </c>
      <c r="E1110" s="1">
        <v>1.79E-6</v>
      </c>
      <c r="F1110">
        <v>357654.30910000001</v>
      </c>
      <c r="G1110" s="1">
        <v>1.9599999999999999E-5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0</v>
      </c>
      <c r="M1110" s="1">
        <f t="shared" si="71"/>
        <v>2.1429020883976059E-2</v>
      </c>
      <c r="N1110" s="1">
        <f t="shared" si="72"/>
        <v>0.1097865269623416</v>
      </c>
      <c r="O1110" s="1"/>
    </row>
    <row r="1111" spans="1:15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3.2399999999999999E-6</v>
      </c>
      <c r="F1111">
        <v>880828.54839999997</v>
      </c>
      <c r="G1111" s="1">
        <v>-2.1299999999999999E-6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-9.3886236603885717E-2</v>
      </c>
      <c r="M1111" s="1">
        <f t="shared" si="71"/>
        <v>2.4762407258422908E-2</v>
      </c>
      <c r="N1111" s="1">
        <f t="shared" si="72"/>
        <v>-7.6167751174608701E-3</v>
      </c>
      <c r="O1111" s="1"/>
    </row>
    <row r="1112" spans="1:15" x14ac:dyDescent="0.25">
      <c r="A1112">
        <v>1816</v>
      </c>
      <c r="B1112">
        <v>19165.577389999999</v>
      </c>
      <c r="C1112">
        <v>0</v>
      </c>
      <c r="D1112">
        <v>400822.06530000002</v>
      </c>
      <c r="E1112" s="1">
        <v>-2.8399999999999999E-5</v>
      </c>
      <c r="F1112">
        <v>794543.35389999999</v>
      </c>
      <c r="G1112">
        <v>31661.483349999999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0</v>
      </c>
      <c r="M1112" s="1">
        <f t="shared" si="71"/>
        <v>-0.34049768856017282</v>
      </c>
      <c r="N1112" s="1">
        <f t="shared" si="72"/>
        <v>177611369.92832771</v>
      </c>
      <c r="O1112" s="1"/>
    </row>
    <row r="1113" spans="1:15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4.88E-5</v>
      </c>
      <c r="F1113">
        <v>761876.19660000002</v>
      </c>
      <c r="G1113">
        <v>20889.969229999999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-3.711247050709738E-2</v>
      </c>
      <c r="M1113" s="1">
        <f t="shared" si="71"/>
        <v>0.33558632064828281</v>
      </c>
      <c r="N1113" s="1">
        <f t="shared" si="72"/>
        <v>67214954.040067807</v>
      </c>
      <c r="O1113" s="1"/>
    </row>
    <row r="1114" spans="1:15" x14ac:dyDescent="0.25">
      <c r="A1114">
        <v>1818</v>
      </c>
      <c r="B1114">
        <v>33800.43075</v>
      </c>
      <c r="C1114" s="1">
        <v>-1.81E-6</v>
      </c>
      <c r="D1114">
        <v>471253.12890000001</v>
      </c>
      <c r="E1114">
        <v>594.94630849999999</v>
      </c>
      <c r="F1114">
        <v>839123.76269999996</v>
      </c>
      <c r="G1114">
        <v>30341.632880000001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-1.5293504787767375E-2</v>
      </c>
      <c r="M1114" s="1">
        <f t="shared" si="71"/>
        <v>1685968.1253013364</v>
      </c>
      <c r="N1114" s="1">
        <f t="shared" si="72"/>
        <v>40230387.239552848</v>
      </c>
      <c r="O1114" s="1"/>
    </row>
    <row r="1115" spans="1:15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>
        <v>4627.9616800000003</v>
      </c>
      <c r="F1115">
        <v>879176.70860000001</v>
      </c>
      <c r="G1115">
        <v>37299.763610000002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1.41475841976963E-2</v>
      </c>
      <c r="M1115" s="1">
        <f t="shared" si="71"/>
        <v>12993569.505570889</v>
      </c>
      <c r="N1115" s="1">
        <f t="shared" si="72"/>
        <v>48999142.207662851</v>
      </c>
      <c r="O1115" s="1"/>
    </row>
    <row r="1116" spans="1:15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>
        <v>38102.4568</v>
      </c>
      <c r="F1116">
        <v>991880.97420000006</v>
      </c>
      <c r="G1116">
        <v>44950.22795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5.9412728167535928E-2</v>
      </c>
      <c r="M1116" s="1">
        <f t="shared" si="71"/>
        <v>230770193.13792959</v>
      </c>
      <c r="N1116" s="1">
        <f t="shared" si="72"/>
        <v>127380312.73076309</v>
      </c>
      <c r="O1116" s="1"/>
    </row>
    <row r="1117" spans="1:15" x14ac:dyDescent="0.25">
      <c r="A1117">
        <v>1821</v>
      </c>
      <c r="B1117">
        <v>20999.155640000001</v>
      </c>
      <c r="C1117" s="1">
        <v>7.8999999999999995E-7</v>
      </c>
      <c r="D1117">
        <v>500888.81540000002</v>
      </c>
      <c r="E1117">
        <v>4627.9617150000004</v>
      </c>
      <c r="F1117">
        <v>860512.82609999995</v>
      </c>
      <c r="G1117">
        <v>38744.959340000001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4.7604516731889002E-3</v>
      </c>
      <c r="M1117" s="1">
        <f t="shared" si="71"/>
        <v>9353065.2454497572</v>
      </c>
      <c r="N1117" s="1">
        <f t="shared" si="72"/>
        <v>36637269.064867318</v>
      </c>
      <c r="O1117" s="1"/>
    </row>
    <row r="1118" spans="1:15" x14ac:dyDescent="0.25">
      <c r="A1118">
        <v>1823</v>
      </c>
      <c r="B1118">
        <v>17460.833879999998</v>
      </c>
      <c r="C1118">
        <v>0</v>
      </c>
      <c r="D1118">
        <v>345257.7708</v>
      </c>
      <c r="E1118">
        <v>594.94636309999999</v>
      </c>
      <c r="F1118">
        <v>777270.67249999999</v>
      </c>
      <c r="G1118">
        <v>32918.431779999999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0</v>
      </c>
      <c r="M1118" s="1">
        <f t="shared" si="71"/>
        <v>5916357.4332689168</v>
      </c>
      <c r="N1118" s="1">
        <f t="shared" si="72"/>
        <v>153164954.17753673</v>
      </c>
      <c r="O1118" s="1"/>
    </row>
    <row r="1119" spans="1:15" x14ac:dyDescent="0.25">
      <c r="A1119">
        <v>1824</v>
      </c>
      <c r="B1119">
        <v>19968.710330000002</v>
      </c>
      <c r="C1119" s="1">
        <v>-6.0999999999999998E-7</v>
      </c>
      <c r="D1119">
        <v>426386.14</v>
      </c>
      <c r="E1119">
        <v>594.94631719999995</v>
      </c>
      <c r="F1119">
        <v>822168.95030000003</v>
      </c>
      <c r="G1119">
        <v>36479.125269999997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-1.0733147555141374E-2</v>
      </c>
      <c r="M1119" s="1">
        <f t="shared" si="71"/>
        <v>3510897.7577735903</v>
      </c>
      <c r="N1119" s="1">
        <f t="shared" si="72"/>
        <v>100722963.65435165</v>
      </c>
      <c r="O1119" s="1"/>
    </row>
    <row r="1120" spans="1:15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>
        <v>34241.82142</v>
      </c>
      <c r="F1120">
        <v>968225.46219999995</v>
      </c>
      <c r="G1120">
        <v>48519.4182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4.8891917641960244E-3</v>
      </c>
      <c r="M1120" s="1">
        <f t="shared" si="71"/>
        <v>51512255.777764618</v>
      </c>
      <c r="N1120" s="1">
        <f t="shared" si="72"/>
        <v>34151750.834772505</v>
      </c>
      <c r="O1120" s="1"/>
    </row>
    <row r="1121" spans="1:15" x14ac:dyDescent="0.25">
      <c r="A1121">
        <v>1826</v>
      </c>
      <c r="B1121">
        <v>17241.703870000001</v>
      </c>
      <c r="C1121" s="1">
        <v>3.1E-7</v>
      </c>
      <c r="D1121">
        <v>257484.79749999999</v>
      </c>
      <c r="E1121" s="1">
        <v>-5.0100000000000003E-6</v>
      </c>
      <c r="F1121">
        <v>725902.35439999995</v>
      </c>
      <c r="G1121">
        <v>18316.689269999999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8.7588778268680011E-3</v>
      </c>
      <c r="M1121" s="1">
        <f t="shared" si="71"/>
        <v>-4.7475291240440171E-2</v>
      </c>
      <c r="N1121" s="1">
        <f t="shared" si="72"/>
        <v>81212067.68178992</v>
      </c>
      <c r="O1121" s="1"/>
    </row>
    <row r="1122" spans="1:15" x14ac:dyDescent="0.25">
      <c r="A1122">
        <v>1827</v>
      </c>
      <c r="B1122">
        <v>13892.71925</v>
      </c>
      <c r="C1122">
        <v>0</v>
      </c>
      <c r="D1122">
        <v>138169.57199999999</v>
      </c>
      <c r="E1122" s="1">
        <v>8.8999999999999995E-7</v>
      </c>
      <c r="F1122">
        <v>706600.6679</v>
      </c>
      <c r="G1122">
        <v>18375.315050000001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0</v>
      </c>
      <c r="M1122" s="1">
        <f t="shared" si="71"/>
        <v>6.5322588900247605E-3</v>
      </c>
      <c r="N1122" s="1">
        <f t="shared" si="72"/>
        <v>63103268.422954157</v>
      </c>
      <c r="O1122" s="1"/>
    </row>
    <row r="1123" spans="1:15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>
        <v>2567.0388800000001</v>
      </c>
      <c r="F1123">
        <v>796029.72690000001</v>
      </c>
      <c r="G1123">
        <v>35443.553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5.5894105229197945E-2</v>
      </c>
      <c r="M1123" s="1">
        <f t="shared" si="71"/>
        <v>19326011.986644059</v>
      </c>
      <c r="N1123" s="1">
        <f t="shared" si="72"/>
        <v>124850626.79643051</v>
      </c>
      <c r="O1123" s="1"/>
    </row>
    <row r="1124" spans="1:15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1.13E-5</v>
      </c>
      <c r="F1124">
        <v>764166.63049999997</v>
      </c>
      <c r="G1124">
        <v>13285.88708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3.3101376064535996E-2</v>
      </c>
      <c r="M1124" s="1">
        <f t="shared" si="71"/>
        <v>7.8405701728248053E-2</v>
      </c>
      <c r="N1124" s="1">
        <f t="shared" si="72"/>
        <v>43132381.488246247</v>
      </c>
      <c r="O1124" s="1"/>
    </row>
    <row r="1125" spans="1:15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>
        <v>22433.98833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-8.900656459955001E-3</v>
      </c>
      <c r="M1125" s="1">
        <f t="shared" si="71"/>
        <v>-4.6418977436309933E-2</v>
      </c>
      <c r="N1125" s="1">
        <f t="shared" si="72"/>
        <v>156669821.24231461</v>
      </c>
      <c r="O1125" s="1"/>
    </row>
    <row r="1126" spans="1:15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>
        <v>594.94638650000002</v>
      </c>
      <c r="F1126">
        <v>870536.10719999997</v>
      </c>
      <c r="G1126">
        <v>17803.685819999999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0.64710341247543557</v>
      </c>
      <c r="M1126" s="1">
        <f t="shared" si="71"/>
        <v>5083477.9196734894</v>
      </c>
      <c r="N1126" s="1">
        <f t="shared" si="72"/>
        <v>71176513.420580089</v>
      </c>
      <c r="O1126" s="1"/>
    </row>
    <row r="1127" spans="1:15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>
        <v>12713.803029999999</v>
      </c>
      <c r="F1127">
        <v>1087603.3189999999</v>
      </c>
      <c r="G1127">
        <v>25335.207160000002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0.21483408549875999</v>
      </c>
      <c r="M1127" s="1">
        <f t="shared" si="71"/>
        <v>33070596.938694149</v>
      </c>
      <c r="N1127" s="1">
        <f t="shared" si="72"/>
        <v>30834342.584632281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 s="1">
        <v>-8.0999999999999997E-7</v>
      </c>
      <c r="F1128">
        <v>543445.98069999996</v>
      </c>
      <c r="G1128">
        <v>12801.70932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-3.3663000746128858E-3</v>
      </c>
      <c r="N1128" s="1">
        <f t="shared" si="72"/>
        <v>24893126.5941048</v>
      </c>
      <c r="O1128" s="1"/>
    </row>
    <row r="1129" spans="1:15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-3.68E-5</v>
      </c>
      <c r="F1129">
        <v>637040.67169999995</v>
      </c>
      <c r="G1129">
        <v>11201.39558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0.11598220426899598</v>
      </c>
      <c r="M1129" s="1">
        <f t="shared" si="71"/>
        <v>-0.39763061347333051</v>
      </c>
      <c r="N1129" s="1">
        <f t="shared" si="72"/>
        <v>56630162.447116964</v>
      </c>
      <c r="O1129" s="1"/>
    </row>
    <row r="1130" spans="1:15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4.4700000000000002E-5</v>
      </c>
      <c r="F1130">
        <v>757654.33700000006</v>
      </c>
      <c r="G1130">
        <v>14641.236699999999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-0.1109252543455875</v>
      </c>
      <c r="M1130" s="1">
        <f t="shared" si="71"/>
        <v>0.33259145646031141</v>
      </c>
      <c r="N1130" s="1">
        <f t="shared" si="72"/>
        <v>50971217.322433211</v>
      </c>
      <c r="O1130" s="1"/>
    </row>
    <row r="1131" spans="1:15" x14ac:dyDescent="0.25">
      <c r="A1131">
        <v>1836</v>
      </c>
      <c r="B1131">
        <v>171664.8566</v>
      </c>
      <c r="C1131" s="1">
        <v>3.96E-5</v>
      </c>
      <c r="D1131">
        <v>661687.94090000005</v>
      </c>
      <c r="E1131">
        <v>11507.19247</v>
      </c>
      <c r="F1131">
        <v>1097325.3729999999</v>
      </c>
      <c r="G1131">
        <v>25428.027340000001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0.31427673665988604</v>
      </c>
      <c r="M1131" s="1">
        <f t="shared" si="71"/>
        <v>30628770.461319394</v>
      </c>
      <c r="N1131" s="1">
        <f t="shared" si="72"/>
        <v>31667700.859191269</v>
      </c>
      <c r="O1131" s="1"/>
    </row>
    <row r="1132" spans="1:15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>
        <v>14620.1584</v>
      </c>
      <c r="F1132">
        <v>1144468.5460000001</v>
      </c>
      <c r="G1132">
        <v>29566.010040000001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-8.3464764410752734E-2</v>
      </c>
      <c r="M1132" s="1">
        <f t="shared" si="71"/>
        <v>9322531.6515804268</v>
      </c>
      <c r="N1132" s="1">
        <f t="shared" si="72"/>
        <v>8821007.4077646434</v>
      </c>
      <c r="O1132" s="1"/>
    </row>
    <row r="1133" spans="1:15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>
        <v>594.94638740000005</v>
      </c>
      <c r="F1133">
        <v>896204.51390000002</v>
      </c>
      <c r="G1133">
        <v>25016.334320000002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-3.7908420667975007E-2</v>
      </c>
      <c r="M1133" s="1">
        <f t="shared" si="71"/>
        <v>1759090.5861904712</v>
      </c>
      <c r="N1133" s="1">
        <f t="shared" si="72"/>
        <v>34608097.297771938</v>
      </c>
      <c r="O1133" s="1"/>
    </row>
    <row r="1134" spans="1:15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>
        <v>26755.072349999999</v>
      </c>
      <c r="F1134">
        <v>1015590.349</v>
      </c>
      <c r="G1134">
        <v>44683.506379999999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-0.47564101454131602</v>
      </c>
      <c r="M1134" s="1">
        <f t="shared" si="71"/>
        <v>115979369.85603292</v>
      </c>
      <c r="N1134" s="1">
        <f t="shared" si="72"/>
        <v>90628655.827773824</v>
      </c>
      <c r="O1134" s="1"/>
    </row>
    <row r="1135" spans="1:15" x14ac:dyDescent="0.25">
      <c r="A1135">
        <v>1840</v>
      </c>
      <c r="B1135">
        <v>90833.56151</v>
      </c>
      <c r="C1135" s="1">
        <v>-2.9000000000000002E-6</v>
      </c>
      <c r="D1135">
        <v>536182.40139999997</v>
      </c>
      <c r="E1135">
        <v>35603.794829999999</v>
      </c>
      <c r="F1135">
        <v>881380.74380000005</v>
      </c>
      <c r="G1135">
        <v>36227.572950000002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-5.2900975819536011E-2</v>
      </c>
      <c r="M1135" s="1">
        <f t="shared" si="71"/>
        <v>217823690.54962867</v>
      </c>
      <c r="N1135" s="1">
        <f t="shared" si="72"/>
        <v>103703100.25681673</v>
      </c>
      <c r="O1135" s="1"/>
    </row>
    <row r="1136" spans="1:15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4.1900000000000002E-5</v>
      </c>
      <c r="F1136">
        <v>843022.72580000001</v>
      </c>
      <c r="G1136">
        <v>19037.21515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0.84531731534924393</v>
      </c>
      <c r="M1136" s="1">
        <f t="shared" si="71"/>
        <v>0.25008250759070649</v>
      </c>
      <c r="N1136" s="1">
        <f t="shared" si="72"/>
        <v>53163845.682171442</v>
      </c>
      <c r="O1136" s="1"/>
    </row>
    <row r="1137" spans="1:15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>
        <v>12713.803099999999</v>
      </c>
      <c r="F1137">
        <v>1076810.389</v>
      </c>
      <c r="G1137">
        <v>30159.930649999998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0.21414358520680124</v>
      </c>
      <c r="M1137" s="1">
        <f t="shared" si="71"/>
        <v>39528624.993907481</v>
      </c>
      <c r="N1137" s="1">
        <f t="shared" si="72"/>
        <v>43874304.312747799</v>
      </c>
      <c r="O1137" s="1"/>
    </row>
    <row r="1138" spans="1:15" x14ac:dyDescent="0.25">
      <c r="A1138">
        <v>1843</v>
      </c>
      <c r="B1138">
        <v>146639.4289</v>
      </c>
      <c r="C1138" s="1">
        <v>-2.6000000000000001E-6</v>
      </c>
      <c r="D1138">
        <v>636768.05920000002</v>
      </c>
      <c r="E1138">
        <v>18098.890490000002</v>
      </c>
      <c r="F1138">
        <v>1056097.8770000001</v>
      </c>
      <c r="G1138">
        <v>23147.90538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-1.9632428934442999E-2</v>
      </c>
      <c r="M1138" s="1">
        <f t="shared" si="71"/>
        <v>45834845.876631767</v>
      </c>
      <c r="N1138" s="1">
        <f t="shared" si="72"/>
        <v>27428319.497108996</v>
      </c>
      <c r="O1138" s="1"/>
    </row>
    <row r="1139" spans="1:15" x14ac:dyDescent="0.25">
      <c r="A1139">
        <v>1844</v>
      </c>
      <c r="B1139">
        <v>451056.19280000002</v>
      </c>
      <c r="C1139">
        <v>594.94638889999999</v>
      </c>
      <c r="D1139">
        <v>841488.3726</v>
      </c>
      <c r="E1139">
        <v>27678.250459999999</v>
      </c>
      <c r="F1139">
        <v>1337335.9539999999</v>
      </c>
      <c r="G1139">
        <v>21458.936290000001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1546884.7495305238</v>
      </c>
      <c r="M1139" s="1">
        <f t="shared" si="71"/>
        <v>24135811.028811492</v>
      </c>
      <c r="N1139" s="1">
        <f t="shared" si="72"/>
        <v>8755382.6298436131</v>
      </c>
      <c r="O1139" s="1"/>
    </row>
    <row r="1140" spans="1:15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>
        <v>13311.957479999999</v>
      </c>
      <c r="F1140">
        <v>1174570.3049999999</v>
      </c>
      <c r="G1140">
        <v>31799.88723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-4.7546223207958475E-2</v>
      </c>
      <c r="M1140" s="1">
        <f t="shared" si="71"/>
        <v>11351662.671000184</v>
      </c>
      <c r="N1140" s="1">
        <f t="shared" si="72"/>
        <v>12687814.290004099</v>
      </c>
      <c r="O1140" s="1"/>
    </row>
    <row r="1141" spans="1:15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8345.3767530000005</v>
      </c>
      <c r="F1141">
        <v>1202796.99</v>
      </c>
      <c r="G1141">
        <v>22133.14472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-0.15937226064238053</v>
      </c>
      <c r="M1141" s="1">
        <f t="shared" si="71"/>
        <v>11926972.433989283</v>
      </c>
      <c r="N1141" s="1">
        <f t="shared" si="72"/>
        <v>14800318.77965609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-4.0785559151142396E-2</v>
      </c>
      <c r="N1142" s="1">
        <f t="shared" si="72"/>
        <v>-0.32799166691214005</v>
      </c>
      <c r="O1142" s="1"/>
    </row>
    <row r="1143" spans="1:15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>
        <v>5716.8469249999998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-5.9354854232046762E-2</v>
      </c>
      <c r="M1143" s="1">
        <f t="shared" si="71"/>
        <v>9.4372527207466236E-2</v>
      </c>
      <c r="N1143" s="1">
        <f t="shared" si="72"/>
        <v>19721314.428393487</v>
      </c>
      <c r="O1143" s="1"/>
    </row>
    <row r="1144" spans="1:15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7.9999999999999996E-7</v>
      </c>
      <c r="F1144">
        <v>549143.3138</v>
      </c>
      <c r="G1144">
        <v>16871.92958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1.1836416184970002E-2</v>
      </c>
      <c r="M1144" s="1">
        <f t="shared" si="71"/>
        <v>7.9395037794568E-3</v>
      </c>
      <c r="N1144" s="1">
        <f t="shared" si="72"/>
        <v>78345093.830551475</v>
      </c>
      <c r="O1144" s="1"/>
    </row>
    <row r="1145" spans="1:15" x14ac:dyDescent="0.25">
      <c r="A1145">
        <v>1850</v>
      </c>
      <c r="B1145">
        <v>239329.2194</v>
      </c>
      <c r="C1145" s="1">
        <v>1.5E-5</v>
      </c>
      <c r="D1145">
        <v>642270.70779999997</v>
      </c>
      <c r="E1145">
        <v>19604.025399999999</v>
      </c>
      <c r="F1145">
        <v>1077350.463</v>
      </c>
      <c r="G1145">
        <v>37974.782529999997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0.37732267337748754</v>
      </c>
      <c r="M1145" s="1">
        <f t="shared" si="71"/>
        <v>165390300.87073034</v>
      </c>
      <c r="N1145" s="1">
        <f t="shared" si="72"/>
        <v>149900732.25078231</v>
      </c>
      <c r="O1145" s="1"/>
    </row>
    <row r="1146" spans="1:15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6.4799999999999998E-6</v>
      </c>
      <c r="F1146">
        <v>733384.70770000003</v>
      </c>
      <c r="G1146">
        <v>20728.878919999999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-8.5597069839593004E-2</v>
      </c>
      <c r="M1146" s="1">
        <f t="shared" si="71"/>
        <v>5.0277690119834788E-2</v>
      </c>
      <c r="N1146" s="1">
        <f t="shared" si="72"/>
        <v>75252304.47168155</v>
      </c>
      <c r="O1146" s="1"/>
    </row>
    <row r="1147" spans="1:15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>
        <v>17468.168519999999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-9.1518636513200011E-3</v>
      </c>
      <c r="M1147" s="1">
        <f t="shared" si="71"/>
        <v>-0.168816684891272</v>
      </c>
      <c r="N1147" s="1">
        <f t="shared" si="72"/>
        <v>125433555.74152824</v>
      </c>
      <c r="O1147" s="1"/>
    </row>
    <row r="1148" spans="1:15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>
        <v>36488.448779999999</v>
      </c>
      <c r="F1148">
        <v>963410.88219999999</v>
      </c>
      <c r="G1148">
        <v>44719.335659999997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0.35677890849837601</v>
      </c>
      <c r="M1148" s="1">
        <f t="shared" si="71"/>
        <v>231012726.61122924</v>
      </c>
      <c r="N1148" s="1">
        <f t="shared" si="72"/>
        <v>132470607.08879325</v>
      </c>
      <c r="O1148" s="1"/>
    </row>
    <row r="1149" spans="1:15" x14ac:dyDescent="0.25">
      <c r="A1149">
        <v>1854</v>
      </c>
      <c r="B1149">
        <v>185256.16219999999</v>
      </c>
      <c r="C1149" s="1">
        <v>1.1999999999999999E-6</v>
      </c>
      <c r="D1149">
        <v>575713.79339999997</v>
      </c>
      <c r="E1149">
        <v>23994.784950000001</v>
      </c>
      <c r="F1149">
        <v>981907.60789999994</v>
      </c>
      <c r="G1149">
        <v>42722.549500000001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2.1433227180845997E-2</v>
      </c>
      <c r="M1149" s="1">
        <f t="shared" si="71"/>
        <v>143736253.31228077</v>
      </c>
      <c r="N1149" s="1">
        <f t="shared" si="72"/>
        <v>119743045.04641122</v>
      </c>
      <c r="O1149" s="1"/>
    </row>
    <row r="1150" spans="1:15" x14ac:dyDescent="0.25">
      <c r="A1150">
        <v>1855</v>
      </c>
      <c r="B1150">
        <v>120590.7553</v>
      </c>
      <c r="C1150" s="1">
        <v>-4.88E-5</v>
      </c>
      <c r="D1150">
        <v>527333.44420000003</v>
      </c>
      <c r="E1150">
        <v>20266.343580000001</v>
      </c>
      <c r="F1150">
        <v>886451.59169999999</v>
      </c>
      <c r="G1150">
        <v>28945.951099999998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-0.97261541520923001</v>
      </c>
      <c r="M1150" s="1">
        <f t="shared" si="71"/>
        <v>135468981.15800586</v>
      </c>
      <c r="N1150" s="1">
        <f t="shared" si="72"/>
        <v>90530718.198952138</v>
      </c>
      <c r="O1150" s="1"/>
    </row>
    <row r="1151" spans="1:15" x14ac:dyDescent="0.25">
      <c r="A1151">
        <v>1856</v>
      </c>
      <c r="B1151">
        <v>14196.551369999999</v>
      </c>
      <c r="C1151">
        <v>0</v>
      </c>
      <c r="D1151">
        <v>406963.92950000003</v>
      </c>
      <c r="E1151" s="1">
        <v>-3.2400000000000001E-5</v>
      </c>
      <c r="F1151">
        <v>712183.70129999996</v>
      </c>
      <c r="G1151">
        <v>16439.835029999998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0</v>
      </c>
      <c r="M1151" s="1">
        <f t="shared" si="71"/>
        <v>-0.51132093684851154</v>
      </c>
      <c r="N1151" s="1">
        <f t="shared" si="72"/>
        <v>121391897.2442812</v>
      </c>
      <c r="O1151" s="1"/>
    </row>
    <row r="1152" spans="1:15" x14ac:dyDescent="0.25">
      <c r="A1152">
        <v>1857</v>
      </c>
      <c r="B1152">
        <v>243984.27350000001</v>
      </c>
      <c r="C1152" s="1">
        <v>-6.9199999999999998E-6</v>
      </c>
      <c r="D1152">
        <v>652655.75029999996</v>
      </c>
      <c r="E1152">
        <v>4707.4625699999997</v>
      </c>
      <c r="F1152">
        <v>1068878.2169999999</v>
      </c>
      <c r="G1152">
        <v>28434.316149999999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-0.16222318973075411</v>
      </c>
      <c r="M1152" s="1">
        <f t="shared" si="71"/>
        <v>37011514.320651457</v>
      </c>
      <c r="N1152" s="1">
        <f t="shared" si="72"/>
        <v>104601146.57490018</v>
      </c>
      <c r="O1152" s="1"/>
    </row>
    <row r="1153" spans="1:15" x14ac:dyDescent="0.25">
      <c r="A1153">
        <v>1900</v>
      </c>
      <c r="B1153">
        <v>221769.0013</v>
      </c>
      <c r="C1153" s="1">
        <v>-1.04E-5</v>
      </c>
      <c r="D1153">
        <v>639054.72609999997</v>
      </c>
      <c r="E1153">
        <v>5463.1082749999996</v>
      </c>
      <c r="F1153">
        <v>1040347.374</v>
      </c>
      <c r="G1153">
        <v>36474.471210000003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-8.5407548352724003E-2</v>
      </c>
      <c r="M1153" s="1">
        <f t="shared" si="71"/>
        <v>15046859.341036085</v>
      </c>
      <c r="N1153" s="1">
        <f t="shared" si="72"/>
        <v>47004424.064767413</v>
      </c>
      <c r="O1153" s="1"/>
    </row>
    <row r="1154" spans="1:15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>
        <v>17380.312379999999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4.74173247124915E-2</v>
      </c>
      <c r="M1154" s="1">
        <f t="shared" si="71"/>
        <v>-7.8678203887317874E-2</v>
      </c>
      <c r="N1154" s="1">
        <f t="shared" si="72"/>
        <v>34032812.714232221</v>
      </c>
      <c r="O1154" s="1"/>
    </row>
    <row r="1155" spans="1:15" x14ac:dyDescent="0.25">
      <c r="A1155">
        <v>1902</v>
      </c>
      <c r="B1155">
        <v>134010.52179999999</v>
      </c>
      <c r="C1155" s="1">
        <v>-5.3000000000000001E-6</v>
      </c>
      <c r="D1155">
        <v>549531.3101</v>
      </c>
      <c r="E1155">
        <v>22398.712680000001</v>
      </c>
      <c r="F1155">
        <v>902760.99230000004</v>
      </c>
      <c r="G1155">
        <v>18691.18996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-0.1620715883503015</v>
      </c>
      <c r="M1155" s="1">
        <f t="shared" ref="M1155:M1218" si="75">$U$3*$K1155*E1155</f>
        <v>229719157.37266219</v>
      </c>
      <c r="N1155" s="1">
        <f t="shared" ref="N1155:N1218" si="76">$U$4*$K1155*G1155</f>
        <v>89692222.405628338</v>
      </c>
      <c r="O1155" s="1"/>
    </row>
    <row r="1156" spans="1:15" x14ac:dyDescent="0.25">
      <c r="A1156">
        <v>1903</v>
      </c>
      <c r="B1156">
        <v>150799.2819</v>
      </c>
      <c r="C1156" s="1">
        <v>6.1E-6</v>
      </c>
      <c r="D1156">
        <v>587397.47329999995</v>
      </c>
      <c r="E1156">
        <v>22300.139569999999</v>
      </c>
      <c r="F1156">
        <v>1008634.988</v>
      </c>
      <c r="G1156">
        <v>46296.05098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8.7527638484559009E-2</v>
      </c>
      <c r="M1156" s="1">
        <f t="shared" si="75"/>
        <v>107316399.71438104</v>
      </c>
      <c r="N1156" s="1">
        <f t="shared" si="76"/>
        <v>104242816.99139866</v>
      </c>
      <c r="O1156" s="1"/>
    </row>
    <row r="1157" spans="1:15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>
        <v>32703.255389999998</v>
      </c>
      <c r="F1157">
        <v>926311.81980000006</v>
      </c>
      <c r="G1157">
        <v>39413.985840000001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-1.8027212805783999E-2</v>
      </c>
      <c r="M1157" s="1">
        <f t="shared" si="75"/>
        <v>141232508.42848384</v>
      </c>
      <c r="N1157" s="1">
        <f t="shared" si="76"/>
        <v>79641186.424953192</v>
      </c>
      <c r="O1157" s="1"/>
    </row>
    <row r="1158" spans="1:15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>
        <v>30805.938910000001</v>
      </c>
      <c r="F1158">
        <v>1078270.976</v>
      </c>
      <c r="G1158">
        <v>38691.87874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-0.35325487300771208</v>
      </c>
      <c r="M1158" s="1">
        <f t="shared" si="75"/>
        <v>101101720.52770995</v>
      </c>
      <c r="N1158" s="1">
        <f t="shared" si="76"/>
        <v>59413835.946912691</v>
      </c>
      <c r="O1158" s="1"/>
    </row>
    <row r="1159" spans="1:15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>
        <v>22630.992590000002</v>
      </c>
      <c r="F1159">
        <v>948456.81140000001</v>
      </c>
      <c r="G1159">
        <v>50267.106039999999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-0.29571571507065247</v>
      </c>
      <c r="M1159" s="1">
        <f t="shared" si="75"/>
        <v>47755487.859878443</v>
      </c>
      <c r="N1159" s="1">
        <f t="shared" si="76"/>
        <v>49630339.349570982</v>
      </c>
      <c r="O1159" s="1"/>
    </row>
    <row r="1160" spans="1:15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4.8799999999999999E-6</v>
      </c>
      <c r="F1160">
        <v>697307.28749999998</v>
      </c>
      <c r="G1160">
        <v>14303.638999999999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3.1512296883209998E-3</v>
      </c>
      <c r="M1160" s="1">
        <f t="shared" si="75"/>
        <v>1.7191816367299554E-2</v>
      </c>
      <c r="N1160" s="1">
        <f t="shared" si="76"/>
        <v>23577196.361632112</v>
      </c>
      <c r="O1160" s="1"/>
    </row>
    <row r="1161" spans="1:15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>
        <v>10734.46811</v>
      </c>
      <c r="F1161">
        <v>1068173.5630000001</v>
      </c>
      <c r="G1161">
        <v>15452.317730000001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4.9941933821812508E-2</v>
      </c>
      <c r="M1161" s="1">
        <f t="shared" si="75"/>
        <v>13937963.138904106</v>
      </c>
      <c r="N1161" s="1">
        <f t="shared" si="76"/>
        <v>9387632.7019032277</v>
      </c>
      <c r="O1161" s="1"/>
    </row>
    <row r="1162" spans="1:15" x14ac:dyDescent="0.25">
      <c r="A1162">
        <v>1910</v>
      </c>
      <c r="B1162">
        <v>130662.7834</v>
      </c>
      <c r="C1162" s="1">
        <v>4.71E-5</v>
      </c>
      <c r="D1162">
        <v>569703.91159999999</v>
      </c>
      <c r="E1162">
        <v>20391.976989999999</v>
      </c>
      <c r="F1162">
        <v>946225.47600000002</v>
      </c>
      <c r="G1162">
        <v>24572.323110000001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0.38722752962558926</v>
      </c>
      <c r="M1162" s="1">
        <f t="shared" si="75"/>
        <v>56227372.28601221</v>
      </c>
      <c r="N1162" s="1">
        <f t="shared" si="76"/>
        <v>31701393.351455234</v>
      </c>
      <c r="O1162" s="1"/>
    </row>
    <row r="1163" spans="1:15" x14ac:dyDescent="0.25">
      <c r="A1163">
        <v>1911</v>
      </c>
      <c r="B1163">
        <v>173065.7788</v>
      </c>
      <c r="C1163" s="1">
        <v>-1.08E-5</v>
      </c>
      <c r="D1163">
        <v>644517.29709999997</v>
      </c>
      <c r="E1163">
        <v>14128.5627</v>
      </c>
      <c r="F1163">
        <v>1047559.023</v>
      </c>
      <c r="G1163">
        <v>27038.762549999999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-3.40229550068109E-2</v>
      </c>
      <c r="M1163" s="1">
        <f t="shared" si="75"/>
        <v>14927579.596232973</v>
      </c>
      <c r="N1163" s="1">
        <f t="shared" si="76"/>
        <v>13366629.255157599</v>
      </c>
      <c r="O1163" s="1"/>
    </row>
    <row r="1164" spans="1:15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>
        <v>9652.2565990000003</v>
      </c>
      <c r="F1164">
        <v>1053737.2139999999</v>
      </c>
      <c r="G1164">
        <v>14741.03226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9.6396121657290001E-2</v>
      </c>
      <c r="M1164" s="1">
        <f t="shared" si="75"/>
        <v>18574719.972695909</v>
      </c>
      <c r="N1164" s="1">
        <f t="shared" si="76"/>
        <v>13272874.595886232</v>
      </c>
      <c r="O1164" s="1"/>
    </row>
    <row r="1165" spans="1:15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>
        <v>4082.8076150000002</v>
      </c>
      <c r="F1165">
        <v>1159791.1299999999</v>
      </c>
      <c r="G1165">
        <v>20974.132030000001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0.20747024090810548</v>
      </c>
      <c r="M1165" s="1">
        <f t="shared" si="75"/>
        <v>16613523.64583702</v>
      </c>
      <c r="N1165" s="1">
        <f t="shared" si="76"/>
        <v>39932869.002290256</v>
      </c>
      <c r="O1165" s="1"/>
    </row>
    <row r="1166" spans="1:15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>
        <v>10501.173790000001</v>
      </c>
      <c r="F1166">
        <v>1114619.8459999999</v>
      </c>
      <c r="G1166">
        <v>28822.145420000001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0.16213005110779752</v>
      </c>
      <c r="M1166" s="1">
        <f t="shared" si="75"/>
        <v>13279326.434049189</v>
      </c>
      <c r="N1166" s="1">
        <f t="shared" si="76"/>
        <v>17053290.261826806</v>
      </c>
      <c r="O1166" s="1"/>
    </row>
    <row r="1167" spans="1:15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>
        <v>8962.8374820000008</v>
      </c>
      <c r="F1167">
        <v>1082876.497</v>
      </c>
      <c r="G1167">
        <v>23415.40826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0.26498517070610006</v>
      </c>
      <c r="M1167" s="1">
        <f t="shared" si="75"/>
        <v>16769365.065553969</v>
      </c>
      <c r="N1167" s="1">
        <f t="shared" si="76"/>
        <v>20498237.000899456</v>
      </c>
      <c r="O1167" s="1"/>
    </row>
    <row r="1168" spans="1:15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>
        <v>15718.269039999999</v>
      </c>
      <c r="F1168">
        <v>1231100.067</v>
      </c>
      <c r="G1168">
        <v>20717.275140000002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0.10657848488829101</v>
      </c>
      <c r="M1168" s="1">
        <f t="shared" si="75"/>
        <v>73927122.926769555</v>
      </c>
      <c r="N1168" s="1">
        <f t="shared" si="76"/>
        <v>45590609.541371629</v>
      </c>
      <c r="O1168" s="1"/>
    </row>
    <row r="1169" spans="1:15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>
        <v>15718.26901</v>
      </c>
      <c r="F1169">
        <v>1238182.557</v>
      </c>
      <c r="G1169">
        <v>20717.275140000002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0.42634166960473074</v>
      </c>
      <c r="M1169" s="1">
        <f t="shared" si="75"/>
        <v>69582994.310945183</v>
      </c>
      <c r="N1169" s="1">
        <f t="shared" si="76"/>
        <v>42911600.030031659</v>
      </c>
      <c r="O1169" s="1"/>
    </row>
    <row r="1170" spans="1:15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>
        <v>15113.67748</v>
      </c>
      <c r="F1170">
        <v>1246894.149</v>
      </c>
      <c r="G1170">
        <v>23500.685399999998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0.17347565822463501</v>
      </c>
      <c r="M1170" s="1">
        <f t="shared" si="75"/>
        <v>42894140.524596602</v>
      </c>
      <c r="N1170" s="1">
        <f t="shared" si="76"/>
        <v>31207000.419249315</v>
      </c>
      <c r="O1170" s="1"/>
    </row>
    <row r="1171" spans="1:15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15807.642900000001</v>
      </c>
      <c r="F1171">
        <v>1228771.6089999999</v>
      </c>
      <c r="G1171">
        <v>24653.859570000001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0.42845217515028505</v>
      </c>
      <c r="M1171" s="1">
        <f t="shared" si="75"/>
        <v>95041811.304915562</v>
      </c>
      <c r="N1171" s="1">
        <f t="shared" si="76"/>
        <v>69354745.75982295</v>
      </c>
      <c r="O1171" s="1"/>
    </row>
    <row r="1172" spans="1:15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>
        <v>9166.1737140000005</v>
      </c>
      <c r="F1172">
        <v>835523.58790000004</v>
      </c>
      <c r="G1172">
        <v>37723.084289999999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-0.14616504833803598</v>
      </c>
      <c r="M1172" s="1">
        <f t="shared" si="75"/>
        <v>91701972.002511337</v>
      </c>
      <c r="N1172" s="1">
        <f t="shared" si="76"/>
        <v>176579980.14071617</v>
      </c>
      <c r="O1172" s="1"/>
    </row>
    <row r="1173" spans="1:15" x14ac:dyDescent="0.25">
      <c r="A1173">
        <v>1923</v>
      </c>
      <c r="B1173">
        <v>17924.379110000002</v>
      </c>
      <c r="C1173" s="1">
        <v>2.7E-6</v>
      </c>
      <c r="D1173">
        <v>458576.4325</v>
      </c>
      <c r="E1173">
        <v>7795.7129610000002</v>
      </c>
      <c r="F1173">
        <v>812611.6152</v>
      </c>
      <c r="G1173">
        <v>40515.009660000003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6.0365883835003499E-2</v>
      </c>
      <c r="M1173" s="1">
        <f t="shared" si="75"/>
        <v>58455688.009810291</v>
      </c>
      <c r="N1173" s="1">
        <f t="shared" si="76"/>
        <v>142144664.04807961</v>
      </c>
      <c r="O1173" s="1"/>
    </row>
    <row r="1174" spans="1:15" x14ac:dyDescent="0.25">
      <c r="A1174">
        <v>1924</v>
      </c>
      <c r="B1174">
        <v>16461.750489999999</v>
      </c>
      <c r="C1174">
        <v>0</v>
      </c>
      <c r="D1174">
        <v>423309.13699999999</v>
      </c>
      <c r="E1174">
        <v>4627.9616500000002</v>
      </c>
      <c r="F1174">
        <v>758196.98910000001</v>
      </c>
      <c r="G1174">
        <v>39181.640890000002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0</v>
      </c>
      <c r="M1174" s="1">
        <f t="shared" si="75"/>
        <v>34980805.667670645</v>
      </c>
      <c r="N1174" s="1">
        <f t="shared" si="76"/>
        <v>138569086.63452312</v>
      </c>
      <c r="O1174" s="1"/>
    </row>
    <row r="1175" spans="1:15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>
        <v>31518.197800000002</v>
      </c>
      <c r="F1175">
        <v>926522.57649999997</v>
      </c>
      <c r="G1175">
        <v>37260.493730000002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4.9099728919052503E-2</v>
      </c>
      <c r="M1175" s="1">
        <f t="shared" si="75"/>
        <v>112830308.7034658</v>
      </c>
      <c r="N1175" s="1">
        <f t="shared" si="76"/>
        <v>62410359.343268119</v>
      </c>
      <c r="O1175" s="1"/>
    </row>
    <row r="1176" spans="1:15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>
        <v>20757.36104</v>
      </c>
      <c r="F1176">
        <v>1019127.36</v>
      </c>
      <c r="G1176">
        <v>43210.713100000001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-3.5209964815047748E-2</v>
      </c>
      <c r="M1176" s="1">
        <f t="shared" si="75"/>
        <v>11672437.912675325</v>
      </c>
      <c r="N1176" s="1">
        <f t="shared" si="76"/>
        <v>11369059.645727511</v>
      </c>
      <c r="O1176" s="1"/>
    </row>
    <row r="1177" spans="1:15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>
        <v>20757.361099999998</v>
      </c>
      <c r="F1177">
        <v>1015212.3419999999</v>
      </c>
      <c r="G1177">
        <v>45312.516069999998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-0.26278136348219927</v>
      </c>
      <c r="M1177" s="1">
        <f t="shared" si="75"/>
        <v>62437027.470138043</v>
      </c>
      <c r="N1177" s="1">
        <f t="shared" si="76"/>
        <v>63772278.554987341</v>
      </c>
      <c r="O1177" s="1"/>
    </row>
    <row r="1178" spans="1:15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>
        <v>20401.370350000001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-2.0071428556919998E-2</v>
      </c>
      <c r="M1178" s="1">
        <f t="shared" si="75"/>
        <v>-0.12257209698099619</v>
      </c>
      <c r="N1178" s="1">
        <f t="shared" si="76"/>
        <v>26773996.178984411</v>
      </c>
      <c r="O1178" s="1"/>
    </row>
    <row r="1179" spans="1:15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>
        <v>25092.066780000001</v>
      </c>
      <c r="F1179">
        <v>938302.85739999998</v>
      </c>
      <c r="G1179">
        <v>36692.905379999997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4.0767192812060003E-2</v>
      </c>
      <c r="M1179" s="1">
        <f t="shared" si="75"/>
        <v>85769008.12891899</v>
      </c>
      <c r="N1179" s="1">
        <f t="shared" si="76"/>
        <v>58684003.208859861</v>
      </c>
      <c r="O1179" s="1"/>
    </row>
    <row r="1180" spans="1:15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>
        <v>7795.7129720000003</v>
      </c>
      <c r="F1180">
        <v>819871.09620000003</v>
      </c>
      <c r="G1180">
        <v>40515.009680000003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3.8024320322976E-2</v>
      </c>
      <c r="M1180" s="1">
        <f t="shared" si="75"/>
        <v>20711864.68209647</v>
      </c>
      <c r="N1180" s="1">
        <f t="shared" si="76"/>
        <v>50364321.15641056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>
        <v>7666.9351859999997</v>
      </c>
      <c r="F1181">
        <v>795773.66830000002</v>
      </c>
      <c r="G1181">
        <v>39855.408049999998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19557069.976471938</v>
      </c>
      <c r="N1181" s="1">
        <f t="shared" si="76"/>
        <v>47567785.76394029</v>
      </c>
      <c r="O1181" s="1"/>
    </row>
    <row r="1182" spans="1:15" x14ac:dyDescent="0.25">
      <c r="A1182">
        <v>1932</v>
      </c>
      <c r="B1182">
        <v>5304.8497729999999</v>
      </c>
      <c r="C1182">
        <v>0</v>
      </c>
      <c r="D1182">
        <v>17545.855879999999</v>
      </c>
      <c r="E1182">
        <v>0</v>
      </c>
      <c r="F1182">
        <v>450600.3737</v>
      </c>
      <c r="G1182">
        <v>1882.282387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0</v>
      </c>
      <c r="M1182" s="1">
        <f t="shared" si="75"/>
        <v>0</v>
      </c>
      <c r="N1182" s="1">
        <f t="shared" si="76"/>
        <v>14106017.602184482</v>
      </c>
      <c r="O1182" s="1"/>
    </row>
    <row r="1183" spans="1:15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>
        <v>7795.712947</v>
      </c>
      <c r="F1183">
        <v>792956.56299999997</v>
      </c>
      <c r="G1183">
        <v>41069.115709999998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-1.6548237765735E-2</v>
      </c>
      <c r="M1183" s="1">
        <f t="shared" si="75"/>
        <v>43266396.746587202</v>
      </c>
      <c r="N1183" s="1">
        <f t="shared" si="76"/>
        <v>106648295.6045406</v>
      </c>
      <c r="O1183" s="1"/>
    </row>
    <row r="1184" spans="1:15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>
        <v>4627.9617230000003</v>
      </c>
      <c r="F1184">
        <v>806057.06480000005</v>
      </c>
      <c r="G1184">
        <v>35500.522349999999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3.6335103147807753E-2</v>
      </c>
      <c r="M1184" s="1">
        <f t="shared" si="75"/>
        <v>17090129.469515067</v>
      </c>
      <c r="N1184" s="1">
        <f t="shared" si="76"/>
        <v>61338622.107975319</v>
      </c>
      <c r="O1184" s="1"/>
    </row>
    <row r="1185" spans="1:15" x14ac:dyDescent="0.25">
      <c r="A1185">
        <v>1935</v>
      </c>
      <c r="B1185">
        <v>6484.1431249999996</v>
      </c>
      <c r="C1185" s="1">
        <v>1.9999999999999999E-7</v>
      </c>
      <c r="D1185">
        <v>76040.034039999999</v>
      </c>
      <c r="E1185" s="1">
        <v>-2.9000000000000002E-6</v>
      </c>
      <c r="F1185">
        <v>536179.5882</v>
      </c>
      <c r="G1185">
        <v>17913.85455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3.7493350485369998E-3</v>
      </c>
      <c r="M1185" s="1">
        <f t="shared" si="75"/>
        <v>-1.823330475142378E-2</v>
      </c>
      <c r="N1185" s="1">
        <f t="shared" si="76"/>
        <v>52698725.825448617</v>
      </c>
      <c r="O1185" s="1"/>
    </row>
    <row r="1186" spans="1:15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>
        <v>7062.4277220000004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-0.14283517417559</v>
      </c>
      <c r="M1186" s="1">
        <f t="shared" si="75"/>
        <v>-0.3540275645401284</v>
      </c>
      <c r="N1186" s="1">
        <f t="shared" si="76"/>
        <v>38609319.161346085</v>
      </c>
      <c r="O1186" s="1"/>
    </row>
    <row r="1187" spans="1:15" x14ac:dyDescent="0.25">
      <c r="A1187">
        <v>1937</v>
      </c>
      <c r="B1187">
        <v>5071.3331310000003</v>
      </c>
      <c r="C1187">
        <v>0</v>
      </c>
      <c r="D1187">
        <v>28836.07329</v>
      </c>
      <c r="E1187" s="1">
        <v>-3.8999999999999999E-6</v>
      </c>
      <c r="F1187">
        <v>518662.3946</v>
      </c>
      <c r="G1187">
        <v>6155.0096579999999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0</v>
      </c>
      <c r="M1187" s="1">
        <f t="shared" si="75"/>
        <v>-2.8286698114099229E-2</v>
      </c>
      <c r="N1187" s="1">
        <f t="shared" si="76"/>
        <v>20887673.263575085</v>
      </c>
      <c r="O1187" s="1"/>
    </row>
    <row r="1188" spans="1:15" x14ac:dyDescent="0.25">
      <c r="A1188">
        <v>1940</v>
      </c>
      <c r="B1188">
        <v>400095.93150000001</v>
      </c>
      <c r="C1188">
        <v>4627.9616770000002</v>
      </c>
      <c r="D1188">
        <v>738755.72620000003</v>
      </c>
      <c r="E1188">
        <v>39646.350550000003</v>
      </c>
      <c r="F1188">
        <v>1229026.149</v>
      </c>
      <c r="G1188">
        <v>30188.960149999999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22834058.1769486</v>
      </c>
      <c r="M1188" s="1">
        <f t="shared" si="75"/>
        <v>65605417.382311508</v>
      </c>
      <c r="N1188" s="1">
        <f t="shared" si="76"/>
        <v>23373745.901284277</v>
      </c>
      <c r="O1188" s="1"/>
    </row>
    <row r="1189" spans="1:15" x14ac:dyDescent="0.25">
      <c r="A1189">
        <v>1941</v>
      </c>
      <c r="B1189">
        <v>313484.36489999999</v>
      </c>
      <c r="C1189">
        <v>594.94632439999998</v>
      </c>
      <c r="D1189">
        <v>669743.20039999997</v>
      </c>
      <c r="E1189">
        <v>28490.855299999999</v>
      </c>
      <c r="F1189">
        <v>1160795.0619999999</v>
      </c>
      <c r="G1189">
        <v>26806.35514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8422629.7401221208</v>
      </c>
      <c r="M1189" s="1">
        <f t="shared" si="75"/>
        <v>135275313.06187066</v>
      </c>
      <c r="N1189" s="1">
        <f t="shared" si="76"/>
        <v>59551746.916437604</v>
      </c>
      <c r="O1189" s="1"/>
    </row>
    <row r="1190" spans="1:15" x14ac:dyDescent="0.25">
      <c r="A1190">
        <v>1942</v>
      </c>
      <c r="B1190">
        <v>167045.00949999999</v>
      </c>
      <c r="C1190">
        <v>0</v>
      </c>
      <c r="D1190">
        <v>556292.272</v>
      </c>
      <c r="E1190">
        <v>21129.187249999999</v>
      </c>
      <c r="F1190">
        <v>930250.10629999998</v>
      </c>
      <c r="G1190">
        <v>42918.662900000003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</v>
      </c>
      <c r="M1190" s="1">
        <f t="shared" si="75"/>
        <v>125058616.44862841</v>
      </c>
      <c r="N1190" s="1">
        <f t="shared" si="76"/>
        <v>118855884.76759017</v>
      </c>
      <c r="O1190" s="1"/>
    </row>
    <row r="1191" spans="1:15" x14ac:dyDescent="0.25">
      <c r="A1191">
        <v>1943</v>
      </c>
      <c r="B1191">
        <v>380319.97149999999</v>
      </c>
      <c r="C1191" s="1">
        <v>-1.01E-5</v>
      </c>
      <c r="D1191">
        <v>735310.23250000004</v>
      </c>
      <c r="E1191">
        <v>16023.979240000001</v>
      </c>
      <c r="F1191">
        <v>1205344.74</v>
      </c>
      <c r="G1191">
        <v>23886.638149999999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-5.2390123189914255E-2</v>
      </c>
      <c r="M1191" s="1">
        <f t="shared" si="75"/>
        <v>27876712.522470348</v>
      </c>
      <c r="N1191" s="1">
        <f t="shared" si="76"/>
        <v>19443296.170248799</v>
      </c>
      <c r="O1191" s="1"/>
    </row>
    <row r="1192" spans="1:15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>
        <v>15517.53846</v>
      </c>
      <c r="F1192">
        <v>859946.40350000001</v>
      </c>
      <c r="G1192">
        <v>22239.02648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-3.1554265387937507E-2</v>
      </c>
      <c r="M1192" s="1">
        <f t="shared" si="75"/>
        <v>65687696.509595081</v>
      </c>
      <c r="N1192" s="1">
        <f t="shared" si="76"/>
        <v>44047437.931672335</v>
      </c>
      <c r="O1192" s="1"/>
    </row>
    <row r="1193" spans="1:15" x14ac:dyDescent="0.25">
      <c r="A1193">
        <v>1945</v>
      </c>
      <c r="B1193">
        <v>519230.30839999998</v>
      </c>
      <c r="C1193">
        <v>18098.890469999998</v>
      </c>
      <c r="D1193">
        <v>913221.14599999995</v>
      </c>
      <c r="E1193">
        <v>24050.665120000001</v>
      </c>
      <c r="F1193">
        <v>1345850.9709999999</v>
      </c>
      <c r="G1193">
        <v>14318.539919999999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179291717.5307861</v>
      </c>
      <c r="M1193" s="1">
        <f t="shared" si="75"/>
        <v>79905836.812813222</v>
      </c>
      <c r="N1193" s="1">
        <f t="shared" si="76"/>
        <v>22258393.994041622</v>
      </c>
      <c r="O1193" s="1"/>
    </row>
    <row r="1194" spans="1:15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>
        <v>14845.99733</v>
      </c>
      <c r="F1194">
        <v>1121695.422</v>
      </c>
      <c r="G1194">
        <v>22004.81712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0.300494745648825</v>
      </c>
      <c r="M1194" s="1">
        <f t="shared" si="75"/>
        <v>36052991.057081141</v>
      </c>
      <c r="N1194" s="1">
        <f t="shared" si="76"/>
        <v>25003071.592191942</v>
      </c>
      <c r="O1194" s="1"/>
    </row>
    <row r="1195" spans="1:15" x14ac:dyDescent="0.25">
      <c r="A1195">
        <v>1947</v>
      </c>
      <c r="B1195">
        <v>538819.43770000001</v>
      </c>
      <c r="C1195" s="1">
        <v>-1.59E-5</v>
      </c>
      <c r="D1195">
        <v>974262.90830000001</v>
      </c>
      <c r="E1195">
        <v>8184.3014080000003</v>
      </c>
      <c r="F1195">
        <v>1425049.8060000001</v>
      </c>
      <c r="G1195">
        <v>11181.09708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-5.0838277784809136E-2</v>
      </c>
      <c r="M1195" s="1">
        <f t="shared" si="75"/>
        <v>8776441.4013626371</v>
      </c>
      <c r="N1195" s="1">
        <f t="shared" si="76"/>
        <v>5610026.837714537</v>
      </c>
      <c r="O1195" s="1"/>
    </row>
    <row r="1196" spans="1:15" x14ac:dyDescent="0.25">
      <c r="A1196">
        <v>1948</v>
      </c>
      <c r="B1196">
        <v>463682.00199999998</v>
      </c>
      <c r="C1196" s="1">
        <v>-3.7200000000000003E-5</v>
      </c>
      <c r="D1196">
        <v>873374.10419999994</v>
      </c>
      <c r="E1196">
        <v>9214.180053</v>
      </c>
      <c r="F1196">
        <v>1335064.415</v>
      </c>
      <c r="G1196">
        <v>7448.9064930000004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-0.14505145596579302</v>
      </c>
      <c r="M1196" s="1">
        <f t="shared" si="75"/>
        <v>12049776.287165372</v>
      </c>
      <c r="N1196" s="1">
        <f t="shared" si="76"/>
        <v>4557833.8577582855</v>
      </c>
      <c r="O1196" s="1"/>
    </row>
    <row r="1197" spans="1:15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>
        <v>1308.228944</v>
      </c>
      <c r="F1197">
        <v>1210524.4550000001</v>
      </c>
      <c r="G1197">
        <v>17178.520130000001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5.6527700130931252E-2</v>
      </c>
      <c r="M1197" s="1">
        <f t="shared" si="75"/>
        <v>895382.16117134306</v>
      </c>
      <c r="N1197" s="1">
        <f t="shared" si="76"/>
        <v>5501157.8966611633</v>
      </c>
      <c r="O1197" s="1"/>
    </row>
    <row r="1198" spans="1:15" x14ac:dyDescent="0.25">
      <c r="A1198">
        <v>1950</v>
      </c>
      <c r="B1198">
        <v>395326.16100000002</v>
      </c>
      <c r="C1198" s="1">
        <v>-3.3899999999999997E-5</v>
      </c>
      <c r="D1198">
        <v>783042.96100000001</v>
      </c>
      <c r="E1198">
        <v>1897.532596</v>
      </c>
      <c r="F1198">
        <v>1263959.1159999999</v>
      </c>
      <c r="G1198">
        <v>14458.821749999999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-0.33736372722935026</v>
      </c>
      <c r="M1198" s="1">
        <f t="shared" si="75"/>
        <v>6333314.7206449909</v>
      </c>
      <c r="N1198" s="1">
        <f t="shared" si="76"/>
        <v>22579712.443218935</v>
      </c>
      <c r="O1198" s="1"/>
    </row>
    <row r="1199" spans="1:15" x14ac:dyDescent="0.25">
      <c r="A1199">
        <v>1951</v>
      </c>
      <c r="B1199">
        <v>573376.3811</v>
      </c>
      <c r="C1199">
        <v>684.75647679999997</v>
      </c>
      <c r="D1199">
        <v>1026006.527</v>
      </c>
      <c r="E1199">
        <v>8865.2076699999998</v>
      </c>
      <c r="F1199">
        <v>1441035.5390000001</v>
      </c>
      <c r="G1199">
        <v>7842.3618740000002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1926990.369865549</v>
      </c>
      <c r="M1199" s="1">
        <f t="shared" si="75"/>
        <v>8367109.3729965826</v>
      </c>
      <c r="N1199" s="1">
        <f t="shared" si="76"/>
        <v>3463196.1415622123</v>
      </c>
      <c r="O1199" s="1"/>
    </row>
    <row r="1200" spans="1:15" x14ac:dyDescent="0.25">
      <c r="A1200">
        <v>1952</v>
      </c>
      <c r="B1200">
        <v>491741.96990000003</v>
      </c>
      <c r="C1200">
        <v>1882.282426</v>
      </c>
      <c r="D1200">
        <v>897905.74650000001</v>
      </c>
      <c r="E1200">
        <v>21068.56466</v>
      </c>
      <c r="F1200">
        <v>1355897.716</v>
      </c>
      <c r="G1200">
        <v>13710.859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3156595.0500961994</v>
      </c>
      <c r="M1200" s="1">
        <f t="shared" si="75"/>
        <v>11849831.368348237</v>
      </c>
      <c r="N1200" s="1">
        <f t="shared" si="76"/>
        <v>3608158.1378361583</v>
      </c>
      <c r="O1200" s="1"/>
    </row>
    <row r="1201" spans="1:15" x14ac:dyDescent="0.25">
      <c r="A1201">
        <v>1953</v>
      </c>
      <c r="B1201">
        <v>510026.8469</v>
      </c>
      <c r="C1201">
        <v>4627.9616560000004</v>
      </c>
      <c r="D1201">
        <v>917272.58669999999</v>
      </c>
      <c r="E1201">
        <v>19078.374619999999</v>
      </c>
      <c r="F1201">
        <v>1375388.037</v>
      </c>
      <c r="G1201">
        <v>12477.66001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6838239.0137503613</v>
      </c>
      <c r="M1201" s="1">
        <f t="shared" si="75"/>
        <v>9454510.1758969743</v>
      </c>
      <c r="N1201" s="1">
        <f t="shared" si="76"/>
        <v>2893173.558716631</v>
      </c>
      <c r="O1201" s="1"/>
    </row>
    <row r="1202" spans="1:15" x14ac:dyDescent="0.25">
      <c r="A1202">
        <v>1954</v>
      </c>
      <c r="B1202">
        <v>396288.97499999998</v>
      </c>
      <c r="C1202" s="1">
        <v>-2.3499999999999999E-5</v>
      </c>
      <c r="D1202">
        <v>782510.67709999997</v>
      </c>
      <c r="E1202">
        <v>16602.728910000002</v>
      </c>
      <c r="F1202">
        <v>1261973.69</v>
      </c>
      <c r="G1202">
        <v>22762.45364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-0.13748039916641874</v>
      </c>
      <c r="M1202" s="1">
        <f t="shared" si="75"/>
        <v>32575833.448124629</v>
      </c>
      <c r="N1202" s="1">
        <f t="shared" si="76"/>
        <v>20896753.104307611</v>
      </c>
      <c r="O1202" s="1"/>
    </row>
    <row r="1203" spans="1:15" x14ac:dyDescent="0.25">
      <c r="A1203">
        <v>1955</v>
      </c>
      <c r="B1203">
        <v>580875.98620000004</v>
      </c>
      <c r="C1203">
        <v>15625.926030000001</v>
      </c>
      <c r="D1203">
        <v>999974.48219999997</v>
      </c>
      <c r="E1203">
        <v>26633.799449999999</v>
      </c>
      <c r="F1203">
        <v>1416672.784</v>
      </c>
      <c r="G1203">
        <v>12927.890289999999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12795430.703160688</v>
      </c>
      <c r="M1203" s="1">
        <f t="shared" si="75"/>
        <v>7314512.8498207433</v>
      </c>
      <c r="N1203" s="1">
        <f t="shared" si="76"/>
        <v>1661206.4857094041</v>
      </c>
      <c r="O1203" s="1"/>
    </row>
    <row r="1204" spans="1:15" x14ac:dyDescent="0.25">
      <c r="A1204">
        <v>1956</v>
      </c>
      <c r="B1204">
        <v>490418.26929999999</v>
      </c>
      <c r="C1204">
        <v>22433.98832</v>
      </c>
      <c r="D1204">
        <v>882053.29119999998</v>
      </c>
      <c r="E1204">
        <v>23045.597730000001</v>
      </c>
      <c r="F1204">
        <v>1327578.591</v>
      </c>
      <c r="G1204">
        <v>17968.021659999999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67537574.102809682</v>
      </c>
      <c r="M1204" s="1">
        <f t="shared" si="75"/>
        <v>23268590.758644234</v>
      </c>
      <c r="N1204" s="1">
        <f t="shared" si="76"/>
        <v>8488404.0753364712</v>
      </c>
      <c r="O1204" s="1"/>
    </row>
    <row r="1205" spans="1:15" x14ac:dyDescent="0.25">
      <c r="A1205">
        <v>1957</v>
      </c>
      <c r="B1205">
        <v>540194.6237</v>
      </c>
      <c r="C1205">
        <v>18098.890500000001</v>
      </c>
      <c r="D1205">
        <v>940906.2463</v>
      </c>
      <c r="E1205">
        <v>24050.665150000001</v>
      </c>
      <c r="F1205">
        <v>1377150.0560000001</v>
      </c>
      <c r="G1205">
        <v>14318.539919999999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62203610.615919083</v>
      </c>
      <c r="M1205" s="1">
        <f t="shared" si="75"/>
        <v>27722594.358833656</v>
      </c>
      <c r="N1205" s="1">
        <f t="shared" si="76"/>
        <v>7722344.8451173268</v>
      </c>
      <c r="O1205" s="1"/>
    </row>
    <row r="1206" spans="1:15" x14ac:dyDescent="0.25">
      <c r="A1206">
        <v>1958</v>
      </c>
      <c r="B1206">
        <v>440354.11109999998</v>
      </c>
      <c r="C1206">
        <v>4627.9616939999996</v>
      </c>
      <c r="D1206">
        <v>794380.27159999998</v>
      </c>
      <c r="E1206">
        <v>31530.839479999999</v>
      </c>
      <c r="F1206">
        <v>1246931.5190000001</v>
      </c>
      <c r="G1206">
        <v>25780.02115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37100236.150988787</v>
      </c>
      <c r="M1206" s="1">
        <f t="shared" si="75"/>
        <v>84774568.704320654</v>
      </c>
      <c r="N1206" s="1">
        <f t="shared" si="76"/>
        <v>32430750.781049848</v>
      </c>
      <c r="O1206" s="1"/>
    </row>
    <row r="1207" spans="1:15" x14ac:dyDescent="0.25">
      <c r="A1207">
        <v>1959</v>
      </c>
      <c r="B1207">
        <v>300112.31099999999</v>
      </c>
      <c r="C1207" s="1">
        <v>2.3800000000000001E-6</v>
      </c>
      <c r="D1207">
        <v>688492.47719999996</v>
      </c>
      <c r="E1207">
        <v>17373.004410000001</v>
      </c>
      <c r="F1207">
        <v>1147216.709</v>
      </c>
      <c r="G1207">
        <v>20521.920440000002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1.2708992613767451E-2</v>
      </c>
      <c r="M1207" s="1">
        <f t="shared" si="75"/>
        <v>31113741.351124354</v>
      </c>
      <c r="N1207" s="1">
        <f t="shared" si="76"/>
        <v>17196457.272018678</v>
      </c>
      <c r="O1207" s="1"/>
    </row>
    <row r="1208" spans="1:15" x14ac:dyDescent="0.25">
      <c r="A1208">
        <v>1960</v>
      </c>
      <c r="B1208">
        <v>575404.92590000003</v>
      </c>
      <c r="C1208">
        <v>13423.413060000001</v>
      </c>
      <c r="D1208">
        <v>992720.52339999995</v>
      </c>
      <c r="E1208">
        <v>30958.03529</v>
      </c>
      <c r="F1208">
        <v>1410977.077</v>
      </c>
      <c r="G1208">
        <v>11835.676460000001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88085080.593738064</v>
      </c>
      <c r="M1208" s="1">
        <f t="shared" si="75"/>
        <v>68132751.754231647</v>
      </c>
      <c r="N1208" s="1">
        <f t="shared" si="76"/>
        <v>12187631.134949321</v>
      </c>
      <c r="O1208" s="1"/>
    </row>
    <row r="1209" spans="1:15" x14ac:dyDescent="0.25">
      <c r="A1209">
        <v>1961</v>
      </c>
      <c r="B1209">
        <v>450520.28149999998</v>
      </c>
      <c r="C1209" s="1">
        <v>2.4300000000000001E-5</v>
      </c>
      <c r="D1209">
        <v>866446.40060000005</v>
      </c>
      <c r="E1209">
        <v>1127.162112</v>
      </c>
      <c r="F1209">
        <v>1301455.496</v>
      </c>
      <c r="G1209">
        <v>13466.0805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5.1209877296933548E-2</v>
      </c>
      <c r="M1209" s="1">
        <f t="shared" si="75"/>
        <v>796667.28027485893</v>
      </c>
      <c r="N1209" s="1">
        <f t="shared" si="76"/>
        <v>4453233.6605073893</v>
      </c>
      <c r="O1209" s="1"/>
    </row>
    <row r="1210" spans="1:15" x14ac:dyDescent="0.25">
      <c r="A1210">
        <v>1962</v>
      </c>
      <c r="B1210">
        <v>583195.08609999996</v>
      </c>
      <c r="C1210">
        <v>5113.6003179999998</v>
      </c>
      <c r="D1210">
        <v>1031766.632</v>
      </c>
      <c r="E1210">
        <v>10014.703509999999</v>
      </c>
      <c r="F1210">
        <v>1440112.9950000001</v>
      </c>
      <c r="G1210">
        <v>10768.14286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6703124.4891662011</v>
      </c>
      <c r="M1210" s="1">
        <f t="shared" si="75"/>
        <v>4402828.1861198219</v>
      </c>
      <c r="N1210" s="1">
        <f t="shared" si="76"/>
        <v>2215022.4310258296</v>
      </c>
      <c r="O1210" s="1"/>
    </row>
    <row r="1211" spans="1:15" x14ac:dyDescent="0.25">
      <c r="A1211">
        <v>1963</v>
      </c>
      <c r="B1211">
        <v>584528.87049999996</v>
      </c>
      <c r="C1211">
        <v>12713.803099999999</v>
      </c>
      <c r="D1211">
        <v>995534.37670000002</v>
      </c>
      <c r="E1211">
        <v>26707.63565</v>
      </c>
      <c r="F1211">
        <v>1426713.8859999999</v>
      </c>
      <c r="G1211">
        <v>14006.7415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7535384.1393430578</v>
      </c>
      <c r="M1211" s="1">
        <f t="shared" si="75"/>
        <v>5308948.2913316945</v>
      </c>
      <c r="N1211" s="1">
        <f t="shared" si="76"/>
        <v>1302728.2897670579</v>
      </c>
      <c r="O1211" s="1"/>
    </row>
    <row r="1212" spans="1:15" x14ac:dyDescent="0.25">
      <c r="A1212">
        <v>2000</v>
      </c>
      <c r="B1212">
        <v>1425.9722469999999</v>
      </c>
      <c r="C1212">
        <v>0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0</v>
      </c>
      <c r="M1212" s="1">
        <f t="shared" si="75"/>
        <v>0</v>
      </c>
      <c r="N1212" s="1">
        <f t="shared" si="76"/>
        <v>6.8793221433474008E-2</v>
      </c>
      <c r="O1212" s="1"/>
    </row>
    <row r="1213" spans="1:15" x14ac:dyDescent="0.25">
      <c r="A1213">
        <v>2001</v>
      </c>
      <c r="B1213">
        <v>4238.426692</v>
      </c>
      <c r="C1213" s="1">
        <v>-9.9999999999999995E-8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-4.7211368439300004E-3</v>
      </c>
      <c r="M1213" s="1">
        <f t="shared" si="75"/>
        <v>5.3835486595706403E-2</v>
      </c>
      <c r="N1213" s="1">
        <f t="shared" si="76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-9.9999999999999995E-8</v>
      </c>
      <c r="F1214">
        <v>13537.7916</v>
      </c>
      <c r="G1214" s="1">
        <v>3.4000000000000001E-6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-1.8984521412090002E-2</v>
      </c>
      <c r="M1214" s="1">
        <f t="shared" si="75"/>
        <v>-2.1223721373516001E-3</v>
      </c>
      <c r="N1214" s="1">
        <f t="shared" si="76"/>
        <v>3.3763241157501601E-2</v>
      </c>
      <c r="O1214" s="1"/>
    </row>
    <row r="1215" spans="1:15" x14ac:dyDescent="0.25">
      <c r="A1215">
        <v>2003</v>
      </c>
      <c r="B1215">
        <v>1988.722274</v>
      </c>
      <c r="C1215">
        <v>0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0</v>
      </c>
      <c r="M1215" s="1">
        <f t="shared" si="75"/>
        <v>0</v>
      </c>
      <c r="N1215" s="1">
        <f t="shared" si="76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 s="1">
        <v>-9.9999999999999995E-8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-4.1894203842725002E-3</v>
      </c>
      <c r="M1216" s="1">
        <f t="shared" si="75"/>
        <v>-1.4050671442636997E-2</v>
      </c>
      <c r="N1216" s="1">
        <f t="shared" si="76"/>
        <v>3.2607870166325277E-2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-7.7969300159751011E-3</v>
      </c>
      <c r="M1218" s="1">
        <f t="shared" si="75"/>
        <v>-2.757605122293403E-2</v>
      </c>
      <c r="N1218" s="1">
        <f t="shared" si="76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-2.5315711647941001E-2</v>
      </c>
      <c r="M1219" s="1">
        <f t="shared" ref="M1219:M1282" si="79">$U$3*$K1219*E1219</f>
        <v>-6.5608410746342194E-3</v>
      </c>
      <c r="N1219" s="1">
        <f t="shared" ref="N1219:N1282" si="8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>
        <v>0</v>
      </c>
      <c r="F1220">
        <v>21286.19785</v>
      </c>
      <c r="G1220">
        <v>0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0</v>
      </c>
      <c r="N1220" s="1">
        <f t="shared" si="80"/>
        <v>0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1.98438628644585E-3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1.0011679241135699E-2</v>
      </c>
      <c r="N1223" s="1">
        <f t="shared" si="8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-4.9934686908612996E-2</v>
      </c>
      <c r="N1224" s="1">
        <f t="shared" si="80"/>
        <v>1.9374971380518E-2</v>
      </c>
      <c r="O1224" s="1"/>
    </row>
    <row r="1225" spans="1:15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9.9999999999999995E-8</v>
      </c>
      <c r="F1225">
        <v>37808.125339999999</v>
      </c>
      <c r="G1225" s="1">
        <v>-3.3000000000000002E-6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1.7302180551564999E-2</v>
      </c>
      <c r="M1225" s="1">
        <f t="shared" si="79"/>
        <v>2.9014425848008997E-3</v>
      </c>
      <c r="N1225" s="1">
        <f t="shared" si="8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2.4476514615040502E-3</v>
      </c>
      <c r="N1226" s="1">
        <f t="shared" si="8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>
        <v>0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0</v>
      </c>
      <c r="M1227" s="1">
        <f t="shared" si="79"/>
        <v>6.0566828320529301E-2</v>
      </c>
      <c r="N1227" s="1">
        <f t="shared" si="80"/>
        <v>2.148461889603414E-2</v>
      </c>
      <c r="O1227" s="1"/>
    </row>
    <row r="1228" spans="1:15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-8.9712132021720001E-3</v>
      </c>
      <c r="M1228" s="1">
        <f t="shared" si="79"/>
        <v>2.00587125956256E-3</v>
      </c>
      <c r="N1228" s="1">
        <f t="shared" si="8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-9.4E-7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-4.8491750146248602E-3</v>
      </c>
      <c r="O1229" s="1"/>
    </row>
    <row r="1230" spans="1:15" x14ac:dyDescent="0.25">
      <c r="A1230">
        <v>2022</v>
      </c>
      <c r="B1230">
        <v>11382.07584</v>
      </c>
      <c r="C1230">
        <v>0</v>
      </c>
      <c r="D1230">
        <v>30050.20522</v>
      </c>
      <c r="E1230" s="1">
        <v>1.9599999999999999E-6</v>
      </c>
      <c r="F1230">
        <v>54428.795169999998</v>
      </c>
      <c r="G1230">
        <v>0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0</v>
      </c>
      <c r="M1230" s="1">
        <f t="shared" si="79"/>
        <v>2.5534883330045877E-2</v>
      </c>
      <c r="N1230" s="1">
        <f t="shared" si="80"/>
        <v>0</v>
      </c>
      <c r="O1230" s="1"/>
    </row>
    <row r="1231" spans="1:15" x14ac:dyDescent="0.25">
      <c r="A1231">
        <v>2023</v>
      </c>
      <c r="B1231">
        <v>9255.7899280000001</v>
      </c>
      <c r="C1231" s="1">
        <v>9.9999999999999995E-8</v>
      </c>
      <c r="D1231">
        <v>29828.891100000001</v>
      </c>
      <c r="E1231">
        <v>0</v>
      </c>
      <c r="F1231">
        <v>46855.563159999998</v>
      </c>
      <c r="G1231" s="1">
        <v>2.3599999999999999E-6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2.0157560575490003E-3</v>
      </c>
      <c r="M1231" s="1">
        <f t="shared" si="79"/>
        <v>0</v>
      </c>
      <c r="N1231" s="1">
        <f t="shared" si="80"/>
        <v>7.4651199718953126E-3</v>
      </c>
      <c r="O1231" s="1"/>
    </row>
    <row r="1232" spans="1:15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5.9999999999999995E-8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0.1075760524117825</v>
      </c>
      <c r="M1232" s="1">
        <f t="shared" si="79"/>
        <v>1.349054067301738E-2</v>
      </c>
      <c r="N1232" s="1">
        <f t="shared" si="80"/>
        <v>4.4037822124421994E-4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4.2545819251277366E-2</v>
      </c>
      <c r="N1233" s="1">
        <f t="shared" si="8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1.7837376889150002E-2</v>
      </c>
      <c r="M1234" s="1">
        <f t="shared" si="79"/>
        <v>-5.3841436086942002E-2</v>
      </c>
      <c r="N1234" s="1">
        <f t="shared" si="80"/>
        <v>-1.1826180877506452E-2</v>
      </c>
      <c r="O1234" s="1"/>
    </row>
    <row r="1235" spans="1:15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-4.3799999999999998E-7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-4.8661924863492211E-2</v>
      </c>
      <c r="M1235" s="1">
        <f t="shared" si="79"/>
        <v>-1.4300601925230085E-2</v>
      </c>
      <c r="N1235" s="1">
        <f t="shared" si="80"/>
        <v>-8.2788277044987724E-4</v>
      </c>
      <c r="O1235" s="1"/>
    </row>
    <row r="1236" spans="1:15" x14ac:dyDescent="0.25">
      <c r="A1236">
        <v>2029</v>
      </c>
      <c r="B1236">
        <v>21301.873360000001</v>
      </c>
      <c r="C1236" s="1">
        <v>9.5999999999999991E-7</v>
      </c>
      <c r="D1236">
        <v>44212.4035</v>
      </c>
      <c r="E1236" s="1">
        <v>-7.4000000000000001E-7</v>
      </c>
      <c r="F1236">
        <v>93860.664539999998</v>
      </c>
      <c r="G1236">
        <v>0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5.1368747141712001E-3</v>
      </c>
      <c r="M1236" s="1">
        <f t="shared" si="79"/>
        <v>-1.328013828349516E-3</v>
      </c>
      <c r="N1236" s="1">
        <f t="shared" si="80"/>
        <v>0</v>
      </c>
      <c r="O1236" s="1"/>
    </row>
    <row r="1237" spans="1:15" x14ac:dyDescent="0.25">
      <c r="A1237">
        <v>2030</v>
      </c>
      <c r="B1237">
        <v>12937.37715</v>
      </c>
      <c r="C1237" s="1">
        <v>9.9999999999999995E-8</v>
      </c>
      <c r="D1237">
        <v>30997.891909999998</v>
      </c>
      <c r="E1237" s="1">
        <v>-3.3400000000000002E-6</v>
      </c>
      <c r="F1237">
        <v>77928.609370000006</v>
      </c>
      <c r="G1237">
        <v>0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4.1521890419424995E-3</v>
      </c>
      <c r="M1237" s="1">
        <f t="shared" si="79"/>
        <v>-4.6512182849525741E-2</v>
      </c>
      <c r="N1237" s="1">
        <f t="shared" si="80"/>
        <v>0</v>
      </c>
      <c r="O1237" s="1"/>
    </row>
    <row r="1238" spans="1:15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-4.4833297657915E-3</v>
      </c>
      <c r="M1238" s="1">
        <f t="shared" si="79"/>
        <v>-2.4358965232106553E-2</v>
      </c>
      <c r="N1238" s="1">
        <f t="shared" si="8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-6.0877782308655006E-3</v>
      </c>
      <c r="M1239" s="1">
        <f t="shared" si="79"/>
        <v>4.0834943210113203E-2</v>
      </c>
      <c r="N1239" s="1">
        <f t="shared" si="80"/>
        <v>-2.0730289747996462E-2</v>
      </c>
      <c r="O1239" s="1"/>
    </row>
    <row r="1240" spans="1:15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>
        <v>0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3.2131331570812499E-3</v>
      </c>
      <c r="M1240" s="1">
        <f t="shared" si="79"/>
        <v>-8.4055563389245497E-3</v>
      </c>
      <c r="N1240" s="1">
        <f t="shared" si="80"/>
        <v>0</v>
      </c>
      <c r="O1240" s="1"/>
    </row>
    <row r="1241" spans="1:15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>
        <v>0</v>
      </c>
      <c r="F1241">
        <v>76449.012560000003</v>
      </c>
      <c r="G1241">
        <v>0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0.16148355145269752</v>
      </c>
      <c r="M1241" s="1">
        <f t="shared" si="79"/>
        <v>0</v>
      </c>
      <c r="N1241" s="1">
        <f t="shared" si="80"/>
        <v>0</v>
      </c>
      <c r="O1241" s="1"/>
    </row>
    <row r="1242" spans="1:15" x14ac:dyDescent="0.25">
      <c r="A1242">
        <v>2035</v>
      </c>
      <c r="B1242">
        <v>8704.9951170000004</v>
      </c>
      <c r="C1242" s="1">
        <v>-9.9999999999999995E-8</v>
      </c>
      <c r="D1242">
        <v>35041.358350000002</v>
      </c>
      <c r="E1242">
        <v>0</v>
      </c>
      <c r="F1242">
        <v>81403.781950000004</v>
      </c>
      <c r="G1242" s="1">
        <v>1.7600000000000001E-6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-3.7669137918424993E-3</v>
      </c>
      <c r="M1242" s="1">
        <f t="shared" si="79"/>
        <v>0</v>
      </c>
      <c r="N1242" s="1">
        <f t="shared" si="80"/>
        <v>1.040363636787024E-2</v>
      </c>
      <c r="O1242" s="1"/>
    </row>
    <row r="1243" spans="1:15" x14ac:dyDescent="0.25">
      <c r="A1243">
        <v>2036</v>
      </c>
      <c r="B1243">
        <v>3197.0280720000001</v>
      </c>
      <c r="C1243">
        <v>0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0</v>
      </c>
      <c r="M1243" s="1">
        <f t="shared" si="79"/>
        <v>3.7616816494419114E-2</v>
      </c>
      <c r="N1243" s="1">
        <f t="shared" si="8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 s="1">
        <v>-3.9999999999999998E-7</v>
      </c>
      <c r="D1244">
        <v>37202.503369999999</v>
      </c>
      <c r="E1244" s="1">
        <v>3.4999999999999999E-6</v>
      </c>
      <c r="F1244">
        <v>83419.647889999993</v>
      </c>
      <c r="G1244">
        <v>0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-1.4145705672019998E-2</v>
      </c>
      <c r="M1244" s="1">
        <f t="shared" si="79"/>
        <v>4.1512205491350998E-2</v>
      </c>
      <c r="N1244" s="1">
        <f t="shared" si="80"/>
        <v>0</v>
      </c>
      <c r="O1244" s="1"/>
    </row>
    <row r="1245" spans="1:15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>
        <v>0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6.6836927591070001E-3</v>
      </c>
      <c r="M1245" s="1">
        <f t="shared" si="79"/>
        <v>1.9427266953137682E-2</v>
      </c>
      <c r="N1245" s="1">
        <f t="shared" si="80"/>
        <v>0</v>
      </c>
      <c r="O1245" s="1"/>
    </row>
    <row r="1246" spans="1:15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>
        <v>0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-6.3685633291929999E-3</v>
      </c>
      <c r="M1246" s="1">
        <f t="shared" si="79"/>
        <v>-2.3495099789853563E-2</v>
      </c>
      <c r="N1246" s="1">
        <f t="shared" si="80"/>
        <v>0</v>
      </c>
      <c r="O1246" s="1"/>
    </row>
    <row r="1247" spans="1:15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>
        <v>0</v>
      </c>
      <c r="F1247">
        <v>108450.25410000001</v>
      </c>
      <c r="G1247">
        <v>0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-7.7050456363042504E-3</v>
      </c>
      <c r="M1247" s="1">
        <f t="shared" si="79"/>
        <v>0</v>
      </c>
      <c r="N1247" s="1">
        <f t="shared" si="80"/>
        <v>0</v>
      </c>
      <c r="O1247" s="1"/>
    </row>
    <row r="1248" spans="1:15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>
        <v>0</v>
      </c>
      <c r="F1248">
        <v>148546.1329</v>
      </c>
      <c r="G1248">
        <v>0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5.0886790992894997E-2</v>
      </c>
      <c r="M1248" s="1">
        <f t="shared" si="79"/>
        <v>0</v>
      </c>
      <c r="N1248" s="1">
        <f t="shared" si="80"/>
        <v>0</v>
      </c>
      <c r="O1248" s="1"/>
    </row>
    <row r="1249" spans="1:15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-2.9999999999999999E-7</v>
      </c>
      <c r="F1249">
        <v>100122.6882</v>
      </c>
      <c r="G1249">
        <v>0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-9.2216937355887527E-2</v>
      </c>
      <c r="M1249" s="1">
        <f t="shared" si="79"/>
        <v>-1.8556885240230902E-3</v>
      </c>
      <c r="N1249" s="1">
        <f t="shared" si="80"/>
        <v>0</v>
      </c>
      <c r="O1249" s="1"/>
    </row>
    <row r="1250" spans="1:15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>
        <v>0</v>
      </c>
      <c r="F1250">
        <v>112124.894</v>
      </c>
      <c r="G1250">
        <v>0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-4.9656921021854261E-2</v>
      </c>
      <c r="M1250" s="1">
        <f t="shared" si="79"/>
        <v>0</v>
      </c>
      <c r="N1250" s="1">
        <f t="shared" si="80"/>
        <v>0</v>
      </c>
      <c r="O1250" s="1"/>
    </row>
    <row r="1251" spans="1:15" x14ac:dyDescent="0.25">
      <c r="A1251">
        <v>2107</v>
      </c>
      <c r="B1251">
        <v>47391.728419999999</v>
      </c>
      <c r="C1251">
        <v>0</v>
      </c>
      <c r="D1251">
        <v>81292.258919999993</v>
      </c>
      <c r="E1251">
        <v>0</v>
      </c>
      <c r="F1251">
        <v>508111.6986</v>
      </c>
      <c r="G1251">
        <v>0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0</v>
      </c>
      <c r="M1251" s="1">
        <f t="shared" si="79"/>
        <v>0</v>
      </c>
      <c r="N1251" s="1">
        <f t="shared" si="80"/>
        <v>0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 s="1">
        <v>-3.9999999999999998E-7</v>
      </c>
      <c r="F1252">
        <v>51401.776169999997</v>
      </c>
      <c r="G1252">
        <v>0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-2.5239321424694001E-2</v>
      </c>
      <c r="N1252" s="1">
        <f t="shared" si="80"/>
        <v>0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>
        <v>0</v>
      </c>
      <c r="F1253">
        <v>78887.107210000002</v>
      </c>
      <c r="G1253" s="1">
        <v>1.3999999999999999E-6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0</v>
      </c>
      <c r="N1253" s="1">
        <f t="shared" si="80"/>
        <v>5.13383084472048E-3</v>
      </c>
      <c r="O1253" s="1"/>
    </row>
    <row r="1254" spans="1:15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>
        <v>0</v>
      </c>
      <c r="F1254">
        <v>75126.700060000003</v>
      </c>
      <c r="G1254" s="1">
        <v>-2.6000000000000001E-6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9.4584842290477492E-3</v>
      </c>
      <c r="M1254" s="1">
        <f t="shared" si="79"/>
        <v>0</v>
      </c>
      <c r="N1254" s="1">
        <f t="shared" si="80"/>
        <v>-1.2863538551504941E-2</v>
      </c>
      <c r="O1254" s="1"/>
    </row>
    <row r="1255" spans="1:15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>
        <v>0</v>
      </c>
      <c r="F1255">
        <v>259162.52439999999</v>
      </c>
      <c r="G1255">
        <v>0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2.6220090566475E-2</v>
      </c>
      <c r="M1255" s="1">
        <f t="shared" si="79"/>
        <v>0</v>
      </c>
      <c r="N1255" s="1">
        <f t="shared" si="80"/>
        <v>0</v>
      </c>
      <c r="O1255" s="1"/>
    </row>
    <row r="1256" spans="1:15" x14ac:dyDescent="0.25">
      <c r="A1256">
        <v>2114</v>
      </c>
      <c r="B1256">
        <v>17217.36161</v>
      </c>
      <c r="C1256">
        <v>0</v>
      </c>
      <c r="D1256">
        <v>53029.575510000002</v>
      </c>
      <c r="E1256">
        <v>0</v>
      </c>
      <c r="F1256">
        <v>119857.29090000001</v>
      </c>
      <c r="G1256">
        <v>0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0</v>
      </c>
      <c r="M1256" s="1">
        <f t="shared" si="79"/>
        <v>0</v>
      </c>
      <c r="N1256" s="1">
        <f t="shared" si="80"/>
        <v>0</v>
      </c>
      <c r="O1256" s="1"/>
    </row>
    <row r="1257" spans="1:15" x14ac:dyDescent="0.25">
      <c r="A1257">
        <v>2115</v>
      </c>
      <c r="B1257">
        <v>35266.504300000001</v>
      </c>
      <c r="C1257">
        <v>0</v>
      </c>
      <c r="D1257">
        <v>79451.054189999995</v>
      </c>
      <c r="E1257">
        <v>0</v>
      </c>
      <c r="F1257">
        <v>482660.99209999997</v>
      </c>
      <c r="G1257">
        <v>0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0</v>
      </c>
      <c r="M1257" s="1">
        <f t="shared" si="79"/>
        <v>0</v>
      </c>
      <c r="N1257" s="1">
        <f t="shared" si="80"/>
        <v>0</v>
      </c>
      <c r="O1257" s="1"/>
    </row>
    <row r="1258" spans="1:15" x14ac:dyDescent="0.25">
      <c r="A1258">
        <v>2116</v>
      </c>
      <c r="B1258">
        <v>17681.73054</v>
      </c>
      <c r="C1258">
        <v>0</v>
      </c>
      <c r="D1258">
        <v>62501.239629999996</v>
      </c>
      <c r="E1258">
        <v>0</v>
      </c>
      <c r="F1258">
        <v>192124.4798</v>
      </c>
      <c r="G1258">
        <v>0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0</v>
      </c>
      <c r="M1258" s="1">
        <f t="shared" si="79"/>
        <v>0</v>
      </c>
      <c r="N1258" s="1">
        <f t="shared" si="80"/>
        <v>0</v>
      </c>
      <c r="O1258" s="1"/>
    </row>
    <row r="1259" spans="1:15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>
        <v>0</v>
      </c>
      <c r="F1259">
        <v>106725.3523</v>
      </c>
      <c r="G1259">
        <v>0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1.27653660208165E-2</v>
      </c>
      <c r="M1259" s="1">
        <f t="shared" si="79"/>
        <v>0</v>
      </c>
      <c r="N1259" s="1">
        <f t="shared" si="80"/>
        <v>0</v>
      </c>
      <c r="O1259" s="1"/>
    </row>
    <row r="1260" spans="1:15" x14ac:dyDescent="0.25">
      <c r="A1260">
        <v>2118</v>
      </c>
      <c r="B1260">
        <v>19316.271929999999</v>
      </c>
      <c r="C1260">
        <v>0</v>
      </c>
      <c r="D1260">
        <v>62424.019039999999</v>
      </c>
      <c r="E1260">
        <v>0</v>
      </c>
      <c r="F1260">
        <v>238714.63759999999</v>
      </c>
      <c r="G1260">
        <v>0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0</v>
      </c>
      <c r="M1260" s="1">
        <f t="shared" si="79"/>
        <v>0</v>
      </c>
      <c r="N1260" s="1">
        <f t="shared" si="80"/>
        <v>0</v>
      </c>
      <c r="O1260" s="1"/>
    </row>
    <row r="1261" spans="1:15" x14ac:dyDescent="0.25">
      <c r="A1261">
        <v>2119</v>
      </c>
      <c r="B1261">
        <v>17014.594730000001</v>
      </c>
      <c r="C1261">
        <v>0</v>
      </c>
      <c r="D1261">
        <v>57050.602709999999</v>
      </c>
      <c r="E1261">
        <v>0</v>
      </c>
      <c r="F1261">
        <v>187561.62349999999</v>
      </c>
      <c r="G1261">
        <v>0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0</v>
      </c>
      <c r="M1261" s="1">
        <f t="shared" si="79"/>
        <v>0</v>
      </c>
      <c r="N1261" s="1">
        <f t="shared" si="80"/>
        <v>0</v>
      </c>
      <c r="O1261" s="1"/>
    </row>
    <row r="1262" spans="1:15" x14ac:dyDescent="0.25">
      <c r="A1262">
        <v>2120</v>
      </c>
      <c r="B1262">
        <v>18777.545259999999</v>
      </c>
      <c r="C1262">
        <v>0</v>
      </c>
      <c r="D1262">
        <v>58688.870569999999</v>
      </c>
      <c r="E1262">
        <v>0</v>
      </c>
      <c r="F1262">
        <v>174379.0723</v>
      </c>
      <c r="G1262">
        <v>0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0</v>
      </c>
      <c r="M1262" s="1">
        <f t="shared" si="79"/>
        <v>0</v>
      </c>
      <c r="N1262" s="1">
        <f t="shared" si="80"/>
        <v>0</v>
      </c>
      <c r="O1262" s="1"/>
    </row>
    <row r="1263" spans="1:15" x14ac:dyDescent="0.25">
      <c r="A1263">
        <v>2123</v>
      </c>
      <c r="B1263">
        <v>2920.6982119999998</v>
      </c>
      <c r="C1263" s="1">
        <v>-9.9999999999999995E-8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-3.2018340525372499E-3</v>
      </c>
      <c r="M1263" s="1">
        <f t="shared" si="79"/>
        <v>-1.8255379998004691E-2</v>
      </c>
      <c r="N1263" s="1">
        <f t="shared" si="80"/>
        <v>0.21002061025227414</v>
      </c>
      <c r="O1263" s="1"/>
    </row>
    <row r="1264" spans="1:15" x14ac:dyDescent="0.25">
      <c r="A1264">
        <v>2124</v>
      </c>
      <c r="B1264">
        <v>1869.4103419999999</v>
      </c>
      <c r="C1264">
        <v>0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0</v>
      </c>
      <c r="M1264" s="1">
        <f t="shared" si="79"/>
        <v>-8.7454938282751998E-2</v>
      </c>
      <c r="N1264" s="1">
        <f t="shared" si="80"/>
        <v>-0.49921525320668164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 s="1">
        <v>3.9999999999999998E-7</v>
      </c>
      <c r="F1265">
        <v>51644.010459999998</v>
      </c>
      <c r="G1265" s="1">
        <v>-3.8E-6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1.4118982304008799E-2</v>
      </c>
      <c r="N1265" s="1">
        <f t="shared" si="8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>
        <v>0</v>
      </c>
      <c r="F1266">
        <v>264750.01520000002</v>
      </c>
      <c r="G1266" s="1">
        <v>3.1399999999999998E-5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-4.3633486230425005E-2</v>
      </c>
      <c r="M1266" s="1">
        <f t="shared" si="79"/>
        <v>0</v>
      </c>
      <c r="N1266" s="1">
        <f t="shared" si="80"/>
        <v>0.42999793753478521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 s="1">
        <v>-2.3999999999999999E-6</v>
      </c>
      <c r="F1267">
        <v>36056.993020000002</v>
      </c>
      <c r="G1267" s="1">
        <v>2.2000000000000001E-6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-1.5513268326835679E-2</v>
      </c>
      <c r="N1267" s="1">
        <f t="shared" si="80"/>
        <v>6.6536265530235603E-3</v>
      </c>
      <c r="O1267" s="1"/>
    </row>
    <row r="1268" spans="1:15" x14ac:dyDescent="0.25">
      <c r="A1268">
        <v>2128</v>
      </c>
      <c r="B1268">
        <v>8474.646514</v>
      </c>
      <c r="C1268" s="1">
        <v>3.9999999999999998E-7</v>
      </c>
      <c r="D1268">
        <v>19661.129099999998</v>
      </c>
      <c r="E1268" s="1">
        <v>-5.0000000000000004E-6</v>
      </c>
      <c r="F1268">
        <v>96238.266350000005</v>
      </c>
      <c r="G1268" s="1">
        <v>2.7E-6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7.1917088400560002E-3</v>
      </c>
      <c r="M1268" s="1">
        <f t="shared" si="79"/>
        <v>-3.0149856291004005E-2</v>
      </c>
      <c r="N1268" s="1">
        <f t="shared" si="80"/>
        <v>7.6176792867362411E-3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 s="1">
        <v>-3.9999999999999998E-7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-9.7611642452551991E-3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1.23516707300498E-2</v>
      </c>
      <c r="N1271" s="1">
        <f t="shared" si="80"/>
        <v>0.11847405273639511</v>
      </c>
      <c r="O1271" s="1"/>
    </row>
    <row r="1272" spans="1:15" x14ac:dyDescent="0.25">
      <c r="A1272">
        <v>2132</v>
      </c>
      <c r="B1272">
        <v>341.95310060000003</v>
      </c>
      <c r="C1272">
        <v>0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0</v>
      </c>
      <c r="M1272" s="1">
        <f t="shared" si="79"/>
        <v>-4.8526665214523989E-3</v>
      </c>
      <c r="N1272" s="1">
        <f t="shared" si="8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-8.7610378040900005E-3</v>
      </c>
      <c r="M1273" s="1">
        <f t="shared" si="79"/>
        <v>-4.7013076708716801E-2</v>
      </c>
      <c r="N1273" s="1">
        <f t="shared" si="8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-2.154043745416E-2</v>
      </c>
      <c r="N1274" s="1">
        <f t="shared" si="80"/>
        <v>3.0235659912720002E-2</v>
      </c>
      <c r="O1274" s="1"/>
    </row>
    <row r="1275" spans="1:15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>
        <v>0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-7.2420718224569011E-2</v>
      </c>
      <c r="M1275" s="1">
        <f t="shared" si="79"/>
        <v>-1.5456505735761161E-2</v>
      </c>
      <c r="N1275" s="1">
        <f t="shared" si="80"/>
        <v>0</v>
      </c>
      <c r="O1275" s="1"/>
    </row>
    <row r="1276" spans="1:15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>
        <v>0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-1.122618716739E-2</v>
      </c>
      <c r="M1276" s="1">
        <f t="shared" si="79"/>
        <v>2.936770562989224E-2</v>
      </c>
      <c r="N1276" s="1">
        <f t="shared" si="80"/>
        <v>0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-8.8584349218187003E-2</v>
      </c>
      <c r="N1277" s="1">
        <f t="shared" si="80"/>
        <v>9.0103745714549995E-3</v>
      </c>
      <c r="O1277" s="1"/>
    </row>
    <row r="1278" spans="1:15" x14ac:dyDescent="0.25">
      <c r="A1278">
        <v>2138</v>
      </c>
      <c r="B1278">
        <v>12764.001</v>
      </c>
      <c r="C1278">
        <v>0</v>
      </c>
      <c r="D1278">
        <v>66445.111600000004</v>
      </c>
      <c r="E1278">
        <v>0</v>
      </c>
      <c r="F1278">
        <v>413242.13140000001</v>
      </c>
      <c r="G1278">
        <v>0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0</v>
      </c>
      <c r="M1278" s="1">
        <f t="shared" si="79"/>
        <v>0</v>
      </c>
      <c r="N1278" s="1">
        <f t="shared" si="80"/>
        <v>0</v>
      </c>
      <c r="O1278" s="1"/>
    </row>
    <row r="1279" spans="1:15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>
        <v>0</v>
      </c>
      <c r="F1279">
        <v>292877.96279999998</v>
      </c>
      <c r="G1279">
        <v>0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0.10283995288049276</v>
      </c>
      <c r="M1279" s="1">
        <f t="shared" si="79"/>
        <v>0</v>
      </c>
      <c r="N1279" s="1">
        <f t="shared" si="80"/>
        <v>0</v>
      </c>
      <c r="O1279" s="1"/>
    </row>
    <row r="1280" spans="1:15" x14ac:dyDescent="0.25">
      <c r="A1280">
        <v>2140</v>
      </c>
      <c r="B1280">
        <v>14981.85881</v>
      </c>
      <c r="C1280">
        <v>0</v>
      </c>
      <c r="D1280">
        <v>71049.681100000002</v>
      </c>
      <c r="E1280" s="1">
        <v>-9.9999999999999995E-8</v>
      </c>
      <c r="F1280">
        <v>421777.10110000003</v>
      </c>
      <c r="G1280">
        <v>0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0</v>
      </c>
      <c r="M1280" s="1">
        <f t="shared" si="79"/>
        <v>-1.6846210016447998E-4</v>
      </c>
      <c r="N1280" s="1">
        <f t="shared" si="80"/>
        <v>0</v>
      </c>
      <c r="O1280" s="1"/>
    </row>
    <row r="1281" spans="1:15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6.9999999999999997E-7</v>
      </c>
      <c r="F1281">
        <v>137145.94709999999</v>
      </c>
      <c r="G1281">
        <v>0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0.14025686662786499</v>
      </c>
      <c r="M1281" s="1">
        <f t="shared" si="79"/>
        <v>7.3173325974058793E-3</v>
      </c>
      <c r="N1281" s="1">
        <f t="shared" si="80"/>
        <v>0</v>
      </c>
      <c r="O1281" s="1"/>
    </row>
    <row r="1282" spans="1:15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3.2924627420099998E-3</v>
      </c>
      <c r="M1282" s="1">
        <f t="shared" si="79"/>
        <v>1.9876344307149598E-2</v>
      </c>
      <c r="N1282" s="1">
        <f t="shared" si="8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>
        <v>0</v>
      </c>
      <c r="D1283">
        <v>65383.430509999998</v>
      </c>
      <c r="E1283">
        <v>0</v>
      </c>
      <c r="F1283">
        <v>338185.60749999998</v>
      </c>
      <c r="G1283">
        <v>0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0</v>
      </c>
      <c r="M1283" s="1">
        <f t="shared" ref="M1283:M1346" si="83">$U$3*$K1283*E1283</f>
        <v>0</v>
      </c>
      <c r="N1283" s="1">
        <f t="shared" ref="N1283:N1346" si="84">$U$4*$K1283*G1283</f>
        <v>0</v>
      </c>
      <c r="O1283" s="1"/>
    </row>
    <row r="1284" spans="1:15" x14ac:dyDescent="0.25">
      <c r="A1284">
        <v>2144</v>
      </c>
      <c r="B1284">
        <v>30510.54336</v>
      </c>
      <c r="C1284">
        <v>0</v>
      </c>
      <c r="D1284">
        <v>67270.365950000007</v>
      </c>
      <c r="E1284">
        <v>0</v>
      </c>
      <c r="F1284">
        <v>453507.38030000002</v>
      </c>
      <c r="G1284">
        <v>0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0</v>
      </c>
      <c r="M1284" s="1">
        <f t="shared" si="83"/>
        <v>0</v>
      </c>
      <c r="N1284" s="1">
        <f t="shared" si="84"/>
        <v>0</v>
      </c>
      <c r="O1284" s="1"/>
    </row>
    <row r="1285" spans="1:15" x14ac:dyDescent="0.25">
      <c r="A1285">
        <v>2145</v>
      </c>
      <c r="B1285">
        <v>21548.49581</v>
      </c>
      <c r="C1285" s="1">
        <v>-6.9999999999999997E-7</v>
      </c>
      <c r="D1285">
        <v>51298.840680000001</v>
      </c>
      <c r="E1285">
        <v>0</v>
      </c>
      <c r="F1285">
        <v>246388.61319999999</v>
      </c>
      <c r="G1285">
        <v>0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-2.1243893736770249E-2</v>
      </c>
      <c r="M1285" s="1">
        <f t="shared" si="83"/>
        <v>0</v>
      </c>
      <c r="N1285" s="1">
        <f t="shared" si="84"/>
        <v>0</v>
      </c>
      <c r="O1285" s="1"/>
    </row>
    <row r="1286" spans="1:15" x14ac:dyDescent="0.25">
      <c r="A1286">
        <v>2146</v>
      </c>
      <c r="B1286">
        <v>15684.537899999999</v>
      </c>
      <c r="C1286">
        <v>0</v>
      </c>
      <c r="D1286">
        <v>49764.66315</v>
      </c>
      <c r="E1286">
        <v>0</v>
      </c>
      <c r="F1286">
        <v>85229.572010000004</v>
      </c>
      <c r="G1286">
        <v>0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0</v>
      </c>
      <c r="M1286" s="1">
        <f t="shared" si="83"/>
        <v>0</v>
      </c>
      <c r="N1286" s="1">
        <f t="shared" si="84"/>
        <v>0</v>
      </c>
      <c r="O1286" s="1"/>
    </row>
    <row r="1287" spans="1:15" x14ac:dyDescent="0.25">
      <c r="A1287">
        <v>2147</v>
      </c>
      <c r="B1287">
        <v>8461.6515199999994</v>
      </c>
      <c r="C1287" s="1">
        <v>-1.98E-7</v>
      </c>
      <c r="D1287">
        <v>47847.70968</v>
      </c>
      <c r="E1287">
        <v>0</v>
      </c>
      <c r="F1287">
        <v>81793.72292</v>
      </c>
      <c r="G1287">
        <v>0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-8.0905312099755003E-3</v>
      </c>
      <c r="M1287" s="1">
        <f t="shared" si="83"/>
        <v>0</v>
      </c>
      <c r="N1287" s="1">
        <f t="shared" si="84"/>
        <v>0</v>
      </c>
      <c r="O1287" s="1"/>
    </row>
    <row r="1288" spans="1:15" x14ac:dyDescent="0.25">
      <c r="A1288">
        <v>2148</v>
      </c>
      <c r="B1288">
        <v>36980.90885</v>
      </c>
      <c r="C1288">
        <v>0</v>
      </c>
      <c r="D1288">
        <v>70126.418350000007</v>
      </c>
      <c r="E1288">
        <v>0</v>
      </c>
      <c r="F1288">
        <v>460845.9325</v>
      </c>
      <c r="G1288">
        <v>0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0</v>
      </c>
      <c r="M1288" s="1">
        <f t="shared" si="83"/>
        <v>0</v>
      </c>
      <c r="N1288" s="1">
        <f t="shared" si="84"/>
        <v>0</v>
      </c>
      <c r="O1288" s="1"/>
    </row>
    <row r="1289" spans="1:15" x14ac:dyDescent="0.25">
      <c r="A1289">
        <v>2149</v>
      </c>
      <c r="B1289">
        <v>10874.0555</v>
      </c>
      <c r="C1289">
        <v>0</v>
      </c>
      <c r="D1289">
        <v>41940.197379999998</v>
      </c>
      <c r="E1289">
        <v>0</v>
      </c>
      <c r="F1289">
        <v>313148.32569999999</v>
      </c>
      <c r="G1289">
        <v>0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0</v>
      </c>
      <c r="M1289" s="1">
        <f t="shared" si="83"/>
        <v>0</v>
      </c>
      <c r="N1289" s="1">
        <f t="shared" si="84"/>
        <v>0</v>
      </c>
      <c r="O1289" s="1"/>
    </row>
    <row r="1290" spans="1:15" x14ac:dyDescent="0.25">
      <c r="A1290">
        <v>2150</v>
      </c>
      <c r="B1290">
        <v>16842.851490000001</v>
      </c>
      <c r="C1290">
        <v>0</v>
      </c>
      <c r="D1290">
        <v>61945.453459999997</v>
      </c>
      <c r="E1290">
        <v>0</v>
      </c>
      <c r="F1290">
        <v>447734.54470000003</v>
      </c>
      <c r="G1290">
        <v>0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0</v>
      </c>
      <c r="M1290" s="1">
        <f t="shared" si="83"/>
        <v>0</v>
      </c>
      <c r="N1290" s="1">
        <f t="shared" si="84"/>
        <v>0</v>
      </c>
      <c r="O1290" s="1"/>
    </row>
    <row r="1291" spans="1:15" x14ac:dyDescent="0.25">
      <c r="A1291">
        <v>2151</v>
      </c>
      <c r="B1291">
        <v>28163.459940000001</v>
      </c>
      <c r="C1291">
        <v>0</v>
      </c>
      <c r="D1291">
        <v>62459.156329999998</v>
      </c>
      <c r="E1291">
        <v>0</v>
      </c>
      <c r="F1291">
        <v>424467.98940000002</v>
      </c>
      <c r="G1291">
        <v>0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0</v>
      </c>
      <c r="M1291" s="1">
        <f t="shared" si="83"/>
        <v>0</v>
      </c>
      <c r="N1291" s="1">
        <f t="shared" si="84"/>
        <v>0</v>
      </c>
      <c r="O1291" s="1"/>
    </row>
    <row r="1292" spans="1:15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>
        <v>0</v>
      </c>
      <c r="F1292">
        <v>303658.6838</v>
      </c>
      <c r="G1292">
        <v>0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2.2917852315435999E-2</v>
      </c>
      <c r="M1292" s="1">
        <f t="shared" si="83"/>
        <v>0</v>
      </c>
      <c r="N1292" s="1">
        <f t="shared" si="84"/>
        <v>0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>
        <v>0</v>
      </c>
      <c r="F1293">
        <v>59282.510020000002</v>
      </c>
      <c r="G1293">
        <v>0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</v>
      </c>
      <c r="N1293" s="1">
        <f t="shared" si="84"/>
        <v>0</v>
      </c>
      <c r="O1293" s="1"/>
    </row>
    <row r="1294" spans="1:15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>
        <v>0</v>
      </c>
      <c r="F1294">
        <v>565159.98199999996</v>
      </c>
      <c r="G1294">
        <v>4921.2559240000001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3.1198952180434999E-2</v>
      </c>
      <c r="M1294" s="1">
        <f t="shared" si="83"/>
        <v>0</v>
      </c>
      <c r="N1294" s="1">
        <f t="shared" si="84"/>
        <v>24093659.816210713</v>
      </c>
      <c r="O1294" s="1"/>
    </row>
    <row r="1295" spans="1:15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>
        <v>0</v>
      </c>
      <c r="F1295">
        <v>510035.8798</v>
      </c>
      <c r="G1295">
        <v>2695.8166510000001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-1.2193541041597498E-2</v>
      </c>
      <c r="M1295" s="1">
        <f t="shared" si="83"/>
        <v>0</v>
      </c>
      <c r="N1295" s="1">
        <f t="shared" si="84"/>
        <v>17194349.740554992</v>
      </c>
      <c r="O1295" s="1"/>
    </row>
    <row r="1296" spans="1:15" x14ac:dyDescent="0.25">
      <c r="A1296">
        <v>2157</v>
      </c>
      <c r="B1296">
        <v>11592.313529999999</v>
      </c>
      <c r="C1296">
        <v>0</v>
      </c>
      <c r="D1296">
        <v>110717.1716</v>
      </c>
      <c r="E1296">
        <v>0</v>
      </c>
      <c r="F1296">
        <v>576916.07519999996</v>
      </c>
      <c r="G1296">
        <v>23852.34576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0</v>
      </c>
      <c r="M1296" s="1">
        <f t="shared" si="83"/>
        <v>0</v>
      </c>
      <c r="N1296" s="1">
        <f t="shared" si="84"/>
        <v>61030303.467201993</v>
      </c>
      <c r="O1296" s="1"/>
    </row>
    <row r="1297" spans="1:15" x14ac:dyDescent="0.25">
      <c r="A1297">
        <v>2158</v>
      </c>
      <c r="B1297">
        <v>7952.8562780000002</v>
      </c>
      <c r="C1297">
        <v>0</v>
      </c>
      <c r="D1297">
        <v>65484.998760000002</v>
      </c>
      <c r="E1297">
        <v>0</v>
      </c>
      <c r="F1297">
        <v>533913.60179999995</v>
      </c>
      <c r="G1297">
        <v>5927.5997029999999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0</v>
      </c>
      <c r="M1297" s="1">
        <f t="shared" si="83"/>
        <v>0</v>
      </c>
      <c r="N1297" s="1">
        <f t="shared" si="84"/>
        <v>26680433.20870487</v>
      </c>
      <c r="O1297" s="1"/>
    </row>
    <row r="1298" spans="1:15" x14ac:dyDescent="0.25">
      <c r="A1298">
        <v>2161</v>
      </c>
      <c r="B1298">
        <v>17553.59071</v>
      </c>
      <c r="C1298" s="1">
        <v>3.9999999999999998E-7</v>
      </c>
      <c r="D1298">
        <v>55334.911110000001</v>
      </c>
      <c r="E1298">
        <v>0</v>
      </c>
      <c r="F1298">
        <v>102077.1689</v>
      </c>
      <c r="G1298">
        <v>0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1.2270870079727998E-2</v>
      </c>
      <c r="M1298" s="1">
        <f t="shared" si="83"/>
        <v>0</v>
      </c>
      <c r="N1298" s="1">
        <f t="shared" si="84"/>
        <v>0</v>
      </c>
      <c r="O1298" s="1"/>
    </row>
    <row r="1299" spans="1:15" x14ac:dyDescent="0.25">
      <c r="A1299">
        <v>2162</v>
      </c>
      <c r="B1299">
        <v>6395.3288309999998</v>
      </c>
      <c r="C1299">
        <v>0</v>
      </c>
      <c r="D1299">
        <v>23845.624349999998</v>
      </c>
      <c r="E1299" s="1">
        <v>-3.0000000000000001E-6</v>
      </c>
      <c r="F1299">
        <v>66302.358259999994</v>
      </c>
      <c r="G1299">
        <v>0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0</v>
      </c>
      <c r="M1299" s="1">
        <f t="shared" si="83"/>
        <v>-5.4426307683627009E-2</v>
      </c>
      <c r="N1299" s="1">
        <f t="shared" si="84"/>
        <v>0</v>
      </c>
      <c r="O1299" s="1"/>
    </row>
    <row r="1300" spans="1:15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>
        <v>0</v>
      </c>
      <c r="F1300">
        <v>86570.833549999996</v>
      </c>
      <c r="G1300">
        <v>0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-5.8339521165119999E-2</v>
      </c>
      <c r="M1300" s="1">
        <f t="shared" si="83"/>
        <v>0</v>
      </c>
      <c r="N1300" s="1">
        <f t="shared" si="84"/>
        <v>0</v>
      </c>
      <c r="O1300" s="1"/>
    </row>
    <row r="1301" spans="1:15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>
        <v>0</v>
      </c>
      <c r="F1301">
        <v>97528.993300000002</v>
      </c>
      <c r="G1301">
        <v>0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-2.0638851605255001E-3</v>
      </c>
      <c r="M1301" s="1">
        <f t="shared" si="83"/>
        <v>0</v>
      </c>
      <c r="N1301" s="1">
        <f t="shared" si="84"/>
        <v>0</v>
      </c>
      <c r="O1301" s="1"/>
    </row>
    <row r="1302" spans="1:15" x14ac:dyDescent="0.25">
      <c r="A1302">
        <v>2165</v>
      </c>
      <c r="B1302">
        <v>10955.96954</v>
      </c>
      <c r="C1302" s="1">
        <v>-3.9999999999999998E-7</v>
      </c>
      <c r="D1302">
        <v>34516.044589999998</v>
      </c>
      <c r="E1302">
        <v>0</v>
      </c>
      <c r="F1302">
        <v>79949.571129999997</v>
      </c>
      <c r="G1302">
        <v>0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-1.1600868293638E-2</v>
      </c>
      <c r="M1302" s="1">
        <f t="shared" si="83"/>
        <v>0</v>
      </c>
      <c r="N1302" s="1">
        <f t="shared" si="84"/>
        <v>0</v>
      </c>
      <c r="O1302" s="1"/>
    </row>
    <row r="1303" spans="1:15" x14ac:dyDescent="0.25">
      <c r="A1303">
        <v>2166</v>
      </c>
      <c r="B1303">
        <v>10124.09251</v>
      </c>
      <c r="C1303">
        <v>0</v>
      </c>
      <c r="D1303">
        <v>66178.455230000007</v>
      </c>
      <c r="E1303" s="1">
        <v>3.0000000000000001E-6</v>
      </c>
      <c r="F1303">
        <v>173245.0448</v>
      </c>
      <c r="G1303">
        <v>0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0</v>
      </c>
      <c r="M1303" s="1">
        <f t="shared" si="83"/>
        <v>1.44903951453597E-2</v>
      </c>
      <c r="N1303" s="1">
        <f t="shared" si="84"/>
        <v>0</v>
      </c>
      <c r="O1303" s="1"/>
    </row>
    <row r="1304" spans="1:15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>
        <v>0</v>
      </c>
      <c r="F1304">
        <v>91414.421159999998</v>
      </c>
      <c r="G1304">
        <v>0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1.3908090378455E-2</v>
      </c>
      <c r="M1304" s="1">
        <f t="shared" si="83"/>
        <v>0</v>
      </c>
      <c r="N1304" s="1">
        <f t="shared" si="84"/>
        <v>0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>
        <v>0</v>
      </c>
      <c r="F1307">
        <v>459135.7205</v>
      </c>
      <c r="G1307">
        <v>0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1.6957336571467498E-2</v>
      </c>
      <c r="M1307" s="1">
        <f t="shared" si="83"/>
        <v>0</v>
      </c>
      <c r="N1307" s="1">
        <f t="shared" si="84"/>
        <v>0</v>
      </c>
      <c r="O1307" s="1"/>
    </row>
    <row r="1308" spans="1:15" x14ac:dyDescent="0.25">
      <c r="A1308">
        <v>2201</v>
      </c>
      <c r="B1308">
        <v>44495.263720000003</v>
      </c>
      <c r="C1308">
        <v>0</v>
      </c>
      <c r="D1308">
        <v>255443.31719999999</v>
      </c>
      <c r="E1308">
        <v>0</v>
      </c>
      <c r="F1308">
        <v>653087.59829999995</v>
      </c>
      <c r="G1308">
        <v>15813.729799999999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0</v>
      </c>
      <c r="M1308" s="1">
        <f t="shared" si="83"/>
        <v>0</v>
      </c>
      <c r="N1308" s="1">
        <f t="shared" si="84"/>
        <v>30125333.827849783</v>
      </c>
      <c r="O1308" s="1"/>
    </row>
    <row r="1309" spans="1:15" x14ac:dyDescent="0.25">
      <c r="A1309">
        <v>2202</v>
      </c>
      <c r="B1309">
        <v>18610.486250000002</v>
      </c>
      <c r="C1309">
        <v>0</v>
      </c>
      <c r="D1309">
        <v>259622.81880000001</v>
      </c>
      <c r="E1309">
        <v>0</v>
      </c>
      <c r="F1309">
        <v>654712.67119999998</v>
      </c>
      <c r="G1309">
        <v>15625.92599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0</v>
      </c>
      <c r="M1309" s="1">
        <f t="shared" si="83"/>
        <v>0</v>
      </c>
      <c r="N1309" s="1">
        <f t="shared" si="84"/>
        <v>34783247.76913885</v>
      </c>
      <c r="O1309" s="1"/>
    </row>
    <row r="1310" spans="1:15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>
        <v>0</v>
      </c>
      <c r="F1310">
        <v>655861.92009999999</v>
      </c>
      <c r="G1310">
        <v>14091.81846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3.0955626872663997E-2</v>
      </c>
      <c r="M1310" s="1">
        <f t="shared" si="83"/>
        <v>0</v>
      </c>
      <c r="N1310" s="1">
        <f t="shared" si="84"/>
        <v>21391610.369672123</v>
      </c>
      <c r="O1310" s="1"/>
    </row>
    <row r="1311" spans="1:15" x14ac:dyDescent="0.25">
      <c r="A1311">
        <v>2204</v>
      </c>
      <c r="B1311">
        <v>10677.236940000001</v>
      </c>
      <c r="C1311">
        <v>0</v>
      </c>
      <c r="D1311">
        <v>72705.216369999995</v>
      </c>
      <c r="E1311">
        <v>0</v>
      </c>
      <c r="F1311">
        <v>536731.40150000004</v>
      </c>
      <c r="G1311">
        <v>723.72412420000001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0</v>
      </c>
      <c r="M1311" s="1">
        <f t="shared" si="83"/>
        <v>0</v>
      </c>
      <c r="N1311" s="1">
        <f t="shared" si="84"/>
        <v>2977028.9645407535</v>
      </c>
      <c r="O1311" s="1"/>
    </row>
    <row r="1312" spans="1:15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-2.9000000000000002E-6</v>
      </c>
      <c r="F1312">
        <v>546009.17599999998</v>
      </c>
      <c r="G1312">
        <v>7100.4122200000002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0.19046299072755504</v>
      </c>
      <c r="M1312" s="1">
        <f t="shared" si="83"/>
        <v>-4.3080752321273806E-2</v>
      </c>
      <c r="N1312" s="1">
        <f t="shared" si="84"/>
        <v>49352882.352632277</v>
      </c>
      <c r="O1312" s="1"/>
    </row>
    <row r="1313" spans="1:15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-2.9999999999999999E-7</v>
      </c>
      <c r="F1313">
        <v>441351.7132</v>
      </c>
      <c r="G1313">
        <v>0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9.355997425866E-3</v>
      </c>
      <c r="M1313" s="1">
        <f t="shared" si="83"/>
        <v>-3.1378575982135199E-3</v>
      </c>
      <c r="N1313" s="1">
        <f t="shared" si="84"/>
        <v>0</v>
      </c>
      <c r="O1313" s="1"/>
    </row>
    <row r="1314" spans="1:15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>
        <v>0</v>
      </c>
      <c r="F1314">
        <v>30638.962100000001</v>
      </c>
      <c r="G1314">
        <v>0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-2.6333131235449999E-2</v>
      </c>
      <c r="M1314" s="1">
        <f t="shared" si="83"/>
        <v>0</v>
      </c>
      <c r="N1314" s="1">
        <f t="shared" si="84"/>
        <v>0</v>
      </c>
      <c r="O1314" s="1"/>
    </row>
    <row r="1315" spans="1:15" x14ac:dyDescent="0.25">
      <c r="A1315">
        <v>2208</v>
      </c>
      <c r="B1315">
        <v>26253.823540000001</v>
      </c>
      <c r="C1315">
        <v>0</v>
      </c>
      <c r="D1315">
        <v>142256.55100000001</v>
      </c>
      <c r="E1315">
        <v>0</v>
      </c>
      <c r="F1315">
        <v>621903.51599999995</v>
      </c>
      <c r="G1315">
        <v>2680.8885570000002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0</v>
      </c>
      <c r="M1315" s="1">
        <f t="shared" si="83"/>
        <v>0</v>
      </c>
      <c r="N1315" s="1">
        <f t="shared" si="84"/>
        <v>3034879.2825049576</v>
      </c>
      <c r="O1315" s="1"/>
    </row>
    <row r="1316" spans="1:15" x14ac:dyDescent="0.25">
      <c r="A1316">
        <v>2209</v>
      </c>
      <c r="B1316">
        <v>9371.040035</v>
      </c>
      <c r="C1316" s="1">
        <v>3.9999999999999998E-7</v>
      </c>
      <c r="D1316">
        <v>16169.690629999999</v>
      </c>
      <c r="E1316">
        <v>0</v>
      </c>
      <c r="F1316">
        <v>296024.47639999999</v>
      </c>
      <c r="G1316">
        <v>0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5.0631481938569999E-3</v>
      </c>
      <c r="M1316" s="1">
        <f t="shared" si="83"/>
        <v>0</v>
      </c>
      <c r="N1316" s="1">
        <f t="shared" si="84"/>
        <v>0</v>
      </c>
      <c r="O1316" s="1"/>
    </row>
    <row r="1317" spans="1:15" x14ac:dyDescent="0.25">
      <c r="A1317">
        <v>2210</v>
      </c>
      <c r="B1317">
        <v>22360.577789999999</v>
      </c>
      <c r="C1317">
        <v>0</v>
      </c>
      <c r="D1317">
        <v>64936.108090000002</v>
      </c>
      <c r="E1317">
        <v>0</v>
      </c>
      <c r="F1317">
        <v>478283.23050000001</v>
      </c>
      <c r="G1317">
        <v>128.7777835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0</v>
      </c>
      <c r="M1317" s="1">
        <f t="shared" si="83"/>
        <v>0</v>
      </c>
      <c r="N1317" s="1">
        <f t="shared" si="84"/>
        <v>518622.10171867633</v>
      </c>
      <c r="O1317" s="1"/>
    </row>
    <row r="1318" spans="1:15" x14ac:dyDescent="0.25">
      <c r="A1318">
        <v>2211</v>
      </c>
      <c r="B1318">
        <v>11773.02507</v>
      </c>
      <c r="C1318">
        <v>0</v>
      </c>
      <c r="D1318">
        <v>49555.261449999998</v>
      </c>
      <c r="E1318">
        <v>0</v>
      </c>
      <c r="F1318">
        <v>413861.30070000002</v>
      </c>
      <c r="G1318">
        <v>0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0</v>
      </c>
      <c r="M1318" s="1">
        <f t="shared" si="83"/>
        <v>0</v>
      </c>
      <c r="N1318" s="1">
        <f t="shared" si="84"/>
        <v>0</v>
      </c>
      <c r="O1318" s="1"/>
    </row>
    <row r="1319" spans="1:15" x14ac:dyDescent="0.25">
      <c r="A1319">
        <v>2212</v>
      </c>
      <c r="B1319">
        <v>13544.18123</v>
      </c>
      <c r="C1319">
        <v>0</v>
      </c>
      <c r="D1319">
        <v>64001.479030000002</v>
      </c>
      <c r="E1319">
        <v>0</v>
      </c>
      <c r="F1319">
        <v>530020.35640000005</v>
      </c>
      <c r="G1319">
        <v>2394.3074780000002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0</v>
      </c>
      <c r="M1319" s="1">
        <f t="shared" si="83"/>
        <v>0</v>
      </c>
      <c r="N1319" s="1">
        <f t="shared" si="84"/>
        <v>3370374.918988355</v>
      </c>
      <c r="O1319" s="1"/>
    </row>
    <row r="1320" spans="1:15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>
        <v>0</v>
      </c>
      <c r="F1320">
        <v>600328.40020000003</v>
      </c>
      <c r="G1320">
        <v>10517.2721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2.0793586044777001E-2</v>
      </c>
      <c r="M1320" s="1">
        <f t="shared" si="83"/>
        <v>0</v>
      </c>
      <c r="N1320" s="1">
        <f t="shared" si="84"/>
        <v>24512707.518135846</v>
      </c>
      <c r="O1320" s="1"/>
    </row>
    <row r="1321" spans="1:15" x14ac:dyDescent="0.25">
      <c r="A1321">
        <v>2214</v>
      </c>
      <c r="B1321">
        <v>18735.869739999998</v>
      </c>
      <c r="C1321">
        <v>0</v>
      </c>
      <c r="D1321">
        <v>131470.71660000001</v>
      </c>
      <c r="E1321">
        <v>0</v>
      </c>
      <c r="F1321">
        <v>598073.91559999995</v>
      </c>
      <c r="G1321">
        <v>21546.46211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0</v>
      </c>
      <c r="M1321" s="1">
        <f t="shared" si="83"/>
        <v>0</v>
      </c>
      <c r="N1321" s="1">
        <f t="shared" si="84"/>
        <v>40426257.920634799</v>
      </c>
      <c r="O1321" s="1"/>
    </row>
    <row r="1322" spans="1:15" x14ac:dyDescent="0.25">
      <c r="A1322">
        <v>2215</v>
      </c>
      <c r="B1322">
        <v>15475.10693</v>
      </c>
      <c r="C1322">
        <v>0</v>
      </c>
      <c r="D1322">
        <v>200036.05170000001</v>
      </c>
      <c r="E1322">
        <v>0</v>
      </c>
      <c r="F1322">
        <v>626018.21970000002</v>
      </c>
      <c r="G1322">
        <v>2126.8223600000001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0</v>
      </c>
      <c r="M1322" s="1">
        <f t="shared" si="83"/>
        <v>0</v>
      </c>
      <c r="N1322" s="1">
        <f t="shared" si="84"/>
        <v>2838605.9702819539</v>
      </c>
      <c r="O1322" s="1"/>
    </row>
    <row r="1323" spans="1:15" x14ac:dyDescent="0.25">
      <c r="A1323">
        <v>2216</v>
      </c>
      <c r="B1323">
        <v>9607.7403780000004</v>
      </c>
      <c r="C1323" s="1">
        <v>-3.9999999999999998E-7</v>
      </c>
      <c r="D1323">
        <v>19555.957129999999</v>
      </c>
      <c r="E1323">
        <v>0</v>
      </c>
      <c r="F1323">
        <v>367723.60849999997</v>
      </c>
      <c r="G1323">
        <v>0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-3.8833716519129998E-3</v>
      </c>
      <c r="M1323" s="1">
        <f t="shared" si="83"/>
        <v>0</v>
      </c>
      <c r="N1323" s="1">
        <f t="shared" si="84"/>
        <v>0</v>
      </c>
      <c r="O1323" s="1"/>
    </row>
    <row r="1324" spans="1:15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>
        <v>0</v>
      </c>
      <c r="F1324">
        <v>15475.10693</v>
      </c>
      <c r="G1324">
        <v>0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4.0394432755169997E-2</v>
      </c>
      <c r="M1324" s="1">
        <f t="shared" si="83"/>
        <v>0</v>
      </c>
      <c r="N1324" s="1">
        <f t="shared" si="84"/>
        <v>0</v>
      </c>
      <c r="O1324" s="1"/>
    </row>
    <row r="1325" spans="1:15" x14ac:dyDescent="0.25">
      <c r="A1325">
        <v>2218</v>
      </c>
      <c r="B1325">
        <v>27320.355879999999</v>
      </c>
      <c r="C1325">
        <v>0</v>
      </c>
      <c r="D1325">
        <v>73293.343729999993</v>
      </c>
      <c r="E1325" s="1">
        <v>-1.1000000000000001E-6</v>
      </c>
      <c r="F1325">
        <v>561047.14619999996</v>
      </c>
      <c r="G1325">
        <v>3604.1149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0</v>
      </c>
      <c r="M1325" s="1">
        <f t="shared" si="83"/>
        <v>-2.2373949574597499E-4</v>
      </c>
      <c r="N1325" s="1">
        <f t="shared" si="84"/>
        <v>342998.54351262981</v>
      </c>
      <c r="O1325" s="1"/>
    </row>
    <row r="1326" spans="1:15" x14ac:dyDescent="0.25">
      <c r="A1326">
        <v>2298</v>
      </c>
      <c r="B1326">
        <v>31368.65553</v>
      </c>
      <c r="C1326" s="1">
        <v>4.16E-6</v>
      </c>
      <c r="D1326">
        <v>132267.3303</v>
      </c>
      <c r="E1326">
        <v>0</v>
      </c>
      <c r="F1326">
        <v>830491.38260000001</v>
      </c>
      <c r="G1326" s="1">
        <v>-1.5800000000000001E-5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1.4445150124818401E-2</v>
      </c>
      <c r="M1326" s="1">
        <f t="shared" si="83"/>
        <v>0</v>
      </c>
      <c r="N1326" s="1">
        <f t="shared" si="84"/>
        <v>-8.6093949486528605E-3</v>
      </c>
      <c r="O1326" s="1"/>
    </row>
    <row r="1327" spans="1:15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-2.16E-5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-2.3817004029494326E-2</v>
      </c>
      <c r="M1327" s="1">
        <f t="shared" si="83"/>
        <v>6.2830144110863758E-3</v>
      </c>
      <c r="N1327" s="1">
        <f t="shared" si="84"/>
        <v>-1.9359388776160079E-2</v>
      </c>
      <c r="O1327" s="1"/>
    </row>
    <row r="1328" spans="1:15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-3.93E-5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-4.1595305256959994E-2</v>
      </c>
      <c r="M1328" s="1">
        <f t="shared" si="83"/>
        <v>1.2555382909870079E-2</v>
      </c>
      <c r="N1328" s="1">
        <f t="shared" si="84"/>
        <v>-5.3441968158028798E-2</v>
      </c>
      <c r="O1328" s="1"/>
    </row>
    <row r="1329" spans="1:15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-4.5499999999999996E-6</v>
      </c>
      <c r="F1329">
        <v>292446.21039999998</v>
      </c>
      <c r="G1329" s="1">
        <v>-3.57E-5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3.9559435978628481E-2</v>
      </c>
      <c r="M1329" s="1">
        <f t="shared" si="83"/>
        <v>-1.6909719692825505E-2</v>
      </c>
      <c r="N1329" s="1">
        <f t="shared" si="84"/>
        <v>-6.2077884151078538E-2</v>
      </c>
      <c r="O1329" s="1"/>
    </row>
    <row r="1330" spans="1:15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2.4600000000000002E-6</v>
      </c>
      <c r="F1330">
        <v>331177.43229999999</v>
      </c>
      <c r="G1330" s="1">
        <v>-3.1099999999999997E-5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2.9481804370954646E-2</v>
      </c>
      <c r="M1330" s="1">
        <f t="shared" si="83"/>
        <v>7.1330936377421873E-3</v>
      </c>
      <c r="N1330" s="1">
        <f t="shared" si="84"/>
        <v>-4.2193629517501621E-2</v>
      </c>
      <c r="O1330" s="1"/>
    </row>
    <row r="1331" spans="1:15" x14ac:dyDescent="0.25">
      <c r="A1331">
        <v>2303</v>
      </c>
      <c r="B1331">
        <v>13334.407660000001</v>
      </c>
      <c r="C1331">
        <v>0</v>
      </c>
      <c r="D1331">
        <v>35814.508609999997</v>
      </c>
      <c r="E1331" s="1">
        <v>-4.0899999999999998E-6</v>
      </c>
      <c r="F1331">
        <v>131960.06349999999</v>
      </c>
      <c r="G1331" s="1">
        <v>3.2799999999999998E-5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0</v>
      </c>
      <c r="M1331" s="1">
        <f t="shared" si="83"/>
        <v>-2.3966982408431887E-2</v>
      </c>
      <c r="N1331" s="1">
        <f t="shared" si="84"/>
        <v>8.9930616569446314E-2</v>
      </c>
      <c r="O1331" s="1"/>
    </row>
    <row r="1332" spans="1:15" x14ac:dyDescent="0.25">
      <c r="A1332">
        <v>2304</v>
      </c>
      <c r="B1332">
        <v>13905.18849</v>
      </c>
      <c r="C1332">
        <v>0</v>
      </c>
      <c r="D1332">
        <v>79390.145770000003</v>
      </c>
      <c r="E1332" s="1">
        <v>-7.8999999999999995E-7</v>
      </c>
      <c r="F1332">
        <v>303305.88540000003</v>
      </c>
      <c r="G1332">
        <v>0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0</v>
      </c>
      <c r="M1332" s="1">
        <f t="shared" si="83"/>
        <v>-1.5470972686809018E-3</v>
      </c>
      <c r="N1332" s="1">
        <f t="shared" si="84"/>
        <v>0</v>
      </c>
      <c r="O1332" s="1"/>
    </row>
    <row r="1333" spans="1:15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3.3300000000000003E-5</v>
      </c>
      <c r="F1333">
        <v>937625.16130000004</v>
      </c>
      <c r="G1333" s="1">
        <v>8.2199999999999992E-6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2.3376540477335499E-2</v>
      </c>
      <c r="M1333" s="1">
        <f t="shared" si="83"/>
        <v>0.10656179462553804</v>
      </c>
      <c r="N1333" s="1">
        <f t="shared" si="84"/>
        <v>1.2307583420921303E-2</v>
      </c>
      <c r="O1333" s="1"/>
    </row>
    <row r="1334" spans="1:15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1.1000000000000001E-7</v>
      </c>
      <c r="F1334">
        <v>233142.41529999999</v>
      </c>
      <c r="G1334" s="1">
        <v>2.9100000000000001E-6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-4.8304064129798749E-2</v>
      </c>
      <c r="M1334" s="1">
        <f t="shared" si="83"/>
        <v>3.6368334625826502E-4</v>
      </c>
      <c r="N1334" s="1">
        <f t="shared" si="84"/>
        <v>4.5016051224511357E-3</v>
      </c>
      <c r="O1334" s="1"/>
    </row>
    <row r="1335" spans="1:15" x14ac:dyDescent="0.25">
      <c r="A1335">
        <v>2307</v>
      </c>
      <c r="B1335">
        <v>39794.337570000003</v>
      </c>
      <c r="C1335" s="1">
        <v>-8.8000000000000004E-7</v>
      </c>
      <c r="D1335">
        <v>148949.2292</v>
      </c>
      <c r="E1335" s="1">
        <v>-4.9100000000000001E-5</v>
      </c>
      <c r="F1335">
        <v>1005080.04</v>
      </c>
      <c r="G1335">
        <v>0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-3.910341627764E-3</v>
      </c>
      <c r="M1335" s="1">
        <f t="shared" si="83"/>
        <v>-7.3173976774930594E-2</v>
      </c>
      <c r="N1335" s="1">
        <f t="shared" si="84"/>
        <v>0</v>
      </c>
      <c r="O1335" s="1"/>
    </row>
    <row r="1336" spans="1:15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4.8399999999999997E-5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2.1931550874870653E-2</v>
      </c>
      <c r="M1336" s="1">
        <f t="shared" si="83"/>
        <v>-8.4533412855471585E-3</v>
      </c>
      <c r="N1336" s="1">
        <f t="shared" si="84"/>
        <v>0.12430732532613253</v>
      </c>
      <c r="O1336" s="1"/>
    </row>
    <row r="1337" spans="1:15" x14ac:dyDescent="0.25">
      <c r="A1337">
        <v>2309</v>
      </c>
      <c r="B1337">
        <v>13945.46645</v>
      </c>
      <c r="C1337" s="1">
        <v>-7.0000000000000005E-8</v>
      </c>
      <c r="D1337">
        <v>77256.167910000004</v>
      </c>
      <c r="E1337">
        <v>0</v>
      </c>
      <c r="F1337">
        <v>231788.44889999999</v>
      </c>
      <c r="G1337" s="1">
        <v>-1.5699999999999999E-5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-7.5602103662312516E-4</v>
      </c>
      <c r="M1337" s="1">
        <f t="shared" si="83"/>
        <v>0</v>
      </c>
      <c r="N1337" s="1">
        <f t="shared" si="84"/>
        <v>-2.6608617319742251E-2</v>
      </c>
      <c r="O1337" s="1"/>
    </row>
    <row r="1338" spans="1:15" x14ac:dyDescent="0.25">
      <c r="A1338">
        <v>2310</v>
      </c>
      <c r="B1338">
        <v>9201.7239420000005</v>
      </c>
      <c r="C1338" s="1">
        <v>-9.9999999999999995E-8</v>
      </c>
      <c r="D1338">
        <v>53772.888030000002</v>
      </c>
      <c r="E1338" s="1">
        <v>4.5700000000000003E-6</v>
      </c>
      <c r="F1338">
        <v>142787.0196</v>
      </c>
      <c r="G1338" s="1">
        <v>3.5599999999999998E-5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-5.6767555373749999E-4</v>
      </c>
      <c r="M1338" s="1">
        <f t="shared" si="83"/>
        <v>8.7008068794849503E-3</v>
      </c>
      <c r="N1338" s="1">
        <f t="shared" si="84"/>
        <v>3.1712976472794002E-2</v>
      </c>
      <c r="O1338" s="1"/>
    </row>
    <row r="1339" spans="1:15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-3.0199999999999999E-6</v>
      </c>
      <c r="F1339">
        <v>870168.04480000003</v>
      </c>
      <c r="G1339" s="1">
        <v>1.8700000000000001E-5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-5.9691287612273526E-2</v>
      </c>
      <c r="M1339" s="1">
        <f t="shared" si="83"/>
        <v>-1.9072242714106478E-2</v>
      </c>
      <c r="N1339" s="1">
        <f t="shared" si="84"/>
        <v>5.5256084441470781E-2</v>
      </c>
      <c r="O1339" s="1"/>
    </row>
    <row r="1340" spans="1:15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-4.7200000000000002E-5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-4.8735188547663809E-2</v>
      </c>
      <c r="M1340" s="1">
        <f t="shared" si="83"/>
        <v>-6.8333223968156135E-3</v>
      </c>
      <c r="N1340" s="1">
        <f t="shared" si="84"/>
        <v>-7.5834095586254882E-2</v>
      </c>
      <c r="O1340" s="1"/>
    </row>
    <row r="1341" spans="1:15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-3.3500000000000001E-5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-6.8915762992855345E-2</v>
      </c>
      <c r="M1341" s="1">
        <f t="shared" si="83"/>
        <v>3.4786663768981006E-2</v>
      </c>
      <c r="N1341" s="1">
        <f t="shared" si="84"/>
        <v>-0.12198143597336791</v>
      </c>
      <c r="O1341" s="1"/>
    </row>
    <row r="1342" spans="1:15" x14ac:dyDescent="0.25">
      <c r="A1342">
        <v>2314</v>
      </c>
      <c r="B1342">
        <v>29634.996569999999</v>
      </c>
      <c r="C1342">
        <v>0</v>
      </c>
      <c r="D1342">
        <v>63996.1057</v>
      </c>
      <c r="E1342" s="1">
        <v>-1.9599999999999999E-6</v>
      </c>
      <c r="F1342">
        <v>248579.90830000001</v>
      </c>
      <c r="G1342" s="1">
        <v>-1.2300000000000001E-5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0</v>
      </c>
      <c r="M1342" s="1">
        <f t="shared" si="83"/>
        <v>-1.455490188667855E-2</v>
      </c>
      <c r="N1342" s="1">
        <f t="shared" si="84"/>
        <v>-4.2736800007084137E-2</v>
      </c>
      <c r="O1342" s="1"/>
    </row>
    <row r="1343" spans="1:15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>
        <v>0</v>
      </c>
      <c r="F1343">
        <v>207960.13089999999</v>
      </c>
      <c r="G1343" s="1">
        <v>-1.59E-5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-9.0309339708783645E-2</v>
      </c>
      <c r="M1343" s="1">
        <f t="shared" si="83"/>
        <v>0</v>
      </c>
      <c r="N1343" s="1">
        <f t="shared" si="84"/>
        <v>-6.5123916024768927E-2</v>
      </c>
      <c r="O1343" s="1"/>
    </row>
    <row r="1344" spans="1:15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8.2600000000000005E-6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3.2970716457691999E-2</v>
      </c>
      <c r="M1344" s="1">
        <f t="shared" si="83"/>
        <v>-1.1779036561908559E-2</v>
      </c>
      <c r="N1344" s="1">
        <f t="shared" si="84"/>
        <v>1.8580928448116835E-2</v>
      </c>
      <c r="O1344" s="1"/>
    </row>
    <row r="1345" spans="1:15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-2.65E-6</v>
      </c>
      <c r="F1345">
        <v>110989.26880000001</v>
      </c>
      <c r="G1345" s="1">
        <v>-3.3200000000000001E-5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1.550080375155E-2</v>
      </c>
      <c r="M1345" s="1">
        <f t="shared" si="83"/>
        <v>-3.4441593566424747E-2</v>
      </c>
      <c r="N1345" s="1">
        <f t="shared" si="84"/>
        <v>-0.20189200701634202</v>
      </c>
      <c r="O1345" s="1"/>
    </row>
    <row r="1346" spans="1:15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-2.65E-6</v>
      </c>
      <c r="F1346">
        <v>137645.0215</v>
      </c>
      <c r="G1346" s="1">
        <v>4.4499999999999997E-5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5.0141288437305E-3</v>
      </c>
      <c r="M1346" s="1">
        <f t="shared" si="83"/>
        <v>-2.2282017177100846E-2</v>
      </c>
      <c r="N1346" s="1">
        <f t="shared" si="84"/>
        <v>0.17507023708994415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 s="1">
        <v>-3.7299999999999999E-6</v>
      </c>
      <c r="F1347">
        <v>82697.06018</v>
      </c>
      <c r="G1347" s="1">
        <v>-1.7099999999999999E-6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-7.7245664755966059E-2</v>
      </c>
      <c r="N1347" s="1">
        <f t="shared" ref="N1347:N1410" si="88">$U$4*$K1347*G1347</f>
        <v>-1.6569334735390708E-2</v>
      </c>
      <c r="O1347" s="1"/>
    </row>
    <row r="1348" spans="1:15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-1.4500000000000001E-6</v>
      </c>
      <c r="F1348">
        <v>153538.88639999999</v>
      </c>
      <c r="G1348" s="1">
        <v>-3.54E-5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2.9483719024106748E-3</v>
      </c>
      <c r="M1348" s="1">
        <f t="shared" si="87"/>
        <v>-8.4342113878010348E-3</v>
      </c>
      <c r="N1348" s="1">
        <f t="shared" si="88"/>
        <v>-9.6343721857234985E-2</v>
      </c>
      <c r="O1348" s="1"/>
    </row>
    <row r="1349" spans="1:15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4.5700000000000003E-6</v>
      </c>
      <c r="F1349">
        <v>176308.1</v>
      </c>
      <c r="G1349" s="1">
        <v>3.2700000000000002E-5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6.0433214979832492E-3</v>
      </c>
      <c r="M1349" s="1">
        <f t="shared" si="87"/>
        <v>3.0875484490157912E-2</v>
      </c>
      <c r="N1349" s="1">
        <f t="shared" si="88"/>
        <v>0.10336868986858119</v>
      </c>
      <c r="O1349" s="1"/>
    </row>
    <row r="1350" spans="1:15" x14ac:dyDescent="0.25">
      <c r="A1350">
        <v>2323</v>
      </c>
      <c r="B1350">
        <v>3404.3161300000002</v>
      </c>
      <c r="C1350" s="1">
        <v>9.9999999999999995E-8</v>
      </c>
      <c r="D1350">
        <v>30066.414430000001</v>
      </c>
      <c r="E1350" s="1">
        <v>-1.0300000000000001E-6</v>
      </c>
      <c r="F1350">
        <v>97043.78688</v>
      </c>
      <c r="G1350" s="1">
        <v>7.6499999999999998E-7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3.5087846457624995E-3</v>
      </c>
      <c r="M1350" s="1">
        <f t="shared" si="87"/>
        <v>-1.2120961605530951E-2</v>
      </c>
      <c r="N1350" s="1">
        <f t="shared" si="88"/>
        <v>4.2121610139822744E-3</v>
      </c>
      <c r="O1350" s="1"/>
    </row>
    <row r="1351" spans="1:15" x14ac:dyDescent="0.25">
      <c r="A1351">
        <v>2324</v>
      </c>
      <c r="B1351">
        <v>5409.1454970000004</v>
      </c>
      <c r="C1351" s="1">
        <v>7.0000000000000005E-8</v>
      </c>
      <c r="D1351">
        <v>19805.73748</v>
      </c>
      <c r="E1351" s="1">
        <v>-4.4299999999999999E-6</v>
      </c>
      <c r="F1351">
        <v>75872.023319999993</v>
      </c>
      <c r="G1351" s="1">
        <v>2.9900000000000002E-6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3.7066761169165002E-3</v>
      </c>
      <c r="M1351" s="1">
        <f t="shared" si="87"/>
        <v>-7.8674404245075616E-2</v>
      </c>
      <c r="N1351" s="1">
        <f t="shared" si="88"/>
        <v>2.4845320486531743E-2</v>
      </c>
      <c r="O1351" s="1"/>
    </row>
    <row r="1352" spans="1:15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-2.0800000000000001E-5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0.132322689184075</v>
      </c>
      <c r="M1352" s="1">
        <f t="shared" si="87"/>
        <v>-2.8136538121340003E-2</v>
      </c>
      <c r="N1352" s="1">
        <f t="shared" si="88"/>
        <v>-0.12446722118064001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 s="1">
        <v>-3.5999999999999998E-6</v>
      </c>
      <c r="F1353">
        <v>106721.20450000001</v>
      </c>
      <c r="G1353" s="1">
        <v>-2.55E-5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-7.1127304443183603E-2</v>
      </c>
      <c r="N1353" s="1">
        <f t="shared" si="88"/>
        <v>-0.23573154798256951</v>
      </c>
      <c r="O1353" s="1"/>
    </row>
    <row r="1354" spans="1:15" x14ac:dyDescent="0.25">
      <c r="A1354">
        <v>2329</v>
      </c>
      <c r="B1354">
        <v>5173.5063929999997</v>
      </c>
      <c r="C1354" s="1">
        <v>-9.9999999999999995E-8</v>
      </c>
      <c r="D1354">
        <v>47450.377860000001</v>
      </c>
      <c r="E1354" s="1">
        <v>-4.87E-6</v>
      </c>
      <c r="F1354">
        <v>284064.07699999999</v>
      </c>
      <c r="G1354" s="1">
        <v>-2.51E-5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-3.5976279252875006E-3</v>
      </c>
      <c r="M1354" s="1">
        <f t="shared" si="87"/>
        <v>-5.8760887125549652E-2</v>
      </c>
      <c r="N1354" s="1">
        <f t="shared" si="88"/>
        <v>-0.1417022617587855</v>
      </c>
      <c r="O1354" s="1"/>
    </row>
    <row r="1355" spans="1:15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3.6857069072655006E-2</v>
      </c>
      <c r="M1355" s="1">
        <f t="shared" si="87"/>
        <v>-2.3074415345588319E-2</v>
      </c>
      <c r="N1355" s="1">
        <f t="shared" si="88"/>
        <v>-3.7555652289539783E-2</v>
      </c>
      <c r="O1355" s="1"/>
    </row>
    <row r="1356" spans="1:15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-1.19E-5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5.3707631018388761E-2</v>
      </c>
      <c r="M1356" s="1">
        <f t="shared" si="87"/>
        <v>-8.5660458197260574E-3</v>
      </c>
      <c r="N1356" s="1">
        <f t="shared" si="88"/>
        <v>-2.2287289753887274E-2</v>
      </c>
      <c r="O1356" s="1"/>
    </row>
    <row r="1357" spans="1:15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3.8899999999999997E-5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-4.5987411635262508E-2</v>
      </c>
      <c r="M1357" s="1">
        <f t="shared" si="87"/>
        <v>1.6102103059834869E-2</v>
      </c>
      <c r="N1357" s="1">
        <f t="shared" si="88"/>
        <v>0.11228852423778127</v>
      </c>
      <c r="O1357" s="1"/>
    </row>
    <row r="1358" spans="1:15" x14ac:dyDescent="0.25">
      <c r="A1358">
        <v>2335</v>
      </c>
      <c r="B1358">
        <v>3452.0228729999999</v>
      </c>
      <c r="C1358">
        <v>0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0</v>
      </c>
      <c r="M1358" s="1">
        <f t="shared" si="87"/>
        <v>1.855204949964186E-2</v>
      </c>
      <c r="N1358" s="1">
        <f t="shared" si="88"/>
        <v>1.318122171381282E-2</v>
      </c>
      <c r="O1358" s="1"/>
    </row>
    <row r="1359" spans="1:15" x14ac:dyDescent="0.25">
      <c r="A1359">
        <v>2336</v>
      </c>
      <c r="B1359">
        <v>3767.181701</v>
      </c>
      <c r="C1359">
        <v>0</v>
      </c>
      <c r="D1359">
        <v>29253.384330000001</v>
      </c>
      <c r="E1359" s="1">
        <v>-3.4000000000000001E-6</v>
      </c>
      <c r="F1359">
        <v>76087.561809999999</v>
      </c>
      <c r="G1359" s="1">
        <v>7.9999999999999996E-7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0</v>
      </c>
      <c r="M1359" s="1">
        <f t="shared" si="87"/>
        <v>-2.28669058505537E-2</v>
      </c>
      <c r="N1359" s="1">
        <f t="shared" si="88"/>
        <v>2.5174575248316003E-3</v>
      </c>
      <c r="O1359" s="1"/>
    </row>
    <row r="1360" spans="1:15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-2.8899999999999999E-6</v>
      </c>
      <c r="F1360">
        <v>89248.7978</v>
      </c>
      <c r="G1360">
        <v>0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-5.7830973823349993E-2</v>
      </c>
      <c r="M1360" s="1">
        <f t="shared" si="87"/>
        <v>-0.11210667731749833</v>
      </c>
      <c r="N1360" s="1">
        <f t="shared" si="88"/>
        <v>0</v>
      </c>
      <c r="O1360" s="1"/>
    </row>
    <row r="1361" spans="1:15" x14ac:dyDescent="0.25">
      <c r="A1361">
        <v>2338</v>
      </c>
      <c r="B1361">
        <v>6265.1807429999999</v>
      </c>
      <c r="C1361" s="1">
        <v>-9.9999999999999995E-8</v>
      </c>
      <c r="D1361">
        <v>35592.659209999998</v>
      </c>
      <c r="E1361" s="1">
        <v>4.6500000000000004E-6</v>
      </c>
      <c r="F1361">
        <v>98674.643490000002</v>
      </c>
      <c r="G1361" s="1">
        <v>-4.9699999999999998E-6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-2.2166971238327497E-3</v>
      </c>
      <c r="M1361" s="1">
        <f t="shared" si="87"/>
        <v>3.4570244221988601E-2</v>
      </c>
      <c r="N1361" s="1">
        <f t="shared" si="88"/>
        <v>-1.7288191383934989E-2</v>
      </c>
      <c r="O1361" s="1"/>
    </row>
    <row r="1362" spans="1:15" x14ac:dyDescent="0.25">
      <c r="A1362">
        <v>2339</v>
      </c>
      <c r="B1362">
        <v>6537.4166070000001</v>
      </c>
      <c r="C1362" s="1">
        <v>-7.0000000000000005E-8</v>
      </c>
      <c r="D1362">
        <v>40826.35312</v>
      </c>
      <c r="E1362" s="1">
        <v>2.9100000000000001E-6</v>
      </c>
      <c r="F1362">
        <v>96496.97997</v>
      </c>
      <c r="G1362" s="1">
        <v>3.9499999999999998E-7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-1.6359818557537002E-3</v>
      </c>
      <c r="M1362" s="1">
        <f t="shared" si="87"/>
        <v>2.2809542190176536E-2</v>
      </c>
      <c r="N1362" s="1">
        <f t="shared" si="88"/>
        <v>1.4486529443586062E-3</v>
      </c>
      <c r="O1362" s="1"/>
    </row>
    <row r="1363" spans="1:15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>
        <v>0</v>
      </c>
      <c r="F1363">
        <v>208834.3547</v>
      </c>
      <c r="G1363" s="1">
        <v>-1.7900000000000001E-5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-1.4851970684979674E-2</v>
      </c>
      <c r="M1363" s="1">
        <f t="shared" si="87"/>
        <v>0</v>
      </c>
      <c r="N1363" s="1">
        <f t="shared" si="88"/>
        <v>-2.6572002034920033E-2</v>
      </c>
      <c r="O1363" s="1"/>
    </row>
    <row r="1364" spans="1:15" x14ac:dyDescent="0.25">
      <c r="A1364">
        <v>2341</v>
      </c>
      <c r="B1364">
        <v>14961.305120000001</v>
      </c>
      <c r="C1364">
        <v>0</v>
      </c>
      <c r="D1364">
        <v>43087.212350000002</v>
      </c>
      <c r="E1364" s="1">
        <v>-4.5999999999999999E-7</v>
      </c>
      <c r="F1364">
        <v>155958.39420000001</v>
      </c>
      <c r="G1364" s="1">
        <v>-1.03E-5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0</v>
      </c>
      <c r="M1364" s="1">
        <f t="shared" si="87"/>
        <v>-4.5921557767842382E-3</v>
      </c>
      <c r="N1364" s="1">
        <f t="shared" si="88"/>
        <v>-4.8110479248998014E-2</v>
      </c>
      <c r="O1364" s="1"/>
    </row>
    <row r="1365" spans="1:15" x14ac:dyDescent="0.25">
      <c r="A1365">
        <v>2342</v>
      </c>
      <c r="B1365">
        <v>22344.64819</v>
      </c>
      <c r="C1365" s="1">
        <v>4.3200000000000001E-6</v>
      </c>
      <c r="D1365">
        <v>75113.985790000006</v>
      </c>
      <c r="E1365" s="1">
        <v>-3.7400000000000002E-6</v>
      </c>
      <c r="F1365">
        <v>204857.07629999999</v>
      </c>
      <c r="G1365" s="1">
        <v>-7.7400000000000004E-6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0.141795490883904</v>
      </c>
      <c r="M1365" s="1">
        <f t="shared" si="87"/>
        <v>-4.1171189326020159E-2</v>
      </c>
      <c r="N1365" s="1">
        <f t="shared" si="88"/>
        <v>-3.9866347629282248E-2</v>
      </c>
      <c r="O1365" s="1"/>
    </row>
    <row r="1366" spans="1:15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2.48E-6</v>
      </c>
      <c r="F1366">
        <v>122993.5589</v>
      </c>
      <c r="G1366" s="1">
        <v>4.35E-5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9.7189514629740015E-2</v>
      </c>
      <c r="M1366" s="1">
        <f t="shared" si="87"/>
        <v>2.6945917533037246E-2</v>
      </c>
      <c r="N1366" s="1">
        <f t="shared" si="88"/>
        <v>0.2211435263652084</v>
      </c>
      <c r="O1366" s="1"/>
    </row>
    <row r="1367" spans="1:15" x14ac:dyDescent="0.25">
      <c r="A1367">
        <v>2346</v>
      </c>
      <c r="B1367">
        <v>13885.611290000001</v>
      </c>
      <c r="C1367" s="1">
        <v>-5.9999999999999997E-7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-2.1783587819760003E-2</v>
      </c>
      <c r="M1367" s="1">
        <f t="shared" si="87"/>
        <v>-6.0760570518182878E-2</v>
      </c>
      <c r="N1367" s="1">
        <f t="shared" si="88"/>
        <v>1.7832380121375842E-2</v>
      </c>
      <c r="O1367" s="1"/>
    </row>
    <row r="1368" spans="1:15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4.2E-7</v>
      </c>
      <c r="F1368">
        <v>225173.36540000001</v>
      </c>
      <c r="G1368" s="1">
        <v>-1.2999999999999999E-5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-7.5639858783840011E-2</v>
      </c>
      <c r="M1368" s="1">
        <f t="shared" si="87"/>
        <v>3.43701512171136E-3</v>
      </c>
      <c r="N1368" s="1">
        <f t="shared" si="88"/>
        <v>-4.9775907070656003E-2</v>
      </c>
      <c r="O1368" s="1"/>
    </row>
    <row r="1369" spans="1:15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2.4700000000000001E-5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-4.171504410001501E-2</v>
      </c>
      <c r="M1369" s="1">
        <f t="shared" si="87"/>
        <v>-5.1765160878572462E-2</v>
      </c>
      <c r="N1369" s="1">
        <f t="shared" si="88"/>
        <v>0.14698864630150743</v>
      </c>
      <c r="O1369" s="1"/>
    </row>
    <row r="1370" spans="1:15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4.6500000000000004E-6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6.7489751014399996E-3</v>
      </c>
      <c r="M1370" s="1">
        <f t="shared" si="87"/>
        <v>4.6967675186713596E-2</v>
      </c>
      <c r="N1370" s="1">
        <f t="shared" si="88"/>
        <v>2.4623376081638403E-2</v>
      </c>
      <c r="O1370" s="1"/>
    </row>
    <row r="1371" spans="1:15" x14ac:dyDescent="0.25">
      <c r="A1371">
        <v>2350</v>
      </c>
      <c r="B1371">
        <v>14784.036749999999</v>
      </c>
      <c r="C1371" s="1">
        <v>1.9999999999999999E-7</v>
      </c>
      <c r="D1371">
        <v>50426.3272</v>
      </c>
      <c r="E1371" s="1">
        <v>1.5200000000000001E-6</v>
      </c>
      <c r="F1371">
        <v>167488.21890000001</v>
      </c>
      <c r="G1371" s="1">
        <v>-6.2199999999999997E-6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6.3948571492715E-3</v>
      </c>
      <c r="M1371" s="1">
        <f t="shared" si="87"/>
        <v>1.629999896140465E-2</v>
      </c>
      <c r="N1371" s="1">
        <f t="shared" si="88"/>
        <v>-3.1208870536798543E-2</v>
      </c>
      <c r="O1371" s="1"/>
    </row>
    <row r="1372" spans="1:15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-6.7999999999999995E-7</v>
      </c>
      <c r="F1372">
        <v>124898.09729999999</v>
      </c>
      <c r="G1372" s="1">
        <v>8.1300000000000001E-6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4.3466877928012501E-3</v>
      </c>
      <c r="M1372" s="1">
        <f t="shared" si="87"/>
        <v>-3.9652492209529674E-3</v>
      </c>
      <c r="N1372" s="1">
        <f t="shared" si="88"/>
        <v>2.2181749655743783E-2</v>
      </c>
      <c r="O1372" s="1"/>
    </row>
    <row r="1373" spans="1:15" x14ac:dyDescent="0.25">
      <c r="A1373">
        <v>2352</v>
      </c>
      <c r="B1373">
        <v>4123.7917260000004</v>
      </c>
      <c r="C1373" s="1">
        <v>-4.9999999999999998E-8</v>
      </c>
      <c r="D1373">
        <v>32034.823609999999</v>
      </c>
      <c r="E1373" s="1">
        <v>-3.0900000000000001E-6</v>
      </c>
      <c r="F1373">
        <v>137208.75380000001</v>
      </c>
      <c r="G1373" s="1">
        <v>-1.8099999999999999E-5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-1.1955542878500001E-3</v>
      </c>
      <c r="M1373" s="1">
        <f t="shared" si="87"/>
        <v>-2.47799778271236E-2</v>
      </c>
      <c r="N1373" s="1">
        <f t="shared" si="88"/>
        <v>-6.7914840807036012E-2</v>
      </c>
      <c r="O1373" s="1"/>
    </row>
    <row r="1374" spans="1:15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-3.57E-5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5.8456748746668993E-2</v>
      </c>
      <c r="M1374" s="1">
        <f t="shared" si="87"/>
        <v>2.1075906259664431E-2</v>
      </c>
      <c r="N1374" s="1">
        <f t="shared" si="88"/>
        <v>-0.11695846422314314</v>
      </c>
      <c r="O1374" s="1"/>
    </row>
    <row r="1375" spans="1:15" x14ac:dyDescent="0.25">
      <c r="A1375">
        <v>2356</v>
      </c>
      <c r="B1375">
        <v>22582.803189999999</v>
      </c>
      <c r="C1375">
        <v>0</v>
      </c>
      <c r="D1375">
        <v>58794.675060000001</v>
      </c>
      <c r="E1375" s="1">
        <v>-2.88E-6</v>
      </c>
      <c r="F1375">
        <v>267964.56920000003</v>
      </c>
      <c r="G1375" s="1">
        <v>-6.8700000000000003E-6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0</v>
      </c>
      <c r="M1375" s="1">
        <f t="shared" si="87"/>
        <v>-1.603787484079152E-2</v>
      </c>
      <c r="N1375" s="1">
        <f t="shared" si="88"/>
        <v>-1.79000707440371E-2</v>
      </c>
      <c r="O1375" s="1"/>
    </row>
    <row r="1376" spans="1:15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2.3200000000000001E-5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-3.666304756824125E-2</v>
      </c>
      <c r="M1376" s="1">
        <f t="shared" si="87"/>
        <v>4.2280086785027655E-2</v>
      </c>
      <c r="N1376" s="1">
        <f t="shared" si="88"/>
        <v>0.10267388847986521</v>
      </c>
      <c r="O1376" s="1"/>
    </row>
    <row r="1377" spans="1:15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-2.94E-5</v>
      </c>
      <c r="F1377">
        <v>744364.68539999996</v>
      </c>
      <c r="G1377">
        <v>16403.90207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7.0219391108564094E-2</v>
      </c>
      <c r="M1377" s="1">
        <f t="shared" si="87"/>
        <v>-0.21773106990469712</v>
      </c>
      <c r="N1377" s="1">
        <f t="shared" si="88"/>
        <v>56841289.572477624</v>
      </c>
      <c r="O1377" s="1"/>
    </row>
    <row r="1378" spans="1:15" x14ac:dyDescent="0.25">
      <c r="A1378">
        <v>2359</v>
      </c>
      <c r="B1378">
        <v>8852.6879860000008</v>
      </c>
      <c r="C1378" s="1">
        <v>2.9999999999999999E-7</v>
      </c>
      <c r="D1378">
        <v>49933.622320000002</v>
      </c>
      <c r="E1378" s="1">
        <v>-1.77E-6</v>
      </c>
      <c r="F1378">
        <v>374495.75270000001</v>
      </c>
      <c r="G1378" s="1">
        <v>3.3399999999999999E-5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2.7336478719614996E-3</v>
      </c>
      <c r="M1378" s="1">
        <f t="shared" si="87"/>
        <v>-5.4092582967952014E-3</v>
      </c>
      <c r="N1378" s="1">
        <f t="shared" si="88"/>
        <v>4.7758931129222755E-2</v>
      </c>
      <c r="O1378" s="1"/>
    </row>
    <row r="1379" spans="1:15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4.49E-5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0.12897427532688563</v>
      </c>
      <c r="M1379" s="1">
        <f t="shared" si="87"/>
        <v>-4.3469597540943039E-2</v>
      </c>
      <c r="N1379" s="1">
        <f t="shared" si="88"/>
        <v>0.22437849426099557</v>
      </c>
      <c r="O1379" s="1"/>
    </row>
    <row r="1380" spans="1:15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-4.8900000000000003E-5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8.2328308446312504E-3</v>
      </c>
      <c r="M1380" s="1">
        <f t="shared" si="87"/>
        <v>-5.2683024505220014E-2</v>
      </c>
      <c r="N1380" s="1">
        <f t="shared" si="88"/>
        <v>-0.25269977653447234</v>
      </c>
      <c r="O1380" s="1"/>
    </row>
    <row r="1381" spans="1:15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-5.7000000000000005E-7</v>
      </c>
      <c r="F1381">
        <v>196842.7248</v>
      </c>
      <c r="G1381" s="1">
        <v>5.4199999999999998E-6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-5.5636359786637498E-3</v>
      </c>
      <c r="M1381" s="1">
        <f t="shared" si="87"/>
        <v>-4.2543840412846623E-3</v>
      </c>
      <c r="N1381" s="1">
        <f t="shared" si="88"/>
        <v>1.8928003165812109E-2</v>
      </c>
      <c r="O1381" s="1"/>
    </row>
    <row r="1382" spans="1:15" x14ac:dyDescent="0.25">
      <c r="A1382">
        <v>2363</v>
      </c>
      <c r="B1382">
        <v>2216.0178190000001</v>
      </c>
      <c r="C1382" s="1">
        <v>9.9999999999999995E-8</v>
      </c>
      <c r="D1382">
        <v>32911.021719999997</v>
      </c>
      <c r="E1382" s="1">
        <v>-3.05E-6</v>
      </c>
      <c r="F1382">
        <v>110614.3514</v>
      </c>
      <c r="G1382" s="1">
        <v>8.4700000000000002E-6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4.8126052764724996E-3</v>
      </c>
      <c r="M1382" s="1">
        <f t="shared" si="87"/>
        <v>-4.9229249974254846E-2</v>
      </c>
      <c r="N1382" s="1">
        <f t="shared" si="88"/>
        <v>6.3966187731625421E-2</v>
      </c>
      <c r="O1382" s="1"/>
    </row>
    <row r="1383" spans="1:15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3.6899999999999998E-6</v>
      </c>
      <c r="F1383">
        <v>81407.58683</v>
      </c>
      <c r="G1383" s="1">
        <v>-3.7299999999999999E-6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2.8137190306680004E-2</v>
      </c>
      <c r="M1383" s="1">
        <f t="shared" si="87"/>
        <v>8.7054302409613565E-2</v>
      </c>
      <c r="N1383" s="1">
        <f t="shared" si="88"/>
        <v>-4.1173367015690285E-2</v>
      </c>
      <c r="O1383" s="1"/>
    </row>
    <row r="1384" spans="1:15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-4.34E-6</v>
      </c>
      <c r="F1384">
        <v>264437.65159999998</v>
      </c>
      <c r="G1384" s="1">
        <v>-2.76E-5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-0.14000678716830001</v>
      </c>
      <c r="M1384" s="1">
        <f t="shared" si="87"/>
        <v>-6.7929857167011276E-2</v>
      </c>
      <c r="N1384" s="1">
        <f t="shared" si="88"/>
        <v>-0.20212672165958881</v>
      </c>
      <c r="O1384" s="1"/>
    </row>
    <row r="1385" spans="1:15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4.7299999999999996E-6</v>
      </c>
      <c r="F1385">
        <v>507183.68890000001</v>
      </c>
      <c r="G1385" s="1">
        <v>-1.77E-5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-4.7992682777195005E-2</v>
      </c>
      <c r="M1385" s="1">
        <f t="shared" si="87"/>
        <v>3.8067057629905268E-2</v>
      </c>
      <c r="N1385" s="1">
        <f t="shared" si="88"/>
        <v>-6.6650761143036821E-2</v>
      </c>
      <c r="O1385" s="1"/>
    </row>
    <row r="1386" spans="1:15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>
        <v>0</v>
      </c>
      <c r="F1386">
        <v>64510.833250000003</v>
      </c>
      <c r="G1386" s="1">
        <v>3.7100000000000001E-6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-1.289982182463E-2</v>
      </c>
      <c r="M1386" s="1">
        <f t="shared" si="87"/>
        <v>0</v>
      </c>
      <c r="N1386" s="1">
        <f t="shared" si="88"/>
        <v>3.7550389037511421E-2</v>
      </c>
      <c r="O1386" s="1"/>
    </row>
    <row r="1387" spans="1:15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2.6900000000000001E-6</v>
      </c>
      <c r="F1387">
        <v>750003.62589999998</v>
      </c>
      <c r="G1387">
        <v>7538.6944110000004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-6.2364938839856244E-3</v>
      </c>
      <c r="M1387" s="1">
        <f t="shared" si="87"/>
        <v>2.2505875344288308E-2</v>
      </c>
      <c r="N1387" s="1">
        <f t="shared" si="88"/>
        <v>29510967.396422695</v>
      </c>
      <c r="O1387" s="1"/>
    </row>
    <row r="1388" spans="1:15" x14ac:dyDescent="0.25">
      <c r="A1388">
        <v>2371</v>
      </c>
      <c r="B1388">
        <v>4208.6502449999998</v>
      </c>
      <c r="C1388" s="1">
        <v>-9.9999999999999995E-8</v>
      </c>
      <c r="D1388">
        <v>30845.287929999999</v>
      </c>
      <c r="E1388" s="1">
        <v>1.53E-6</v>
      </c>
      <c r="F1388">
        <v>236497.83790000001</v>
      </c>
      <c r="G1388" s="1">
        <v>2.73E-5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-9.5226865954999994E-4</v>
      </c>
      <c r="M1388" s="1">
        <f t="shared" si="87"/>
        <v>4.8864567493277994E-3</v>
      </c>
      <c r="N1388" s="1">
        <f t="shared" si="88"/>
        <v>4.0795189375122005E-2</v>
      </c>
      <c r="O1388" s="1"/>
    </row>
    <row r="1389" spans="1:15" x14ac:dyDescent="0.25">
      <c r="A1389">
        <v>2372</v>
      </c>
      <c r="B1389">
        <v>4378.4598100000003</v>
      </c>
      <c r="C1389">
        <v>0</v>
      </c>
      <c r="D1389">
        <v>25227.25361</v>
      </c>
      <c r="E1389" s="1">
        <v>-3.1999999999999999E-6</v>
      </c>
      <c r="F1389">
        <v>442531.53220000002</v>
      </c>
      <c r="G1389" s="1">
        <v>1.8600000000000001E-5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0</v>
      </c>
      <c r="M1389" s="1">
        <f t="shared" si="87"/>
        <v>-3.1680922172614721E-2</v>
      </c>
      <c r="N1389" s="1">
        <f t="shared" si="88"/>
        <v>8.6159755656371365E-2</v>
      </c>
      <c r="O1389" s="1"/>
    </row>
    <row r="1390" spans="1:15" x14ac:dyDescent="0.25">
      <c r="A1390">
        <v>2373</v>
      </c>
      <c r="B1390">
        <v>4914.3570799999998</v>
      </c>
      <c r="C1390" s="1">
        <v>-3.9999999999999998E-7</v>
      </c>
      <c r="D1390">
        <v>60531.263980000003</v>
      </c>
      <c r="E1390">
        <v>0</v>
      </c>
      <c r="F1390">
        <v>634428.8713</v>
      </c>
      <c r="G1390" s="1">
        <v>3.7200000000000003E-5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-1.2096012616011998E-2</v>
      </c>
      <c r="M1390" s="1">
        <f t="shared" si="87"/>
        <v>0</v>
      </c>
      <c r="N1390" s="1">
        <f t="shared" si="88"/>
        <v>0.17652734719306132</v>
      </c>
      <c r="O1390" s="1"/>
    </row>
    <row r="1391" spans="1:15" x14ac:dyDescent="0.25">
      <c r="A1391">
        <v>2374</v>
      </c>
      <c r="B1391">
        <v>4175.5759980000003</v>
      </c>
      <c r="C1391" s="1">
        <v>4.9999999999999998E-8</v>
      </c>
      <c r="D1391">
        <v>12918.43413</v>
      </c>
      <c r="E1391" s="1">
        <v>1.3E-6</v>
      </c>
      <c r="F1391">
        <v>93548.28125</v>
      </c>
      <c r="G1391" s="1">
        <v>2.6000000000000001E-6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9.1420348561424992E-4</v>
      </c>
      <c r="M1391" s="1">
        <f t="shared" si="87"/>
        <v>7.9718543945562596E-3</v>
      </c>
      <c r="N1391" s="1">
        <f t="shared" si="88"/>
        <v>7.4599004426122804E-3</v>
      </c>
      <c r="O1391" s="1"/>
    </row>
    <row r="1392" spans="1:15" x14ac:dyDescent="0.25">
      <c r="A1392">
        <v>2375</v>
      </c>
      <c r="B1392">
        <v>1759.969004</v>
      </c>
      <c r="C1392">
        <v>0</v>
      </c>
      <c r="D1392">
        <v>7651.6452069999996</v>
      </c>
      <c r="E1392">
        <v>0</v>
      </c>
      <c r="F1392">
        <v>85065.569310000006</v>
      </c>
      <c r="G1392" s="1">
        <v>4.8899999999999998E-6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0</v>
      </c>
      <c r="M1392" s="1">
        <f t="shared" si="87"/>
        <v>0</v>
      </c>
      <c r="N1392" s="1">
        <f t="shared" si="88"/>
        <v>2.9367164333023922E-2</v>
      </c>
      <c r="O1392" s="1"/>
    </row>
    <row r="1393" spans="1:15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9.1999999999999998E-7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8.5527780744509996E-3</v>
      </c>
      <c r="M1393" s="1">
        <f t="shared" si="87"/>
        <v>2.8238495376479687E-2</v>
      </c>
      <c r="N1393" s="1">
        <f t="shared" si="88"/>
        <v>2.7439066478854076E-3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 s="1">
        <v>-2.4999999999999999E-7</v>
      </c>
      <c r="F1394">
        <v>33594.872620000002</v>
      </c>
      <c r="G1394">
        <v>0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-7.6777574897719993E-3</v>
      </c>
      <c r="N1394" s="1">
        <f t="shared" si="88"/>
        <v>0</v>
      </c>
      <c r="O1394" s="1"/>
    </row>
    <row r="1395" spans="1:15" x14ac:dyDescent="0.25">
      <c r="A1395">
        <v>2380</v>
      </c>
      <c r="B1395">
        <v>22392.29967</v>
      </c>
      <c r="C1395" s="1">
        <v>4.7999999999999996E-7</v>
      </c>
      <c r="D1395">
        <v>48850.705909999997</v>
      </c>
      <c r="E1395" s="1">
        <v>3.23E-6</v>
      </c>
      <c r="F1395">
        <v>199381.32180000001</v>
      </c>
      <c r="G1395" s="1">
        <v>3.4100000000000002E-5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1.0759209477463198E-2</v>
      </c>
      <c r="M1395" s="1">
        <f t="shared" si="87"/>
        <v>2.4282018466220953E-2</v>
      </c>
      <c r="N1395" s="1">
        <f t="shared" si="88"/>
        <v>0.11994449488625802</v>
      </c>
      <c r="O1395" s="1"/>
    </row>
    <row r="1396" spans="1:15" x14ac:dyDescent="0.25">
      <c r="A1396">
        <v>2381</v>
      </c>
      <c r="B1396">
        <v>20785.131089999999</v>
      </c>
      <c r="C1396" s="1">
        <v>-2.4999999999999999E-7</v>
      </c>
      <c r="D1396">
        <v>49733.363230000003</v>
      </c>
      <c r="E1396" s="1">
        <v>-1.1799999999999999E-6</v>
      </c>
      <c r="F1396">
        <v>239648.47330000001</v>
      </c>
      <c r="G1396" s="1">
        <v>3.3200000000000001E-5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-1.0479133942793751E-2</v>
      </c>
      <c r="M1396" s="1">
        <f t="shared" si="87"/>
        <v>-1.6588630248887778E-2</v>
      </c>
      <c r="N1396" s="1">
        <f t="shared" si="88"/>
        <v>0.2183787026700108</v>
      </c>
      <c r="O1396" s="1"/>
    </row>
    <row r="1397" spans="1:15" x14ac:dyDescent="0.25">
      <c r="A1397">
        <v>2382</v>
      </c>
      <c r="B1397">
        <v>9717.0596619999997</v>
      </c>
      <c r="C1397" s="1">
        <v>9.9999999999999995E-8</v>
      </c>
      <c r="D1397">
        <v>66506.619340000005</v>
      </c>
      <c r="E1397" s="1">
        <v>-8.7000000000000003E-7</v>
      </c>
      <c r="F1397">
        <v>584187.07339999999</v>
      </c>
      <c r="G1397" s="1">
        <v>-1.06E-5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1.403124076926E-3</v>
      </c>
      <c r="M1397" s="1">
        <f t="shared" si="87"/>
        <v>-4.0941001912274642E-3</v>
      </c>
      <c r="N1397" s="1">
        <f t="shared" si="88"/>
        <v>-2.3339350030344482E-2</v>
      </c>
      <c r="O1397" s="1"/>
    </row>
    <row r="1398" spans="1:15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2.0200000000000001E-6</v>
      </c>
      <c r="F1398">
        <v>748807.98349999997</v>
      </c>
      <c r="G1398">
        <v>8665.8565020000005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3.7144847002430058E-2</v>
      </c>
      <c r="M1398" s="1">
        <f t="shared" si="87"/>
        <v>1.3038744381020406E-2</v>
      </c>
      <c r="N1398" s="1">
        <f t="shared" si="88"/>
        <v>26172160.397771209</v>
      </c>
      <c r="O1398" s="1"/>
    </row>
    <row r="1399" spans="1:15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2.23E-5</v>
      </c>
      <c r="F1399">
        <v>843246.9497</v>
      </c>
      <c r="G1399">
        <v>9177.6644859999997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-3.0032809205577753E-2</v>
      </c>
      <c r="M1399" s="1">
        <f t="shared" si="87"/>
        <v>8.3191737135040272E-2</v>
      </c>
      <c r="N1399" s="1">
        <f t="shared" si="88"/>
        <v>16019582.187467903</v>
      </c>
      <c r="O1399" s="1"/>
    </row>
    <row r="1400" spans="1:15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1.9300000000000002E-6</v>
      </c>
      <c r="F1400">
        <v>608604.41159999999</v>
      </c>
      <c r="G1400" s="1">
        <v>4.4299999999999999E-5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2.1394802082745001E-3</v>
      </c>
      <c r="M1400" s="1">
        <f t="shared" si="87"/>
        <v>6.9243454063801025E-3</v>
      </c>
      <c r="N1400" s="1">
        <f t="shared" si="88"/>
        <v>7.4365040531608903E-2</v>
      </c>
      <c r="O1400" s="1"/>
    </row>
    <row r="1401" spans="1:15" x14ac:dyDescent="0.25">
      <c r="A1401">
        <v>2386</v>
      </c>
      <c r="B1401">
        <v>4390.7856879999999</v>
      </c>
      <c r="C1401">
        <v>0</v>
      </c>
      <c r="D1401">
        <v>40049.552819999997</v>
      </c>
      <c r="E1401" s="1">
        <v>-3.4699999999999998E-6</v>
      </c>
      <c r="F1401">
        <v>156986.27429999999</v>
      </c>
      <c r="G1401" s="1">
        <v>2.2900000000000001E-5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0</v>
      </c>
      <c r="M1401" s="1">
        <f t="shared" si="87"/>
        <v>-1.288376072305783E-2</v>
      </c>
      <c r="N1401" s="1">
        <f t="shared" si="88"/>
        <v>3.9782524253653175E-2</v>
      </c>
      <c r="O1401" s="1"/>
    </row>
    <row r="1402" spans="1:15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-3.6300000000000001E-5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1.5627608134661249E-2</v>
      </c>
      <c r="M1402" s="1">
        <f t="shared" si="87"/>
        <v>1.316138457399129E-2</v>
      </c>
      <c r="N1402" s="1">
        <f t="shared" si="88"/>
        <v>-0.19782147651075813</v>
      </c>
      <c r="O1402" s="1"/>
    </row>
    <row r="1403" spans="1:15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-2.7499999999999999E-6</v>
      </c>
      <c r="F1403">
        <v>655484.62080000003</v>
      </c>
      <c r="G1403" s="1">
        <v>-4.07E-5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-7.7596166550500001E-2</v>
      </c>
      <c r="M1403" s="1">
        <f t="shared" si="87"/>
        <v>-3.5783770651557495E-2</v>
      </c>
      <c r="N1403" s="1">
        <f t="shared" si="88"/>
        <v>-0.247794404475189</v>
      </c>
      <c r="O1403" s="1"/>
    </row>
    <row r="1404" spans="1:15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5.6000000000000004E-7</v>
      </c>
      <c r="F1404">
        <v>245420.86420000001</v>
      </c>
      <c r="G1404" s="1">
        <v>-4.1300000000000003E-6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-5.0219788766159998E-2</v>
      </c>
      <c r="M1404" s="1">
        <f t="shared" si="87"/>
        <v>2.3580122356049284E-3</v>
      </c>
      <c r="N1404" s="1">
        <f t="shared" si="88"/>
        <v>-8.1367646983202171E-3</v>
      </c>
      <c r="O1404" s="1"/>
    </row>
    <row r="1405" spans="1:15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5.6500000000000001E-6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-3.176509696501538E-2</v>
      </c>
      <c r="M1405" s="1">
        <f t="shared" si="87"/>
        <v>2.3807877081009138E-2</v>
      </c>
      <c r="N1405" s="1">
        <f t="shared" si="88"/>
        <v>1.3222264630508025E-2</v>
      </c>
      <c r="O1405" s="1"/>
    </row>
    <row r="1406" spans="1:15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4.0500000000000002E-5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-0.115874934891677</v>
      </c>
      <c r="M1406" s="1">
        <f t="shared" si="87"/>
        <v>8.8133485950173986E-3</v>
      </c>
      <c r="N1406" s="1">
        <f t="shared" si="88"/>
        <v>0.15905610767154602</v>
      </c>
      <c r="O1406" s="1"/>
    </row>
    <row r="1407" spans="1:15" x14ac:dyDescent="0.25">
      <c r="A1407">
        <v>2394</v>
      </c>
      <c r="B1407">
        <v>17133.586050000002</v>
      </c>
      <c r="C1407">
        <v>0</v>
      </c>
      <c r="D1407">
        <v>56987.222540000002</v>
      </c>
      <c r="E1407" s="1">
        <v>-2.12E-6</v>
      </c>
      <c r="F1407">
        <v>226056.63089999999</v>
      </c>
      <c r="G1407" s="1">
        <v>-1.22E-5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0</v>
      </c>
      <c r="M1407" s="1">
        <f t="shared" si="87"/>
        <v>-1.6248461557134272E-2</v>
      </c>
      <c r="N1407" s="1">
        <f t="shared" si="88"/>
        <v>-4.3750185134364482E-2</v>
      </c>
      <c r="O1407" s="1"/>
    </row>
    <row r="1408" spans="1:15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-3.1E-7</v>
      </c>
      <c r="F1408">
        <v>412292.49430000002</v>
      </c>
      <c r="G1408" s="1">
        <v>-3.6699999999999998E-5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1.2486225985608376E-2</v>
      </c>
      <c r="M1408" s="1">
        <f t="shared" si="87"/>
        <v>-1.6859523518629651E-3</v>
      </c>
      <c r="N1408" s="1">
        <f t="shared" si="88"/>
        <v>-9.3388488220831956E-2</v>
      </c>
      <c r="O1408" s="1"/>
    </row>
    <row r="1409" spans="1:15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-1.6899999999999999E-6</v>
      </c>
      <c r="F1409">
        <v>151285.07070000001</v>
      </c>
      <c r="G1409" s="1">
        <v>-3.4700000000000003E-5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-3.1685758379652977E-2</v>
      </c>
      <c r="M1409" s="1">
        <f t="shared" si="87"/>
        <v>-6.1295180374018104E-3</v>
      </c>
      <c r="N1409" s="1">
        <f t="shared" si="88"/>
        <v>-5.888609777313928E-2</v>
      </c>
      <c r="O1409" s="1"/>
    </row>
    <row r="1410" spans="1:15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-2.1500000000000001E-5</v>
      </c>
      <c r="F1410">
        <v>592683.04209999996</v>
      </c>
      <c r="G1410" s="1">
        <v>-7.4499999999999996E-7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4.8198420818059529E-2</v>
      </c>
      <c r="M1410" s="1">
        <f t="shared" si="87"/>
        <v>-8.7543498691821348E-2</v>
      </c>
      <c r="N1410" s="1">
        <f t="shared" si="88"/>
        <v>-1.4193365618927897E-3</v>
      </c>
      <c r="O1410" s="1"/>
    </row>
    <row r="1411" spans="1:15" x14ac:dyDescent="0.25">
      <c r="A1411">
        <v>2398</v>
      </c>
      <c r="B1411">
        <v>14482.525739999999</v>
      </c>
      <c r="C1411" s="1">
        <v>6.7000000000000004E-7</v>
      </c>
      <c r="D1411">
        <v>28340.813740000001</v>
      </c>
      <c r="E1411" s="1">
        <v>-4.7899999999999999E-6</v>
      </c>
      <c r="F1411">
        <v>131858.4663</v>
      </c>
      <c r="G1411" s="1">
        <v>-3.5899999999999998E-5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1.8112131392378078E-2</v>
      </c>
      <c r="M1411" s="1">
        <f t="shared" ref="M1411:M1474" si="91">$U$3*$K1411*E1411</f>
        <v>-4.3428357847414535E-2</v>
      </c>
      <c r="N1411" s="1">
        <f t="shared" ref="N1411:N1474" si="92">$U$4*$K1411*G1411</f>
        <v>-0.15229162510358216</v>
      </c>
      <c r="O1411" s="1"/>
    </row>
    <row r="1412" spans="1:15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2.2000000000000001E-7</v>
      </c>
      <c r="F1412">
        <v>695204.60900000005</v>
      </c>
      <c r="G1412" s="1">
        <v>4.3900000000000003E-5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-7.7735774058942997E-2</v>
      </c>
      <c r="M1412" s="1">
        <f t="shared" si="91"/>
        <v>1.3035691342191981E-3</v>
      </c>
      <c r="N1412" s="1">
        <f t="shared" si="92"/>
        <v>0.12170812904934791</v>
      </c>
      <c r="O1412" s="1"/>
    </row>
    <row r="1413" spans="1:15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-9.5999999999999991E-7</v>
      </c>
      <c r="F1413">
        <v>722706.59920000006</v>
      </c>
      <c r="G1413" s="1">
        <v>6.3200000000000005E-7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0.14460823082394</v>
      </c>
      <c r="M1413" s="1">
        <f t="shared" si="91"/>
        <v>-1.2933166900356478E-2</v>
      </c>
      <c r="N1413" s="1">
        <f t="shared" si="92"/>
        <v>3.9837713640318243E-3</v>
      </c>
      <c r="O1413" s="1"/>
    </row>
    <row r="1414" spans="1:15" x14ac:dyDescent="0.25">
      <c r="A1414">
        <v>2502</v>
      </c>
      <c r="B1414">
        <v>9532.2052949999998</v>
      </c>
      <c r="C1414">
        <v>0</v>
      </c>
      <c r="D1414">
        <v>62639.071960000001</v>
      </c>
      <c r="E1414" s="1">
        <v>-1.9599999999999999E-6</v>
      </c>
      <c r="F1414">
        <v>592986.01159999997</v>
      </c>
      <c r="G1414" s="1">
        <v>3.79E-5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0</v>
      </c>
      <c r="M1414" s="1">
        <f t="shared" si="91"/>
        <v>-1.2603457872702872E-2</v>
      </c>
      <c r="N1414" s="1">
        <f t="shared" si="92"/>
        <v>0.11402931905142943</v>
      </c>
      <c r="O1414" s="1"/>
    </row>
    <row r="1415" spans="1:15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 s="1">
        <v>-4.5300000000000003E-5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2.0134016281470653E-2</v>
      </c>
      <c r="M1415" s="1">
        <f t="shared" si="91"/>
        <v>-4.0105454445921354E-2</v>
      </c>
      <c r="N1415" s="1">
        <f t="shared" si="92"/>
        <v>-3.9537286710651633E-2</v>
      </c>
      <c r="O1415" s="1"/>
    </row>
    <row r="1416" spans="1:15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-9.3700000000000001E-6</v>
      </c>
      <c r="F1416">
        <v>983702.91399999999</v>
      </c>
      <c r="G1416" s="1">
        <v>9.7599999999999997E-6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1.28904839607258E-2</v>
      </c>
      <c r="M1416" s="1">
        <f t="shared" si="91"/>
        <v>-3.0688666628457067E-2</v>
      </c>
      <c r="N1416" s="1">
        <f t="shared" si="92"/>
        <v>1.4956567124221153E-2</v>
      </c>
      <c r="O1416" s="1"/>
    </row>
    <row r="1417" spans="1:15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2.7499999999999999E-6</v>
      </c>
      <c r="F1417">
        <v>759028.58629999997</v>
      </c>
      <c r="G1417" s="1">
        <v>-4.5199999999999999E-6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6.6125014139666302E-2</v>
      </c>
      <c r="M1417" s="1">
        <f t="shared" si="91"/>
        <v>1.8940251302785448E-2</v>
      </c>
      <c r="N1417" s="1">
        <f t="shared" si="92"/>
        <v>-1.4565827290469065E-2</v>
      </c>
      <c r="O1417" s="1"/>
    </row>
    <row r="1418" spans="1:15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 s="1">
        <v>2.48E-5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5.2836308712989756E-2</v>
      </c>
      <c r="M1418" s="1">
        <f t="shared" si="91"/>
        <v>8.0127410778655754E-3</v>
      </c>
      <c r="N1418" s="1">
        <f t="shared" si="92"/>
        <v>8.9401154863129689E-2</v>
      </c>
      <c r="O1418" s="1"/>
    </row>
    <row r="1419" spans="1:15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4.1E-5</v>
      </c>
      <c r="F1419">
        <v>832306.12659999996</v>
      </c>
      <c r="G1419" s="1">
        <v>-3.7499999999999997E-5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-4.7413521566174406E-2</v>
      </c>
      <c r="M1419" s="1">
        <f t="shared" si="91"/>
        <v>0.1455295521148581</v>
      </c>
      <c r="N1419" s="1">
        <f t="shared" si="92"/>
        <v>-6.2279093403371254E-2</v>
      </c>
      <c r="O1419" s="1"/>
    </row>
    <row r="1420" spans="1:15" x14ac:dyDescent="0.25">
      <c r="A1420">
        <v>2508</v>
      </c>
      <c r="B1420">
        <v>14692.40328</v>
      </c>
      <c r="C1420" s="1">
        <v>5.5000000000000003E-7</v>
      </c>
      <c r="D1420">
        <v>283895.69569999998</v>
      </c>
      <c r="E1420" s="1">
        <v>-1.88E-5</v>
      </c>
      <c r="F1420">
        <v>1046873.117</v>
      </c>
      <c r="G1420">
        <v>0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5.7445546523901252E-3</v>
      </c>
      <c r="M1420" s="1">
        <f t="shared" si="91"/>
        <v>-6.5855895908687234E-2</v>
      </c>
      <c r="N1420" s="1">
        <f t="shared" si="92"/>
        <v>0</v>
      </c>
      <c r="O1420" s="1"/>
    </row>
    <row r="1421" spans="1:15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-1.1599999999999999E-6</v>
      </c>
      <c r="F1421">
        <v>930540.84970000002</v>
      </c>
      <c r="G1421">
        <v>3120.7334879999999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6.1143388351110002E-2</v>
      </c>
      <c r="M1421" s="1">
        <f t="shared" si="91"/>
        <v>-5.2861333491380155E-3</v>
      </c>
      <c r="N1421" s="1">
        <f t="shared" si="92"/>
        <v>6653964.5808218811</v>
      </c>
      <c r="O1421" s="1"/>
    </row>
    <row r="1422" spans="1:15" x14ac:dyDescent="0.25">
      <c r="A1422">
        <v>2510</v>
      </c>
      <c r="B1422">
        <v>9906.1836390000008</v>
      </c>
      <c r="C1422" s="1">
        <v>-3.4999999999999998E-7</v>
      </c>
      <c r="D1422">
        <v>105697.3042</v>
      </c>
      <c r="E1422" s="1">
        <v>3.8000000000000002E-5</v>
      </c>
      <c r="F1422">
        <v>922266.57330000005</v>
      </c>
      <c r="G1422">
        <v>2911.7016010000002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-6.5377500025451257E-3</v>
      </c>
      <c r="M1422" s="1">
        <f t="shared" si="91"/>
        <v>0.23806031218058823</v>
      </c>
      <c r="N1422" s="1">
        <f t="shared" si="92"/>
        <v>8534811.7328946665</v>
      </c>
      <c r="O1422" s="1"/>
    </row>
    <row r="1423" spans="1:15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 s="1">
        <v>-3.8099999999999998E-5</v>
      </c>
      <c r="F1423">
        <v>1194168.173</v>
      </c>
      <c r="G1423">
        <v>8865.2076699999998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3.42509232918203E-2</v>
      </c>
      <c r="M1423" s="1">
        <f t="shared" si="91"/>
        <v>-8.8595863804796324E-2</v>
      </c>
      <c r="N1423" s="1">
        <f t="shared" si="92"/>
        <v>9645418.2132871859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 s="1">
        <v>-4.5600000000000004E-6</v>
      </c>
      <c r="F1424">
        <v>812920.58259999997</v>
      </c>
      <c r="G1424" s="1">
        <v>2.0699999999999998E-5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-1.7827647491721145E-2</v>
      </c>
      <c r="N1424" s="1">
        <f t="shared" si="92"/>
        <v>3.7865458427913272E-2</v>
      </c>
      <c r="O1424" s="1"/>
    </row>
    <row r="1425" spans="1:15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8.4E-7</v>
      </c>
      <c r="F1425">
        <v>817784.63029999996</v>
      </c>
      <c r="G1425">
        <v>0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-5.1846836931646906E-2</v>
      </c>
      <c r="M1425" s="1">
        <f t="shared" si="91"/>
        <v>3.9054680291744884E-3</v>
      </c>
      <c r="N1425" s="1">
        <f t="shared" si="92"/>
        <v>0</v>
      </c>
      <c r="O1425" s="1"/>
    </row>
    <row r="1426" spans="1:15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 s="1">
        <v>-9.38E-6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4.0476474008230005E-2</v>
      </c>
      <c r="M1426" s="1">
        <f t="shared" si="91"/>
        <v>-1.4457573800755012E-2</v>
      </c>
      <c r="N1426" s="1">
        <f t="shared" si="92"/>
        <v>-1.4894719720043898E-2</v>
      </c>
      <c r="O1426" s="1"/>
    </row>
    <row r="1427" spans="1:15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4.0299999999999997E-5</v>
      </c>
      <c r="F1427">
        <v>1102505.2919999999</v>
      </c>
      <c r="G1427">
        <v>8665.8564819999992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1.0017489641123253E-2</v>
      </c>
      <c r="M1427" s="1">
        <f t="shared" si="91"/>
        <v>6.8382015146172648E-2</v>
      </c>
      <c r="N1427" s="1">
        <f t="shared" si="92"/>
        <v>6880056.7281036284</v>
      </c>
      <c r="O1427" s="1"/>
    </row>
    <row r="1428" spans="1:15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6.0999999999999998E-7</v>
      </c>
      <c r="F1428">
        <v>683553.25719999999</v>
      </c>
      <c r="G1428">
        <v>1882.2824450000001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5.4670880583149997E-3</v>
      </c>
      <c r="M1428" s="1">
        <f t="shared" si="91"/>
        <v>3.7282736922806601E-3</v>
      </c>
      <c r="N1428" s="1">
        <f t="shared" si="92"/>
        <v>5382777.412812396</v>
      </c>
      <c r="O1428" s="1"/>
    </row>
    <row r="1429" spans="1:15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>
        <v>2463.0595830000002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-6.2388850133372753E-2</v>
      </c>
      <c r="M1429" s="1">
        <f t="shared" si="91"/>
        <v>-2.0300984661402028E-2</v>
      </c>
      <c r="N1429" s="1">
        <f t="shared" si="92"/>
        <v>5130631.8918894175</v>
      </c>
      <c r="O1429" s="1"/>
    </row>
    <row r="1430" spans="1:15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4.4000000000000002E-7</v>
      </c>
      <c r="F1430">
        <v>519274.24170000001</v>
      </c>
      <c r="G1430" s="1">
        <v>3.8999999999999999E-5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-4.2255502264228507E-2</v>
      </c>
      <c r="M1430" s="1">
        <f t="shared" si="91"/>
        <v>2.3983122941921881E-3</v>
      </c>
      <c r="N1430" s="1">
        <f t="shared" si="92"/>
        <v>9.9462951483491713E-2</v>
      </c>
      <c r="O1430" s="1"/>
    </row>
    <row r="1431" spans="1:15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 s="1">
        <v>8.4E-7</v>
      </c>
      <c r="F1431">
        <v>709075.16229999997</v>
      </c>
      <c r="G1431">
        <v>0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1.485840037859775E-3</v>
      </c>
      <c r="M1431" s="1">
        <f t="shared" si="91"/>
        <v>4.6510603031261885E-3</v>
      </c>
      <c r="N1431" s="1">
        <f t="shared" si="92"/>
        <v>0</v>
      </c>
      <c r="O1431" s="1"/>
    </row>
    <row r="1432" spans="1:15" x14ac:dyDescent="0.25">
      <c r="A1432">
        <v>2520</v>
      </c>
      <c r="B1432">
        <v>16739.973959999999</v>
      </c>
      <c r="C1432" s="1">
        <v>9.1999999999999998E-7</v>
      </c>
      <c r="D1432">
        <v>93607.958960000004</v>
      </c>
      <c r="E1432" s="1">
        <v>1.9099999999999999E-6</v>
      </c>
      <c r="F1432">
        <v>833337.51699999999</v>
      </c>
      <c r="G1432" s="1">
        <v>1.6500000000000001E-5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3.0151539209142E-2</v>
      </c>
      <c r="M1432" s="1">
        <f t="shared" si="91"/>
        <v>2.0994143638633018E-2</v>
      </c>
      <c r="N1432" s="1">
        <f t="shared" si="92"/>
        <v>8.4857927239107012E-2</v>
      </c>
      <c r="O1432" s="1"/>
    </row>
    <row r="1433" spans="1:15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9.1999999999999998E-7</v>
      </c>
      <c r="F1433">
        <v>658738.56240000005</v>
      </c>
      <c r="G1433" s="1">
        <v>-2.7900000000000001E-5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1.1174485803560624E-2</v>
      </c>
      <c r="M1433" s="1">
        <f t="shared" si="91"/>
        <v>9.8512302099433794E-3</v>
      </c>
      <c r="N1433" s="1">
        <f t="shared" si="92"/>
        <v>-0.13978176571328715</v>
      </c>
      <c r="O1433" s="1"/>
    </row>
    <row r="1434" spans="1:15" x14ac:dyDescent="0.25">
      <c r="A1434">
        <v>2522</v>
      </c>
      <c r="B1434">
        <v>8756.6526049999993</v>
      </c>
      <c r="C1434">
        <v>0</v>
      </c>
      <c r="D1434">
        <v>64395.104780000001</v>
      </c>
      <c r="E1434" s="1">
        <v>3.32E-6</v>
      </c>
      <c r="F1434">
        <v>562069.15560000006</v>
      </c>
      <c r="G1434" s="1">
        <v>-3.2799999999999998E-5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0</v>
      </c>
      <c r="M1434" s="1">
        <f t="shared" si="91"/>
        <v>2.4510342592750738E-2</v>
      </c>
      <c r="N1434" s="1">
        <f t="shared" si="92"/>
        <v>-0.1132997156216244</v>
      </c>
      <c r="O1434" s="1"/>
    </row>
    <row r="1435" spans="1:15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 s="1">
        <v>2.5299999999999998E-5</v>
      </c>
      <c r="F1435">
        <v>931812.69299999997</v>
      </c>
      <c r="G1435">
        <v>8865.2076699999998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-9.8998454237436001E-3</v>
      </c>
      <c r="M1435" s="1">
        <f t="shared" si="91"/>
        <v>0.17500515208370337</v>
      </c>
      <c r="N1435" s="1">
        <f t="shared" si="92"/>
        <v>28692137.594241634</v>
      </c>
      <c r="O1435" s="1"/>
    </row>
    <row r="1436" spans="1:15" x14ac:dyDescent="0.25">
      <c r="A1436">
        <v>2524</v>
      </c>
      <c r="B1436">
        <v>5384.4245110000002</v>
      </c>
      <c r="C1436" s="1">
        <v>-1.9999999999999999E-7</v>
      </c>
      <c r="D1436">
        <v>132290.78400000001</v>
      </c>
      <c r="E1436" s="1">
        <v>-1.49E-5</v>
      </c>
      <c r="F1436">
        <v>834132.72679999995</v>
      </c>
      <c r="G1436">
        <v>20172.053790000002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-7.3543241498350001E-3</v>
      </c>
      <c r="M1436" s="1">
        <f t="shared" si="91"/>
        <v>-0.18375627464226188</v>
      </c>
      <c r="N1436" s="1">
        <f t="shared" si="92"/>
        <v>116399122.14335309</v>
      </c>
      <c r="O1436" s="1"/>
    </row>
    <row r="1437" spans="1:15" x14ac:dyDescent="0.25">
      <c r="A1437">
        <v>2525</v>
      </c>
      <c r="B1437">
        <v>7148.1812389999996</v>
      </c>
      <c r="C1437">
        <v>0</v>
      </c>
      <c r="D1437">
        <v>100899.8956</v>
      </c>
      <c r="E1437" s="1">
        <v>1.7200000000000001E-5</v>
      </c>
      <c r="F1437">
        <v>692557.83129999996</v>
      </c>
      <c r="G1437">
        <v>8665.8564939999997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0</v>
      </c>
      <c r="M1437" s="1">
        <f t="shared" si="91"/>
        <v>0.11963031917297416</v>
      </c>
      <c r="N1437" s="1">
        <f t="shared" si="92"/>
        <v>28201225.780085851</v>
      </c>
      <c r="O1437" s="1"/>
    </row>
    <row r="1438" spans="1:15" x14ac:dyDescent="0.25">
      <c r="A1438">
        <v>2526</v>
      </c>
      <c r="B1438">
        <v>11670.531660000001</v>
      </c>
      <c r="C1438">
        <v>0</v>
      </c>
      <c r="D1438">
        <v>61100.532700000003</v>
      </c>
      <c r="E1438" s="1">
        <v>4.3000000000000001E-7</v>
      </c>
      <c r="F1438">
        <v>444762.88170000003</v>
      </c>
      <c r="G1438" s="1">
        <v>-2.65E-5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0</v>
      </c>
      <c r="M1438" s="1">
        <f t="shared" si="91"/>
        <v>4.6498468334506349E-3</v>
      </c>
      <c r="N1438" s="1">
        <f t="shared" si="92"/>
        <v>-0.13407868562851574</v>
      </c>
      <c r="O1438" s="1"/>
    </row>
    <row r="1439" spans="1:15" x14ac:dyDescent="0.25">
      <c r="A1439">
        <v>2527</v>
      </c>
      <c r="B1439">
        <v>7305.4470940000001</v>
      </c>
      <c r="C1439" s="1">
        <v>9.9999999999999995E-8</v>
      </c>
      <c r="D1439">
        <v>28729.615290000002</v>
      </c>
      <c r="E1439" s="1">
        <v>5.2E-7</v>
      </c>
      <c r="F1439">
        <v>157449.26730000001</v>
      </c>
      <c r="G1439" s="1">
        <v>8.2900000000000002E-6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3.9694428962825006E-3</v>
      </c>
      <c r="M1439" s="1">
        <f t="shared" si="91"/>
        <v>6.9227084111166794E-3</v>
      </c>
      <c r="N1439" s="1">
        <f t="shared" si="92"/>
        <v>5.1638177295977791E-2</v>
      </c>
      <c r="O1439" s="1"/>
    </row>
    <row r="1440" spans="1:15" x14ac:dyDescent="0.25">
      <c r="A1440">
        <v>2528</v>
      </c>
      <c r="B1440">
        <v>7699.652188</v>
      </c>
      <c r="C1440" s="1">
        <v>-9.9999999999999995E-8</v>
      </c>
      <c r="D1440">
        <v>56205.165240000002</v>
      </c>
      <c r="E1440" s="1">
        <v>-3.8999999999999999E-6</v>
      </c>
      <c r="F1440">
        <v>454760.26169999997</v>
      </c>
      <c r="G1440" s="1">
        <v>1.2999999999999999E-5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-1.2805213132952499E-3</v>
      </c>
      <c r="M1440" s="1">
        <f t="shared" si="91"/>
        <v>-1.6749218777901871E-2</v>
      </c>
      <c r="N1440" s="1">
        <f t="shared" si="92"/>
        <v>2.61226347912231E-2</v>
      </c>
      <c r="O1440" s="1"/>
    </row>
    <row r="1441" spans="1:15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-3.1599999999999998E-6</v>
      </c>
      <c r="F1441">
        <v>830276.27040000004</v>
      </c>
      <c r="G1441" s="1">
        <v>-1.66E-5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7.477235493117E-3</v>
      </c>
      <c r="M1441" s="1">
        <f t="shared" si="91"/>
        <v>-6.6037410083313302E-3</v>
      </c>
      <c r="N1441" s="1">
        <f t="shared" si="92"/>
        <v>-1.6231352739673983E-2</v>
      </c>
      <c r="O1441" s="1"/>
    </row>
    <row r="1442" spans="1:15" x14ac:dyDescent="0.25">
      <c r="A1442">
        <v>2530</v>
      </c>
      <c r="B1442">
        <v>10881.01316</v>
      </c>
      <c r="C1442" s="1">
        <v>-9.4E-7</v>
      </c>
      <c r="D1442">
        <v>77003.991269999999</v>
      </c>
      <c r="E1442" s="1">
        <v>-3.5499999999999999E-6</v>
      </c>
      <c r="F1442">
        <v>801878.28749999998</v>
      </c>
      <c r="G1442">
        <v>632.16772800000001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-1.0045285109834001E-2</v>
      </c>
      <c r="M1442" s="1">
        <f t="shared" si="91"/>
        <v>-1.27234797815066E-2</v>
      </c>
      <c r="N1442" s="1">
        <f t="shared" si="92"/>
        <v>1060116.393829118</v>
      </c>
      <c r="O1442" s="1"/>
    </row>
    <row r="1443" spans="1:15" x14ac:dyDescent="0.25">
      <c r="A1443">
        <v>2531</v>
      </c>
      <c r="B1443">
        <v>7358.5445259999997</v>
      </c>
      <c r="C1443" s="1">
        <v>1.1999999999999999E-7</v>
      </c>
      <c r="D1443">
        <v>69165.288839999994</v>
      </c>
      <c r="E1443" s="1">
        <v>3.7500000000000001E-6</v>
      </c>
      <c r="F1443">
        <v>573515.41469999996</v>
      </c>
      <c r="G1443" s="1">
        <v>4.7299999999999998E-5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2.0057980354502999E-3</v>
      </c>
      <c r="M1443" s="1">
        <f t="shared" si="91"/>
        <v>2.1022306333084873E-2</v>
      </c>
      <c r="N1443" s="1">
        <f t="shared" si="92"/>
        <v>0.12406632310042971</v>
      </c>
      <c r="O1443" s="1"/>
    </row>
    <row r="1444" spans="1:15" x14ac:dyDescent="0.25">
      <c r="A1444">
        <v>2532</v>
      </c>
      <c r="B1444">
        <v>6763.2129850000001</v>
      </c>
      <c r="C1444">
        <v>0</v>
      </c>
      <c r="D1444">
        <v>57342.011169999998</v>
      </c>
      <c r="E1444" s="1">
        <v>4.7999999999999996E-7</v>
      </c>
      <c r="F1444">
        <v>484864.93770000001</v>
      </c>
      <c r="G1444" s="1">
        <v>1.33E-5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0</v>
      </c>
      <c r="M1444" s="1">
        <f t="shared" si="91"/>
        <v>2.1644559703532158E-3</v>
      </c>
      <c r="N1444" s="1">
        <f t="shared" si="92"/>
        <v>2.806098021197604E-2</v>
      </c>
      <c r="O1444" s="1"/>
    </row>
    <row r="1445" spans="1:15" x14ac:dyDescent="0.25">
      <c r="A1445">
        <v>2533</v>
      </c>
      <c r="B1445">
        <v>23562.116129999999</v>
      </c>
      <c r="C1445" s="1">
        <v>-2.8000000000000002E-7</v>
      </c>
      <c r="D1445">
        <v>152744.84760000001</v>
      </c>
      <c r="E1445" s="1">
        <v>2.7399999999999999E-5</v>
      </c>
      <c r="F1445">
        <v>963188.60649999999</v>
      </c>
      <c r="G1445" s="1">
        <v>2.5400000000000001E-5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-2.6754188592586002E-3</v>
      </c>
      <c r="M1445" s="1">
        <f t="shared" si="91"/>
        <v>8.7806658956722364E-2</v>
      </c>
      <c r="N1445" s="1">
        <f t="shared" si="92"/>
        <v>3.8085028464654842E-2</v>
      </c>
      <c r="O1445" s="1"/>
    </row>
    <row r="1446" spans="1:15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 s="1">
        <v>-2.9E-5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-1.2826484777223002E-2</v>
      </c>
      <c r="M1446" s="1">
        <f t="shared" si="91"/>
        <v>-1.3303732330472381E-2</v>
      </c>
      <c r="N1446" s="1">
        <f t="shared" si="92"/>
        <v>-5.4046640984367005E-2</v>
      </c>
      <c r="O1446" s="1"/>
    </row>
    <row r="1447" spans="1:15" x14ac:dyDescent="0.25">
      <c r="A1447">
        <v>2535</v>
      </c>
      <c r="B1447">
        <v>22150.09114</v>
      </c>
      <c r="C1447">
        <v>0</v>
      </c>
      <c r="D1447">
        <v>134670.50529999999</v>
      </c>
      <c r="E1447" s="1">
        <v>-2.8799999999999999E-5</v>
      </c>
      <c r="F1447">
        <v>913767.14439999999</v>
      </c>
      <c r="G1447" s="1">
        <v>2.48E-5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0</v>
      </c>
      <c r="M1447" s="1">
        <f t="shared" si="91"/>
        <v>-8.0259586346787842E-2</v>
      </c>
      <c r="N1447" s="1">
        <f t="shared" si="92"/>
        <v>3.2337004590792966E-2</v>
      </c>
      <c r="O1447" s="1"/>
    </row>
    <row r="1448" spans="1:15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 s="1">
        <v>-4.9699999999999998E-6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5.3971432029227703E-2</v>
      </c>
      <c r="M1448" s="1">
        <f t="shared" si="91"/>
        <v>9.9751170280652848E-3</v>
      </c>
      <c r="N1448" s="1">
        <f t="shared" si="92"/>
        <v>-1.1315251345283992E-2</v>
      </c>
      <c r="O1448" s="1"/>
    </row>
    <row r="1449" spans="1:15" x14ac:dyDescent="0.25">
      <c r="A1449">
        <v>2537</v>
      </c>
      <c r="B1449">
        <v>10541.38975</v>
      </c>
      <c r="C1449" s="1">
        <v>-4.78E-6</v>
      </c>
      <c r="D1449">
        <v>65434.140070000001</v>
      </c>
      <c r="E1449">
        <v>0</v>
      </c>
      <c r="F1449">
        <v>642830.53449999995</v>
      </c>
      <c r="G1449" s="1">
        <v>1.4100000000000001E-5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-4.0237884645435103E-2</v>
      </c>
      <c r="M1449" s="1">
        <f t="shared" si="91"/>
        <v>0</v>
      </c>
      <c r="N1449" s="1">
        <f t="shared" si="92"/>
        <v>1.8625724395579264E-2</v>
      </c>
      <c r="O1449" s="1"/>
    </row>
    <row r="1450" spans="1:15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2.5600000000000001E-6</v>
      </c>
      <c r="F1450">
        <v>674898.61699999997</v>
      </c>
      <c r="G1450" s="1">
        <v>2.3499999999999999E-5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-3.6432095530030191E-2</v>
      </c>
      <c r="M1450" s="1">
        <f t="shared" si="91"/>
        <v>8.2751419916154874E-3</v>
      </c>
      <c r="N1450" s="1">
        <f t="shared" si="92"/>
        <v>3.5542422867514196E-2</v>
      </c>
      <c r="O1450" s="1"/>
    </row>
    <row r="1451" spans="1:15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 s="1">
        <v>-2.9E-5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-1.9666629289485749E-2</v>
      </c>
      <c r="M1451" s="1">
        <f t="shared" si="91"/>
        <v>8.8985902795138804E-3</v>
      </c>
      <c r="N1451" s="1">
        <f t="shared" si="92"/>
        <v>-2.6478784450750501E-2</v>
      </c>
      <c r="O1451" s="1"/>
    </row>
    <row r="1452" spans="1:15" x14ac:dyDescent="0.25">
      <c r="A1452">
        <v>2540</v>
      </c>
      <c r="B1452">
        <v>8536.5006649999996</v>
      </c>
      <c r="C1452" s="1">
        <v>2.2000000000000001E-7</v>
      </c>
      <c r="D1452">
        <v>60615.524550000002</v>
      </c>
      <c r="E1452" s="1">
        <v>1.66E-6</v>
      </c>
      <c r="F1452">
        <v>456695.66100000002</v>
      </c>
      <c r="G1452" s="1">
        <v>3.4600000000000001E-5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1.5716924748310503E-3</v>
      </c>
      <c r="M1452" s="1">
        <f t="shared" si="91"/>
        <v>3.977371138404618E-3</v>
      </c>
      <c r="N1452" s="1">
        <f t="shared" si="92"/>
        <v>3.8788930644571624E-2</v>
      </c>
      <c r="O1452" s="1"/>
    </row>
    <row r="1453" spans="1:15" x14ac:dyDescent="0.25">
      <c r="A1453">
        <v>2541</v>
      </c>
      <c r="B1453">
        <v>9243.7114320000001</v>
      </c>
      <c r="C1453" s="1">
        <v>3.9999999999999998E-7</v>
      </c>
      <c r="D1453">
        <v>47131.468390000002</v>
      </c>
      <c r="E1453" s="1">
        <v>-3.2600000000000001E-6</v>
      </c>
      <c r="F1453">
        <v>252122.69279999999</v>
      </c>
      <c r="G1453" s="1">
        <v>-4.21E-5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4.7391084086840004E-3</v>
      </c>
      <c r="M1453" s="1">
        <f t="shared" si="91"/>
        <v>-1.2953806014936713E-2</v>
      </c>
      <c r="N1453" s="1">
        <f t="shared" si="92"/>
        <v>-7.8271843571426289E-2</v>
      </c>
      <c r="O1453" s="1"/>
    </row>
    <row r="1454" spans="1:15" x14ac:dyDescent="0.25">
      <c r="A1454">
        <v>2542</v>
      </c>
      <c r="B1454">
        <v>13932.53816</v>
      </c>
      <c r="C1454" s="1">
        <v>8.8999999999999995E-7</v>
      </c>
      <c r="D1454">
        <v>65045.949719999997</v>
      </c>
      <c r="E1454" s="1">
        <v>-5.6000000000000004E-7</v>
      </c>
      <c r="F1454">
        <v>258009.1476</v>
      </c>
      <c r="G1454" s="1">
        <v>1.4600000000000001E-5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1.4109145764274274E-2</v>
      </c>
      <c r="M1454" s="1">
        <f t="shared" si="91"/>
        <v>-2.9774321778783122E-3</v>
      </c>
      <c r="N1454" s="1">
        <f t="shared" si="92"/>
        <v>3.6320380072873387E-2</v>
      </c>
      <c r="O1454" s="1"/>
    </row>
    <row r="1455" spans="1:15" x14ac:dyDescent="0.25">
      <c r="A1455">
        <v>2543</v>
      </c>
      <c r="B1455">
        <v>24823.393629999999</v>
      </c>
      <c r="C1455" s="1">
        <v>-2.8999999999999998E-7</v>
      </c>
      <c r="D1455">
        <v>109142.33749999999</v>
      </c>
      <c r="E1455" s="1">
        <v>-1.77E-6</v>
      </c>
      <c r="F1455">
        <v>812017.7378</v>
      </c>
      <c r="G1455" s="1">
        <v>1.8199999999999999E-5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-3.0749806265109752E-3</v>
      </c>
      <c r="M1455" s="1">
        <f t="shared" si="91"/>
        <v>-6.2944934989152511E-3</v>
      </c>
      <c r="N1455" s="1">
        <f t="shared" si="92"/>
        <v>3.0283257480397743E-2</v>
      </c>
      <c r="O1455" s="1"/>
    </row>
    <row r="1456" spans="1:15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9.8800000000000003E-6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-1.8165216951065603E-2</v>
      </c>
      <c r="M1456" s="1">
        <f t="shared" si="91"/>
        <v>2.1227977328343823E-2</v>
      </c>
      <c r="N1456" s="1">
        <f t="shared" si="92"/>
        <v>2.2002619031978209E-2</v>
      </c>
      <c r="O1456" s="1"/>
    </row>
    <row r="1457" spans="1:15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-1.11E-6</v>
      </c>
      <c r="F1457">
        <v>293182.32209999999</v>
      </c>
      <c r="G1457" s="1">
        <v>-3.8999999999999999E-5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-6.3433729413011106E-2</v>
      </c>
      <c r="M1457" s="1">
        <f t="shared" si="91"/>
        <v>-6.5415273144514927E-3</v>
      </c>
      <c r="N1457" s="1">
        <f t="shared" si="92"/>
        <v>-0.10753862160876121</v>
      </c>
      <c r="O1457" s="1"/>
    </row>
    <row r="1458" spans="1:15" x14ac:dyDescent="0.25">
      <c r="A1458">
        <v>2546</v>
      </c>
      <c r="B1458">
        <v>6579.0122460000002</v>
      </c>
      <c r="C1458" s="1">
        <v>-1E-8</v>
      </c>
      <c r="D1458">
        <v>47460.183499999999</v>
      </c>
      <c r="E1458" s="1">
        <v>-2.3599999999999999E-6</v>
      </c>
      <c r="F1458">
        <v>156367.8259</v>
      </c>
      <c r="G1458" s="1">
        <v>-3.0499999999999999E-5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-1.5979469149637502E-4</v>
      </c>
      <c r="M1458" s="1">
        <f t="shared" si="91"/>
        <v>-1.2647872750931538E-2</v>
      </c>
      <c r="N1458" s="1">
        <f t="shared" si="92"/>
        <v>-7.6480197730034255E-2</v>
      </c>
      <c r="O1458" s="1"/>
    </row>
    <row r="1459" spans="1:15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2.12E-5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1.1239823157526601E-2</v>
      </c>
      <c r="M1459" s="1">
        <f t="shared" si="91"/>
        <v>-6.2722136622039839E-3</v>
      </c>
      <c r="N1459" s="1">
        <f t="shared" si="92"/>
        <v>3.1422099024997444E-2</v>
      </c>
      <c r="O1459" s="1"/>
    </row>
    <row r="1460" spans="1:15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1.9400000000000001E-5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-2.5363992044855751E-3</v>
      </c>
      <c r="M1460" s="1">
        <f t="shared" si="91"/>
        <v>-1.245070479427059E-2</v>
      </c>
      <c r="N1460" s="1">
        <f t="shared" si="92"/>
        <v>7.0196178263441336E-2</v>
      </c>
      <c r="O1460" s="1"/>
    </row>
    <row r="1461" spans="1:15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5.48E-6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1.0854567445747349E-2</v>
      </c>
      <c r="M1461" s="1">
        <f t="shared" si="91"/>
        <v>-2.3242904540041718E-2</v>
      </c>
      <c r="N1461" s="1">
        <f t="shared" si="92"/>
        <v>2.3934000076824218E-2</v>
      </c>
      <c r="O1461" s="1"/>
    </row>
    <row r="1462" spans="1:15" x14ac:dyDescent="0.25">
      <c r="A1462">
        <v>2550</v>
      </c>
      <c r="B1462">
        <v>7974.5623240000004</v>
      </c>
      <c r="C1462" s="1">
        <v>2E-8</v>
      </c>
      <c r="D1462">
        <v>52731.386939999997</v>
      </c>
      <c r="E1462" s="1">
        <v>-2.9699999999999999E-6</v>
      </c>
      <c r="F1462">
        <v>272646.63929999998</v>
      </c>
      <c r="G1462" s="1">
        <v>1.1000000000000001E-7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2.1435584250275002E-4</v>
      </c>
      <c r="M1462" s="1">
        <f t="shared" si="91"/>
        <v>-1.0675910291294655E-2</v>
      </c>
      <c r="N1462" s="1">
        <f t="shared" si="92"/>
        <v>1.8500558099083503E-4</v>
      </c>
      <c r="O1462" s="1"/>
    </row>
    <row r="1463" spans="1:15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 s="1">
        <v>-2.2500000000000001E-5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-6.6908306509320919E-2</v>
      </c>
      <c r="M1463" s="1">
        <f t="shared" si="91"/>
        <v>-1.3679188228596883E-2</v>
      </c>
      <c r="N1463" s="1">
        <f t="shared" si="92"/>
        <v>-5.3935568471686512E-2</v>
      </c>
      <c r="O1463" s="1"/>
    </row>
    <row r="1464" spans="1:15" x14ac:dyDescent="0.25">
      <c r="A1464">
        <v>2552</v>
      </c>
      <c r="B1464">
        <v>6406.8752169999998</v>
      </c>
      <c r="C1464" s="1">
        <v>-2.9999999999999997E-8</v>
      </c>
      <c r="D1464">
        <v>41305.722229999999</v>
      </c>
      <c r="E1464" s="1">
        <v>3.1200000000000002E-6</v>
      </c>
      <c r="F1464">
        <v>130901.3028</v>
      </c>
      <c r="G1464" s="1">
        <v>4.0399999999999999E-5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-5.7628176303847495E-4</v>
      </c>
      <c r="M1464" s="1">
        <f t="shared" si="91"/>
        <v>2.0100707894782008E-2</v>
      </c>
      <c r="N1464" s="1">
        <f t="shared" si="92"/>
        <v>0.12178163533994603</v>
      </c>
      <c r="O1464" s="1"/>
    </row>
    <row r="1465" spans="1:15" x14ac:dyDescent="0.25">
      <c r="A1465">
        <v>2553</v>
      </c>
      <c r="B1465">
        <v>9801.7979149999992</v>
      </c>
      <c r="C1465" s="1">
        <v>4.7E-7</v>
      </c>
      <c r="D1465">
        <v>55669.411070000002</v>
      </c>
      <c r="E1465" s="1">
        <v>4.42E-6</v>
      </c>
      <c r="F1465">
        <v>160042.8824</v>
      </c>
      <c r="G1465" s="1">
        <v>1.03E-5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1.4471969536983076E-2</v>
      </c>
      <c r="M1465" s="1">
        <f t="shared" si="91"/>
        <v>4.5645207748135554E-2</v>
      </c>
      <c r="N1465" s="1">
        <f t="shared" si="92"/>
        <v>4.9768416352060293E-2</v>
      </c>
      <c r="O1465" s="1"/>
    </row>
    <row r="1466" spans="1:15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4.6600000000000001E-5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4.2758049447860505E-2</v>
      </c>
      <c r="M1466" s="1">
        <f t="shared" si="91"/>
        <v>-2.3928444738415388E-2</v>
      </c>
      <c r="N1466" s="1">
        <f t="shared" si="92"/>
        <v>0.18178672686544772</v>
      </c>
      <c r="O1466" s="1"/>
    </row>
    <row r="1467" spans="1:15" x14ac:dyDescent="0.25">
      <c r="A1467">
        <v>2555</v>
      </c>
      <c r="B1467">
        <v>8822.4464769999995</v>
      </c>
      <c r="C1467" s="1">
        <v>9.9999999999999995E-8</v>
      </c>
      <c r="D1467">
        <v>37952.585800000001</v>
      </c>
      <c r="E1467" s="1">
        <v>-4.0799999999999999E-6</v>
      </c>
      <c r="F1467">
        <v>162952.55549999999</v>
      </c>
      <c r="G1467" s="1">
        <v>-3.3699999999999999E-5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1.60414966780575E-3</v>
      </c>
      <c r="M1467" s="1">
        <f t="shared" si="91"/>
        <v>-2.1950690469740713E-2</v>
      </c>
      <c r="N1467" s="1">
        <f t="shared" si="92"/>
        <v>-8.4832370278699776E-2</v>
      </c>
      <c r="O1467" s="1"/>
    </row>
    <row r="1468" spans="1:15" x14ac:dyDescent="0.25">
      <c r="A1468">
        <v>2556</v>
      </c>
      <c r="B1468">
        <v>6895.3240589999996</v>
      </c>
      <c r="C1468" s="1">
        <v>9.9999999999999995E-8</v>
      </c>
      <c r="D1468">
        <v>64676.354010000003</v>
      </c>
      <c r="E1468" s="1">
        <v>-2.4899999999999999E-6</v>
      </c>
      <c r="F1468">
        <v>223189.23740000001</v>
      </c>
      <c r="G1468" s="1">
        <v>4.74E-5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2.73668095803375E-3</v>
      </c>
      <c r="M1468" s="1">
        <f t="shared" si="91"/>
        <v>-2.2854233194459693E-2</v>
      </c>
      <c r="N1468" s="1">
        <f t="shared" si="92"/>
        <v>0.20355853993694734</v>
      </c>
      <c r="O1468" s="1"/>
    </row>
    <row r="1469" spans="1:15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>
        <v>0</v>
      </c>
      <c r="F1469">
        <v>384662.80570000003</v>
      </c>
      <c r="G1469" s="1">
        <v>3.8000000000000002E-5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3.4821944517980752E-3</v>
      </c>
      <c r="M1469" s="1">
        <f t="shared" si="91"/>
        <v>0</v>
      </c>
      <c r="N1469" s="1">
        <f t="shared" si="92"/>
        <v>5.064534970044781E-2</v>
      </c>
      <c r="O1469" s="1"/>
    </row>
    <row r="1470" spans="1:15" x14ac:dyDescent="0.25">
      <c r="A1470">
        <v>2600</v>
      </c>
      <c r="B1470">
        <v>14192.98927</v>
      </c>
      <c r="C1470">
        <v>0</v>
      </c>
      <c r="D1470">
        <v>51701.863140000001</v>
      </c>
      <c r="E1470" s="1">
        <v>4.9400000000000001E-6</v>
      </c>
      <c r="F1470">
        <v>421192.19770000002</v>
      </c>
      <c r="G1470" s="1">
        <v>-1.3200000000000001E-5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0</v>
      </c>
      <c r="M1470" s="1">
        <f t="shared" si="91"/>
        <v>3.3237219616967136E-2</v>
      </c>
      <c r="N1470" s="1">
        <f t="shared" si="92"/>
        <v>-4.155424032637945E-2</v>
      </c>
      <c r="O1470" s="1"/>
    </row>
    <row r="1471" spans="1:15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 s="1">
        <v>3.3500000000000001E-5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4.6067066200584005E-2</v>
      </c>
      <c r="M1471" s="1">
        <f t="shared" si="91"/>
        <v>1.4339703212610634E-2</v>
      </c>
      <c r="N1471" s="1">
        <f t="shared" si="92"/>
        <v>7.5678444811247858E-2</v>
      </c>
      <c r="O1471" s="1"/>
    </row>
    <row r="1472" spans="1:15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-4.8399999999999997E-5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1.095077641961875E-2</v>
      </c>
      <c r="M1472" s="1">
        <f t="shared" si="91"/>
        <v>1.5719249893170889E-2</v>
      </c>
      <c r="N1472" s="1">
        <f t="shared" si="92"/>
        <v>-0.16634397854884261</v>
      </c>
      <c r="O1472" s="1"/>
    </row>
    <row r="1473" spans="1:15" x14ac:dyDescent="0.25">
      <c r="A1473">
        <v>2603</v>
      </c>
      <c r="B1473">
        <v>16968.775269999998</v>
      </c>
      <c r="C1473" s="1">
        <v>2.9999999999999999E-7</v>
      </c>
      <c r="D1473">
        <v>121118.59819999999</v>
      </c>
      <c r="E1473" s="1">
        <v>-2.5700000000000001E-5</v>
      </c>
      <c r="F1473">
        <v>809058.13989999995</v>
      </c>
      <c r="G1473" s="1">
        <v>-4.34E-6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5.9844993068445002E-3</v>
      </c>
      <c r="M1473" s="1">
        <f t="shared" si="91"/>
        <v>-0.17194233752065127</v>
      </c>
      <c r="N1473" s="1">
        <f t="shared" si="92"/>
        <v>-1.3585734118738068E-2</v>
      </c>
      <c r="O1473" s="1"/>
    </row>
    <row r="1474" spans="1:15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-2.58E-5</v>
      </c>
      <c r="F1474">
        <v>979885.30460000003</v>
      </c>
      <c r="G1474">
        <v>9079.5995619999994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1.7205087247997349E-2</v>
      </c>
      <c r="M1474" s="1">
        <f t="shared" si="91"/>
        <v>-6.7363935062747168E-2</v>
      </c>
      <c r="N1474" s="1">
        <f t="shared" si="92"/>
        <v>11092210.838420486</v>
      </c>
      <c r="O1474" s="1"/>
    </row>
    <row r="1475" spans="1:15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1.3900000000000001E-5</v>
      </c>
      <c r="F1475">
        <v>840665.19140000001</v>
      </c>
      <c r="G1475">
        <v>8665.8564769999994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2.1192062543730648E-2</v>
      </c>
      <c r="M1475" s="1">
        <f t="shared" ref="M1475:M1538" si="95">$U$3*$K1475*E1475</f>
        <v>5.4582395172131419E-2</v>
      </c>
      <c r="N1475" s="1">
        <f t="shared" ref="N1475:N1538" si="96">$U$4*$K1475*G1475</f>
        <v>15921829.146169903</v>
      </c>
      <c r="O1475" s="1"/>
    </row>
    <row r="1476" spans="1:15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 s="1">
        <v>-4.9300000000000002E-6</v>
      </c>
      <c r="F1476">
        <v>1011263.6580000001</v>
      </c>
      <c r="G1476">
        <v>9618.2229189999998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1.7011822419632304E-2</v>
      </c>
      <c r="M1476" s="1">
        <f t="shared" si="95"/>
        <v>-1.0010011512332669E-2</v>
      </c>
      <c r="N1476" s="1">
        <f t="shared" si="96"/>
        <v>9137474.42081986</v>
      </c>
      <c r="O1476" s="1"/>
    </row>
    <row r="1477" spans="1:15" x14ac:dyDescent="0.25">
      <c r="A1477">
        <v>2607</v>
      </c>
      <c r="B1477">
        <v>15424.37766</v>
      </c>
      <c r="C1477">
        <v>0</v>
      </c>
      <c r="D1477">
        <v>63214.765350000001</v>
      </c>
      <c r="E1477" s="1">
        <v>-4.5600000000000004E-6</v>
      </c>
      <c r="F1477">
        <v>683082.11040000001</v>
      </c>
      <c r="G1477">
        <v>594.94635579999999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0</v>
      </c>
      <c r="M1477" s="1">
        <f t="shared" si="95"/>
        <v>-1.713894736337988E-2</v>
      </c>
      <c r="N1477" s="1">
        <f t="shared" si="96"/>
        <v>1046262.812008359</v>
      </c>
      <c r="O1477" s="1"/>
    </row>
    <row r="1478" spans="1:15" x14ac:dyDescent="0.25">
      <c r="A1478">
        <v>2608</v>
      </c>
      <c r="B1478">
        <v>30223.917170000001</v>
      </c>
      <c r="C1478">
        <v>0</v>
      </c>
      <c r="D1478">
        <v>400220.60680000001</v>
      </c>
      <c r="E1478" s="1">
        <v>5.0000000000000002E-5</v>
      </c>
      <c r="F1478">
        <v>983047.76919999998</v>
      </c>
      <c r="G1478">
        <v>9079.5996009999999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0</v>
      </c>
      <c r="M1478" s="1">
        <f t="shared" si="95"/>
        <v>8.4600925267665009E-2</v>
      </c>
      <c r="N1478" s="1">
        <f t="shared" si="96"/>
        <v>7188122.7325744266</v>
      </c>
      <c r="O1478" s="1"/>
    </row>
    <row r="1479" spans="1:15" x14ac:dyDescent="0.25">
      <c r="A1479">
        <v>2609</v>
      </c>
      <c r="B1479">
        <v>8840.2381129999994</v>
      </c>
      <c r="C1479">
        <v>0</v>
      </c>
      <c r="D1479">
        <v>57115.294110000003</v>
      </c>
      <c r="E1479" s="1">
        <v>-4.5499999999999996E-6</v>
      </c>
      <c r="F1479">
        <v>601949.51899999997</v>
      </c>
      <c r="G1479" s="1">
        <v>4.2799999999999997E-5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0</v>
      </c>
      <c r="M1479" s="1">
        <f t="shared" si="95"/>
        <v>-3.7011495128861434E-2</v>
      </c>
      <c r="N1479" s="1">
        <f t="shared" si="96"/>
        <v>0.16289684760011844</v>
      </c>
      <c r="O1479" s="1"/>
    </row>
    <row r="1480" spans="1:15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9.9999999999999995E-7</v>
      </c>
      <c r="F1480">
        <v>748139.4068</v>
      </c>
      <c r="G1480" s="1">
        <v>1.59E-5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-7.1972347898450986E-2</v>
      </c>
      <c r="M1480" s="1">
        <f t="shared" si="95"/>
        <v>5.7472424329165998E-3</v>
      </c>
      <c r="N1480" s="1">
        <f t="shared" si="96"/>
        <v>4.2756320081211663E-2</v>
      </c>
      <c r="O1480" s="1"/>
    </row>
    <row r="1481" spans="1:15" x14ac:dyDescent="0.25">
      <c r="A1481">
        <v>2611</v>
      </c>
      <c r="B1481">
        <v>10002.34866</v>
      </c>
      <c r="C1481">
        <v>0</v>
      </c>
      <c r="D1481">
        <v>38730.426979999997</v>
      </c>
      <c r="E1481" s="1">
        <v>7.4000000000000001E-7</v>
      </c>
      <c r="F1481">
        <v>218933.10550000001</v>
      </c>
      <c r="G1481" s="1">
        <v>-7.1400000000000002E-6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0</v>
      </c>
      <c r="M1481" s="1">
        <f t="shared" si="95"/>
        <v>2.1034385882573881E-3</v>
      </c>
      <c r="N1481" s="1">
        <f t="shared" si="96"/>
        <v>-9.4959847201592541E-3</v>
      </c>
      <c r="O1481" s="1"/>
    </row>
    <row r="1482" spans="1:15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 s="1">
        <v>-1.4100000000000001E-5</v>
      </c>
      <c r="F1482">
        <v>937820.60179999995</v>
      </c>
      <c r="G1482">
        <v>8665.8565249999992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-3.5979725091128005E-2</v>
      </c>
      <c r="M1482" s="1">
        <f t="shared" si="95"/>
        <v>-6.0766197244565522E-2</v>
      </c>
      <c r="N1482" s="1">
        <f t="shared" si="96"/>
        <v>17474232.865803897</v>
      </c>
      <c r="O1482" s="1"/>
    </row>
    <row r="1483" spans="1:15" x14ac:dyDescent="0.25">
      <c r="A1483">
        <v>2613</v>
      </c>
      <c r="B1483">
        <v>20821.610349999999</v>
      </c>
      <c r="C1483">
        <v>0</v>
      </c>
      <c r="D1483">
        <v>67682.711649999997</v>
      </c>
      <c r="E1483" s="1">
        <v>1.61E-6</v>
      </c>
      <c r="F1483">
        <v>754201.09920000006</v>
      </c>
      <c r="G1483" s="1">
        <v>-3.0800000000000003E-5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0</v>
      </c>
      <c r="M1483" s="1">
        <f t="shared" si="95"/>
        <v>1.048530231860258E-2</v>
      </c>
      <c r="N1483" s="1">
        <f t="shared" si="96"/>
        <v>-9.3853284415413629E-2</v>
      </c>
      <c r="O1483" s="1"/>
    </row>
    <row r="1484" spans="1:15" x14ac:dyDescent="0.25">
      <c r="A1484">
        <v>2614</v>
      </c>
      <c r="B1484">
        <v>22715.506420000002</v>
      </c>
      <c r="C1484">
        <v>0</v>
      </c>
      <c r="D1484">
        <v>320494.9179</v>
      </c>
      <c r="E1484" s="1">
        <v>1.1399999999999999E-5</v>
      </c>
      <c r="F1484">
        <v>962087.60549999995</v>
      </c>
      <c r="G1484">
        <v>8665.8564879999994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0</v>
      </c>
      <c r="M1484" s="1">
        <f t="shared" si="95"/>
        <v>4.4461291087169702E-2</v>
      </c>
      <c r="N1484" s="1">
        <f t="shared" si="96"/>
        <v>15813659.713071713</v>
      </c>
      <c r="O1484" s="1"/>
    </row>
    <row r="1485" spans="1:15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1.3172735869409999E-2</v>
      </c>
      <c r="M1485" s="1">
        <f t="shared" si="95"/>
        <v>-4.9701745722658501E-2</v>
      </c>
      <c r="N1485" s="1">
        <f t="shared" si="96"/>
        <v>-1.5968395735848632E-2</v>
      </c>
      <c r="O1485" s="1"/>
    </row>
    <row r="1486" spans="1:15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-4.7999999999999996E-7</v>
      </c>
      <c r="F1486">
        <v>650085.27049999998</v>
      </c>
      <c r="G1486">
        <v>2075.0919800000001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-2.3226295224307502E-3</v>
      </c>
      <c r="M1486" s="1">
        <f t="shared" si="95"/>
        <v>-4.1545291149940799E-3</v>
      </c>
      <c r="N1486" s="1">
        <f t="shared" si="96"/>
        <v>8403526.9955511559</v>
      </c>
      <c r="O1486" s="1"/>
    </row>
    <row r="1487" spans="1:15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-1.8600000000000001E-5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1.3772761533764999E-2</v>
      </c>
      <c r="M1487" s="1">
        <f t="shared" si="95"/>
        <v>-1.524326868829314E-2</v>
      </c>
      <c r="N1487" s="1">
        <f t="shared" si="96"/>
        <v>-0.13399837529158443</v>
      </c>
      <c r="O1487" s="1"/>
    </row>
    <row r="1488" spans="1:15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 s="1">
        <v>4.99E-5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-5.1228797473360007E-3</v>
      </c>
      <c r="M1488" s="1">
        <f t="shared" si="95"/>
        <v>-2.9551922924017027E-2</v>
      </c>
      <c r="N1488" s="1">
        <f t="shared" si="96"/>
        <v>0.20057256413839059</v>
      </c>
      <c r="O1488" s="1"/>
    </row>
    <row r="1489" spans="1:15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4.1600000000000002E-5</v>
      </c>
      <c r="F1489">
        <v>722388.48389999999</v>
      </c>
      <c r="G1489">
        <v>17130.102009999999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9.7825462491216528E-2</v>
      </c>
      <c r="M1489" s="1">
        <f t="shared" si="95"/>
        <v>0.33370680994558755</v>
      </c>
      <c r="N1489" s="1">
        <f t="shared" si="96"/>
        <v>64294728.406355731</v>
      </c>
      <c r="O1489" s="1"/>
    </row>
    <row r="1490" spans="1:15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 s="1">
        <v>-2.83E-5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-5.4679950140659996E-2</v>
      </c>
      <c r="M1490" s="1">
        <f t="shared" si="95"/>
        <v>-2.1456412435194982E-2</v>
      </c>
      <c r="N1490" s="1">
        <f t="shared" si="96"/>
        <v>-6.0707363106165063E-2</v>
      </c>
      <c r="O1490" s="1"/>
    </row>
    <row r="1491" spans="1:15" x14ac:dyDescent="0.25">
      <c r="A1491">
        <v>2623</v>
      </c>
      <c r="B1491">
        <v>8345.2114569999994</v>
      </c>
      <c r="C1491" s="1">
        <v>9.9999999999999995E-8</v>
      </c>
      <c r="D1491">
        <v>76699.853080000001</v>
      </c>
      <c r="E1491" s="1">
        <v>2.1399999999999998E-6</v>
      </c>
      <c r="F1491">
        <v>651628.10800000001</v>
      </c>
      <c r="G1491">
        <v>1127.162028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2.07832626460875E-3</v>
      </c>
      <c r="M1491" s="1">
        <f t="shared" si="95"/>
        <v>1.4916627214850368E-2</v>
      </c>
      <c r="N1491" s="1">
        <f t="shared" si="96"/>
        <v>3676096.3941650842</v>
      </c>
      <c r="O1491" s="1"/>
    </row>
    <row r="1492" spans="1:15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-4.4100000000000001E-5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5.2098995995344998E-3</v>
      </c>
      <c r="M1492" s="1">
        <f t="shared" si="95"/>
        <v>-1.2755437265691082E-2</v>
      </c>
      <c r="N1492" s="1">
        <f t="shared" si="96"/>
        <v>-0.18027054137404683</v>
      </c>
      <c r="O1492" s="1"/>
    </row>
    <row r="1493" spans="1:15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1.38E-5</v>
      </c>
      <c r="F1493">
        <v>947794.16040000005</v>
      </c>
      <c r="G1493">
        <v>8665.8565319999998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-1.5237868267569999E-2</v>
      </c>
      <c r="M1493" s="1">
        <f t="shared" si="95"/>
        <v>7.0525542917165521E-2</v>
      </c>
      <c r="N1493" s="1">
        <f t="shared" si="96"/>
        <v>20721563.671612702</v>
      </c>
      <c r="O1493" s="1"/>
    </row>
    <row r="1494" spans="1:15" x14ac:dyDescent="0.25">
      <c r="A1494">
        <v>2628</v>
      </c>
      <c r="B1494">
        <v>14772.7618</v>
      </c>
      <c r="C1494">
        <v>0</v>
      </c>
      <c r="D1494">
        <v>65434.05214</v>
      </c>
      <c r="E1494" s="1">
        <v>-2.1799999999999999E-6</v>
      </c>
      <c r="F1494">
        <v>707657.99789999996</v>
      </c>
      <c r="G1494" s="1">
        <v>2.34E-6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0</v>
      </c>
      <c r="M1494" s="1">
        <f t="shared" si="95"/>
        <v>-1.3987418864964648E-2</v>
      </c>
      <c r="N1494" s="1">
        <f t="shared" si="96"/>
        <v>7.0249076986149362E-3</v>
      </c>
      <c r="O1494" s="1"/>
    </row>
    <row r="1495" spans="1:15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-3.0599999999999998E-5</v>
      </c>
      <c r="F1495">
        <v>880748.20149999997</v>
      </c>
      <c r="G1495">
        <v>7538.6944009999997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8.0350608388635003E-2</v>
      </c>
      <c r="M1495" s="1">
        <f t="shared" si="95"/>
        <v>-0.21144096190883879</v>
      </c>
      <c r="N1495" s="1">
        <f t="shared" si="96"/>
        <v>24372917.365202099</v>
      </c>
      <c r="O1495" s="1"/>
    </row>
    <row r="1496" spans="1:15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 s="1">
        <v>-3.4900000000000001E-5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5.6100118530956498E-2</v>
      </c>
      <c r="M1496" s="1">
        <f t="shared" si="95"/>
        <v>-2.2065000466119696E-2</v>
      </c>
      <c r="N1496" s="1">
        <f t="shared" si="96"/>
        <v>-0.13965398737517409</v>
      </c>
      <c r="O1496" s="1"/>
    </row>
    <row r="1497" spans="1:15" x14ac:dyDescent="0.25">
      <c r="A1497">
        <v>2631</v>
      </c>
      <c r="B1497">
        <v>15889.754300000001</v>
      </c>
      <c r="C1497">
        <v>0</v>
      </c>
      <c r="D1497">
        <v>109990.99619999999</v>
      </c>
      <c r="E1497" s="1">
        <v>3.96E-5</v>
      </c>
      <c r="F1497">
        <v>743836.89450000005</v>
      </c>
      <c r="G1497" s="1">
        <v>3.5299999999999997E-5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0</v>
      </c>
      <c r="M1497" s="1">
        <f t="shared" si="95"/>
        <v>0.26358313271453065</v>
      </c>
      <c r="N1497" s="1">
        <f t="shared" si="96"/>
        <v>0.10993622320127178</v>
      </c>
      <c r="O1497" s="1"/>
    </row>
    <row r="1498" spans="1:15" x14ac:dyDescent="0.25">
      <c r="A1498">
        <v>2632</v>
      </c>
      <c r="B1498">
        <v>955.03515000000004</v>
      </c>
      <c r="C1498">
        <v>0</v>
      </c>
      <c r="D1498">
        <v>6031.5395390000003</v>
      </c>
      <c r="E1498" s="1">
        <v>-2.8999999999999998E-7</v>
      </c>
      <c r="F1498">
        <v>59026.262260000003</v>
      </c>
      <c r="G1498" s="1">
        <v>-1.3799999999999999E-6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0</v>
      </c>
      <c r="M1498" s="1">
        <f t="shared" si="95"/>
        <v>-2.7243847559446244E-3</v>
      </c>
      <c r="N1498" s="1">
        <f t="shared" si="96"/>
        <v>-6.0658715319007496E-3</v>
      </c>
      <c r="O1498" s="1"/>
    </row>
    <row r="1499" spans="1:15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-8.8999999999999995E-7</v>
      </c>
      <c r="F1499">
        <v>75236.145000000004</v>
      </c>
      <c r="G1499" s="1">
        <v>2.8200000000000001E-6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-6.3521400232403741E-3</v>
      </c>
      <c r="M1499" s="1">
        <f t="shared" si="95"/>
        <v>-3.8695202741258947E-3</v>
      </c>
      <c r="N1499" s="1">
        <f t="shared" si="96"/>
        <v>5.7366705063888902E-3</v>
      </c>
      <c r="O1499" s="1"/>
    </row>
    <row r="1500" spans="1:15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2.7100000000000001E-5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6.8466224868015003E-3</v>
      </c>
      <c r="M1500" s="1">
        <f t="shared" si="95"/>
        <v>2.0842901402423883E-2</v>
      </c>
      <c r="N1500" s="1">
        <f t="shared" si="96"/>
        <v>7.4656543897501815E-2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-2.1671021908087462E-2</v>
      </c>
      <c r="N1501" s="1">
        <f t="shared" si="96"/>
        <v>-3.7841765133388321E-2</v>
      </c>
      <c r="O1501" s="1"/>
    </row>
    <row r="1502" spans="1:15" x14ac:dyDescent="0.25">
      <c r="A1502">
        <v>2638</v>
      </c>
      <c r="B1502">
        <v>11230.07372</v>
      </c>
      <c r="C1502" s="1">
        <v>-3.9999999999999998E-7</v>
      </c>
      <c r="D1502">
        <v>43427.750160000003</v>
      </c>
      <c r="E1502" s="1">
        <v>3.3999999999999997E-7</v>
      </c>
      <c r="F1502">
        <v>276552.37170000002</v>
      </c>
      <c r="G1502" s="1">
        <v>2.3600000000000001E-5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-3.8267806512389999E-3</v>
      </c>
      <c r="M1502" s="1">
        <f t="shared" si="95"/>
        <v>1.090926853345518E-3</v>
      </c>
      <c r="N1502" s="1">
        <f t="shared" si="96"/>
        <v>3.5430101475625086E-2</v>
      </c>
      <c r="O1502" s="1"/>
    </row>
    <row r="1503" spans="1:15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-3.7499999999999997E-5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-7.5234847262152498E-3</v>
      </c>
      <c r="M1503" s="1">
        <f t="shared" si="95"/>
        <v>3.5241545736510421E-2</v>
      </c>
      <c r="N1503" s="1">
        <f t="shared" si="96"/>
        <v>-0.14757604655268375</v>
      </c>
      <c r="O1503" s="1"/>
    </row>
    <row r="1504" spans="1:15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-8.9999999999999999E-8</v>
      </c>
      <c r="F1504">
        <v>147273.20129999999</v>
      </c>
      <c r="G1504" s="1">
        <v>-2.5700000000000001E-5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8.544024817574998E-3</v>
      </c>
      <c r="M1504" s="1">
        <f t="shared" si="95"/>
        <v>-1.28949051477555E-3</v>
      </c>
      <c r="N1504" s="1">
        <f t="shared" si="96"/>
        <v>-0.17228697428300851</v>
      </c>
      <c r="O1504" s="1"/>
    </row>
    <row r="1505" spans="1:15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5.6632677862994999E-3</v>
      </c>
      <c r="M1505" s="1">
        <f t="shared" si="95"/>
        <v>3.9791862010474521E-2</v>
      </c>
      <c r="N1505" s="1">
        <f t="shared" si="96"/>
        <v>1.2708372912456078E-2</v>
      </c>
      <c r="O1505" s="1"/>
    </row>
    <row r="1506" spans="1:15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3.7699999999999999E-6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6.1305195141384992E-3</v>
      </c>
      <c r="M1506" s="1">
        <f t="shared" si="95"/>
        <v>-2.0663623390040058E-2</v>
      </c>
      <c r="N1506" s="1">
        <f t="shared" si="96"/>
        <v>1.8134076722821683E-2</v>
      </c>
      <c r="O1506" s="1"/>
    </row>
    <row r="1507" spans="1:15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1.61E-6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-2.8128494319575002E-2</v>
      </c>
      <c r="M1507" s="1">
        <f t="shared" si="95"/>
        <v>2.056582406220742E-2</v>
      </c>
      <c r="N1507" s="1">
        <f t="shared" si="96"/>
        <v>1.4213111806648021E-2</v>
      </c>
      <c r="O1507" s="1"/>
    </row>
    <row r="1508" spans="1:15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-2.62E-5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-7.7070264758071E-3</v>
      </c>
      <c r="M1508" s="1">
        <f t="shared" si="95"/>
        <v>-3.4186304040081318E-3</v>
      </c>
      <c r="N1508" s="1">
        <f t="shared" si="96"/>
        <v>-0.10221467768708137</v>
      </c>
      <c r="O1508" s="1"/>
    </row>
    <row r="1509" spans="1:15" x14ac:dyDescent="0.25">
      <c r="A1509">
        <v>2647</v>
      </c>
      <c r="B1509">
        <v>8930.063881</v>
      </c>
      <c r="C1509" s="1">
        <v>-3.1E-7</v>
      </c>
      <c r="D1509">
        <v>60750.298179999998</v>
      </c>
      <c r="E1509" s="1">
        <v>-3.1E-7</v>
      </c>
      <c r="F1509">
        <v>273979.99609999999</v>
      </c>
      <c r="G1509" s="1">
        <v>5.4E-6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-6.6712192345870502E-3</v>
      </c>
      <c r="M1509" s="1">
        <f t="shared" si="95"/>
        <v>-2.2374242971384259E-3</v>
      </c>
      <c r="N1509" s="1">
        <f t="shared" si="96"/>
        <v>1.8235769500796761E-2</v>
      </c>
      <c r="O1509" s="1"/>
    </row>
    <row r="1510" spans="1:15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>
        <v>8665.8564970000007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-2.7779066595149674E-2</v>
      </c>
      <c r="M1510" s="1">
        <f t="shared" si="95"/>
        <v>3.0652560647646192E-2</v>
      </c>
      <c r="N1510" s="1">
        <f t="shared" si="96"/>
        <v>28836640.379196361</v>
      </c>
      <c r="O1510" s="1"/>
    </row>
    <row r="1511" spans="1:15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-2.8499999999999998E-6</v>
      </c>
      <c r="F1511">
        <v>688158.57629999996</v>
      </c>
      <c r="G1511">
        <v>8665.8565290000006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-6.0621139264963868E-2</v>
      </c>
      <c r="M1511" s="1">
        <f t="shared" si="95"/>
        <v>-2.1381727973501023E-2</v>
      </c>
      <c r="N1511" s="1">
        <f t="shared" si="96"/>
        <v>30419572.94377517</v>
      </c>
      <c r="O1511" s="1"/>
    </row>
    <row r="1512" spans="1:15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 s="1">
        <v>8.1300000000000001E-6</v>
      </c>
      <c r="F1512">
        <v>1076702.3910000001</v>
      </c>
      <c r="G1512">
        <v>5601.6964859999998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-7.8341925133744994E-3</v>
      </c>
      <c r="M1512" s="1">
        <f t="shared" si="95"/>
        <v>3.6205613452813978E-2</v>
      </c>
      <c r="N1512" s="1">
        <f t="shared" si="96"/>
        <v>11672089.712196559</v>
      </c>
      <c r="O1512" s="1"/>
    </row>
    <row r="1513" spans="1:15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 s="1">
        <v>-3.5800000000000003E-5</v>
      </c>
      <c r="F1513">
        <v>1000574.583</v>
      </c>
      <c r="G1513">
        <v>9618.2232789999998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-9.6713647235741277E-3</v>
      </c>
      <c r="M1513" s="1">
        <f t="shared" si="95"/>
        <v>-0.11729479230561292</v>
      </c>
      <c r="N1513" s="1">
        <f t="shared" si="96"/>
        <v>14744642.149255581</v>
      </c>
      <c r="O1513" s="1"/>
    </row>
    <row r="1514" spans="1:15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2.5700000000000001E-5</v>
      </c>
      <c r="F1514">
        <v>755375.74580000003</v>
      </c>
      <c r="G1514" s="1">
        <v>-2.76E-5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7.4179084941340276E-2</v>
      </c>
      <c r="M1514" s="1">
        <f t="shared" si="95"/>
        <v>0.15944590112885212</v>
      </c>
      <c r="N1514" s="1">
        <f t="shared" si="96"/>
        <v>-8.0118534405087732E-2</v>
      </c>
      <c r="O1514" s="1"/>
    </row>
    <row r="1515" spans="1:15" x14ac:dyDescent="0.25">
      <c r="A1515">
        <v>2655</v>
      </c>
      <c r="B1515">
        <v>4148.2722059999996</v>
      </c>
      <c r="C1515" s="1">
        <v>1E-8</v>
      </c>
      <c r="D1515">
        <v>35214.756549999998</v>
      </c>
      <c r="E1515" s="1">
        <v>-3.0900000000000001E-6</v>
      </c>
      <c r="F1515">
        <v>367468.70380000002</v>
      </c>
      <c r="G1515" s="1">
        <v>-3.04E-5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3.2253192430842502E-4</v>
      </c>
      <c r="M1515" s="1">
        <f t="shared" si="95"/>
        <v>-3.3425223823483272E-2</v>
      </c>
      <c r="N1515" s="1">
        <f t="shared" si="96"/>
        <v>-0.15386261398393297</v>
      </c>
      <c r="O1515" s="1"/>
    </row>
    <row r="1516" spans="1:15" x14ac:dyDescent="0.25">
      <c r="A1516">
        <v>2656</v>
      </c>
      <c r="B1516">
        <v>6972.6067750000002</v>
      </c>
      <c r="C1516">
        <v>0</v>
      </c>
      <c r="D1516">
        <v>51182.243990000003</v>
      </c>
      <c r="E1516" s="1">
        <v>-3.89E-6</v>
      </c>
      <c r="F1516">
        <v>484597.30680000002</v>
      </c>
      <c r="G1516" s="1">
        <v>-4.1100000000000003E-5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0</v>
      </c>
      <c r="M1516" s="1">
        <f t="shared" si="95"/>
        <v>-1.7584338900343444E-2</v>
      </c>
      <c r="N1516" s="1">
        <f t="shared" si="96"/>
        <v>-8.6928451614372057E-2</v>
      </c>
      <c r="O1516" s="1"/>
    </row>
    <row r="1517" spans="1:15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-2.2900000000000001E-5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5.9475877947329997E-3</v>
      </c>
      <c r="M1517" s="1">
        <f t="shared" si="95"/>
        <v>-1.1236975873515548E-2</v>
      </c>
      <c r="N1517" s="1">
        <f t="shared" si="96"/>
        <v>-7.1242951645832525E-2</v>
      </c>
      <c r="O1517" s="1"/>
    </row>
    <row r="1518" spans="1:15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2.5399999999999998E-6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5.1745646706974997E-3</v>
      </c>
      <c r="M1518" s="1">
        <f t="shared" si="95"/>
        <v>1.3102793833078484E-2</v>
      </c>
      <c r="N1518" s="1">
        <f t="shared" si="96"/>
        <v>1.031250934526391E-2</v>
      </c>
      <c r="O1518" s="1"/>
    </row>
    <row r="1519" spans="1:15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>
        <v>0</v>
      </c>
      <c r="F1519">
        <v>55543.967429999997</v>
      </c>
      <c r="G1519" s="1">
        <v>-1.5799999999999999E-6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3.3733299600975006E-3</v>
      </c>
      <c r="M1519" s="1">
        <f t="shared" si="95"/>
        <v>0</v>
      </c>
      <c r="N1519" s="1">
        <f t="shared" si="96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>
        <v>0</v>
      </c>
      <c r="D1520">
        <v>23400.09259</v>
      </c>
      <c r="E1520" s="1">
        <v>2.3099999999999999E-6</v>
      </c>
      <c r="F1520">
        <v>144472.59299999999</v>
      </c>
      <c r="G1520" s="1">
        <v>-3.7700000000000002E-5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0</v>
      </c>
      <c r="M1520" s="1">
        <f t="shared" si="95"/>
        <v>2.7939798126542608E-2</v>
      </c>
      <c r="N1520" s="1">
        <f t="shared" si="96"/>
        <v>-0.21335180053974931</v>
      </c>
      <c r="O1520" s="1"/>
    </row>
    <row r="1521" spans="1:15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>
        <v>16403.902099999999</v>
      </c>
      <c r="F1521">
        <v>1168832.662</v>
      </c>
      <c r="G1521">
        <v>10780.8601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1.1153629820762002E-2</v>
      </c>
      <c r="M1521" s="1">
        <f t="shared" si="95"/>
        <v>27892269.410764787</v>
      </c>
      <c r="N1521" s="1">
        <f t="shared" si="96"/>
        <v>8576967.6334908865</v>
      </c>
      <c r="O1521" s="1"/>
    </row>
    <row r="1522" spans="1:15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>
        <v>12626.61198</v>
      </c>
      <c r="F1522">
        <v>1122352.827</v>
      </c>
      <c r="G1522">
        <v>13882.3181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1.4596598957121999E-2</v>
      </c>
      <c r="M1522" s="1">
        <f t="shared" si="95"/>
        <v>22076164.227756575</v>
      </c>
      <c r="N1522" s="1">
        <f t="shared" si="96"/>
        <v>11356446.291149111</v>
      </c>
      <c r="O1522" s="1"/>
    </row>
    <row r="1523" spans="1:15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>
        <v>9370.6911319999999</v>
      </c>
      <c r="F1523">
        <v>985686.48719999997</v>
      </c>
      <c r="G1523">
        <v>20241.183799999999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3.8477407464015005E-2</v>
      </c>
      <c r="M1523" s="1">
        <f t="shared" si="95"/>
        <v>52576627.690552719</v>
      </c>
      <c r="N1523" s="1">
        <f t="shared" si="96"/>
        <v>53137447.636063673</v>
      </c>
      <c r="O1523" s="1"/>
    </row>
    <row r="1524" spans="1:15" x14ac:dyDescent="0.25">
      <c r="A1524">
        <v>2702</v>
      </c>
      <c r="B1524">
        <v>425740.00020000001</v>
      </c>
      <c r="C1524">
        <v>684.75643739999998</v>
      </c>
      <c r="D1524">
        <v>941538.07109999994</v>
      </c>
      <c r="E1524">
        <v>18315.00087</v>
      </c>
      <c r="F1524">
        <v>1411547.01</v>
      </c>
      <c r="G1524">
        <v>6595.8302549999999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2358701.8505472043</v>
      </c>
      <c r="M1524" s="1">
        <f t="shared" si="95"/>
        <v>21158603.714592274</v>
      </c>
      <c r="N1524" s="1">
        <f t="shared" si="96"/>
        <v>3565276.4426572965</v>
      </c>
      <c r="O1524" s="1"/>
    </row>
    <row r="1525" spans="1:15" x14ac:dyDescent="0.25">
      <c r="A1525">
        <v>2703</v>
      </c>
      <c r="B1525">
        <v>8388.5535469999995</v>
      </c>
      <c r="C1525" s="1">
        <v>7.0000000000000005E-8</v>
      </c>
      <c r="D1525">
        <v>306527.68089999998</v>
      </c>
      <c r="E1525" s="1">
        <v>-3.7700000000000002E-5</v>
      </c>
      <c r="F1525">
        <v>918165.39800000004</v>
      </c>
      <c r="G1525">
        <v>17106.89416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9.2221803482217513E-4</v>
      </c>
      <c r="M1525" s="1">
        <f t="shared" si="95"/>
        <v>-0.16657892617559403</v>
      </c>
      <c r="N1525" s="1">
        <f t="shared" si="96"/>
        <v>35366619.869074866</v>
      </c>
      <c r="O1525" s="1"/>
    </row>
    <row r="1526" spans="1:15" x14ac:dyDescent="0.25">
      <c r="A1526">
        <v>2704</v>
      </c>
      <c r="B1526">
        <v>25825.07764</v>
      </c>
      <c r="C1526" s="1">
        <v>-3.01E-6</v>
      </c>
      <c r="D1526">
        <v>636907.76560000004</v>
      </c>
      <c r="E1526">
        <v>8665.8564640000004</v>
      </c>
      <c r="F1526">
        <v>1083670.6399999999</v>
      </c>
      <c r="G1526">
        <v>18900.91288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-1.9802850989997074E-2</v>
      </c>
      <c r="M1526" s="1">
        <f t="shared" si="95"/>
        <v>19121231.182259291</v>
      </c>
      <c r="N1526" s="1">
        <f t="shared" si="96"/>
        <v>19513304.398891263</v>
      </c>
      <c r="O1526" s="1"/>
    </row>
    <row r="1527" spans="1:15" x14ac:dyDescent="0.25">
      <c r="A1527">
        <v>2705</v>
      </c>
      <c r="B1527">
        <v>29013.265749999999</v>
      </c>
      <c r="C1527" s="1">
        <v>1.3E-6</v>
      </c>
      <c r="D1527">
        <v>636430.74399999995</v>
      </c>
      <c r="E1527">
        <v>594.94634069999995</v>
      </c>
      <c r="F1527">
        <v>1061271.909</v>
      </c>
      <c r="G1527">
        <v>15847.908390000001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1.2736294613295503E-2</v>
      </c>
      <c r="M1527" s="1">
        <f t="shared" si="95"/>
        <v>1954882.5900450731</v>
      </c>
      <c r="N1527" s="1">
        <f t="shared" si="96"/>
        <v>24364556.552041274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 s="1">
        <v>-9.1500000000000005E-6</v>
      </c>
      <c r="F1528">
        <v>828437.98549999995</v>
      </c>
      <c r="G1528">
        <v>16403.902099999999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-1.6402939310422457E-2</v>
      </c>
      <c r="N1528" s="1">
        <f t="shared" si="96"/>
        <v>13759144.473475695</v>
      </c>
      <c r="O1528" s="1"/>
    </row>
    <row r="1529" spans="1:15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>
        <v>1882.282453</v>
      </c>
      <c r="F1529">
        <v>1031576.595</v>
      </c>
      <c r="G1529">
        <v>15584.59051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-3.3454856241751103E-2</v>
      </c>
      <c r="M1529" s="1">
        <f t="shared" si="95"/>
        <v>6266963.968949494</v>
      </c>
      <c r="N1529" s="1">
        <f t="shared" si="96"/>
        <v>24277920.100460202</v>
      </c>
      <c r="O1529" s="1"/>
    </row>
    <row r="1530" spans="1:15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>
        <v>1127.162071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7.2867915139542246E-3</v>
      </c>
      <c r="M1530" s="1">
        <f t="shared" si="95"/>
        <v>2.9426283344577467E-3</v>
      </c>
      <c r="N1530" s="1">
        <f t="shared" si="96"/>
        <v>2630349.4235761845</v>
      </c>
      <c r="O1530" s="1"/>
    </row>
    <row r="1531" spans="1:15" x14ac:dyDescent="0.25">
      <c r="A1531">
        <v>2709</v>
      </c>
      <c r="B1531">
        <v>3819.1996720000002</v>
      </c>
      <c r="C1531">
        <v>0</v>
      </c>
      <c r="D1531">
        <v>27562.909820000001</v>
      </c>
      <c r="E1531" s="1">
        <v>-4.3000000000000003E-6</v>
      </c>
      <c r="F1531">
        <v>477632.16590000002</v>
      </c>
      <c r="G1531" s="1">
        <v>-1.8E-5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0</v>
      </c>
      <c r="M1531" s="1">
        <f t="shared" si="95"/>
        <v>-2.2113136645033712E-2</v>
      </c>
      <c r="N1531" s="1">
        <f t="shared" si="96"/>
        <v>-4.3310986644209404E-2</v>
      </c>
      <c r="O1531" s="1"/>
    </row>
    <row r="1532" spans="1:15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 s="1">
        <v>3.4799999999999999E-5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-3.0678278947680001E-3</v>
      </c>
      <c r="M1532" s="1">
        <f t="shared" si="95"/>
        <v>-6.516381097502081E-3</v>
      </c>
      <c r="N1532" s="1">
        <f t="shared" si="96"/>
        <v>5.5843907155223048E-2</v>
      </c>
      <c r="O1532" s="1"/>
    </row>
    <row r="1533" spans="1:15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3.4400000000000003E-5</v>
      </c>
      <c r="F1533">
        <v>839296.03330000001</v>
      </c>
      <c r="G1533">
        <v>16403.90206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2.1031321983912502E-2</v>
      </c>
      <c r="M1533" s="1">
        <f t="shared" si="95"/>
        <v>9.3324313503998002E-2</v>
      </c>
      <c r="N1533" s="1">
        <f t="shared" si="96"/>
        <v>20822228.457796097</v>
      </c>
      <c r="O1533" s="1"/>
    </row>
    <row r="1534" spans="1:15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 s="1">
        <v>2.4199999999999999E-5</v>
      </c>
      <c r="F1534">
        <v>937190.68590000004</v>
      </c>
      <c r="G1534">
        <v>10955.229660000001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3.5152959741185E-2</v>
      </c>
      <c r="M1534" s="1">
        <f t="shared" si="95"/>
        <v>6.4843690353355091E-2</v>
      </c>
      <c r="N1534" s="1">
        <f t="shared" si="96"/>
        <v>13734647.627177769</v>
      </c>
      <c r="O1534" s="1"/>
    </row>
    <row r="1535" spans="1:15" x14ac:dyDescent="0.25">
      <c r="A1535">
        <v>2713</v>
      </c>
      <c r="B1535">
        <v>12380.487789999999</v>
      </c>
      <c r="C1535">
        <v>0</v>
      </c>
      <c r="D1535">
        <v>106681.13529999999</v>
      </c>
      <c r="E1535" s="1">
        <v>-4.5000000000000001E-6</v>
      </c>
      <c r="F1535">
        <v>762532.4669</v>
      </c>
      <c r="G1535">
        <v>16403.90207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0</v>
      </c>
      <c r="M1535" s="1">
        <f t="shared" si="95"/>
        <v>-4.5579294776613148E-2</v>
      </c>
      <c r="N1535" s="1">
        <f t="shared" si="96"/>
        <v>77740250.121705323</v>
      </c>
      <c r="O1535" s="1"/>
    </row>
    <row r="1536" spans="1:15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>
        <v>0</v>
      </c>
      <c r="F1536">
        <v>647476.4118</v>
      </c>
      <c r="G1536" s="1">
        <v>-4.1300000000000001E-5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4.8983091024139992E-3</v>
      </c>
      <c r="M1536" s="1">
        <f t="shared" si="95"/>
        <v>0</v>
      </c>
      <c r="N1536" s="1">
        <f t="shared" si="96"/>
        <v>-7.9363911249343139E-2</v>
      </c>
      <c r="O1536" s="1"/>
    </row>
    <row r="1537" spans="1:15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 s="1">
        <v>-1.5800000000000001E-5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-3.6921296411804999E-3</v>
      </c>
      <c r="M1537" s="1">
        <f t="shared" si="95"/>
        <v>5.5722756584585705E-3</v>
      </c>
      <c r="N1537" s="1">
        <f t="shared" si="96"/>
        <v>-4.5771047151742274E-2</v>
      </c>
      <c r="O1537" s="1"/>
    </row>
    <row r="1538" spans="1:15" x14ac:dyDescent="0.25">
      <c r="A1538">
        <v>2718</v>
      </c>
      <c r="B1538">
        <v>20193.95796</v>
      </c>
      <c r="C1538">
        <v>0</v>
      </c>
      <c r="D1538">
        <v>62690.958740000002</v>
      </c>
      <c r="E1538" s="1">
        <v>1.4100000000000001E-6</v>
      </c>
      <c r="F1538">
        <v>490734.4877</v>
      </c>
      <c r="G1538" s="1">
        <v>4.9799999999999998E-5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0</v>
      </c>
      <c r="M1538" s="1">
        <f t="shared" si="95"/>
        <v>1.0166673154191928E-2</v>
      </c>
      <c r="N1538" s="1">
        <f t="shared" si="96"/>
        <v>0.16800908632322636</v>
      </c>
      <c r="O1538" s="1"/>
    </row>
    <row r="1539" spans="1:15" x14ac:dyDescent="0.25">
      <c r="A1539">
        <v>2719</v>
      </c>
      <c r="B1539">
        <v>13285.99884</v>
      </c>
      <c r="C1539">
        <v>0</v>
      </c>
      <c r="D1539">
        <v>80649.985449999993</v>
      </c>
      <c r="E1539" s="1">
        <v>-4.8999999999999997E-7</v>
      </c>
      <c r="F1539">
        <v>709040.32440000004</v>
      </c>
      <c r="G1539">
        <v>632.16770199999996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0</v>
      </c>
      <c r="M1539" s="1">
        <f t="shared" ref="M1539:M1602" si="99">$U$3*$K1539*E1539</f>
        <v>-2.176247412518081E-3</v>
      </c>
      <c r="N1539" s="1">
        <f t="shared" ref="N1539:N1602" si="100">$U$4*$K1539*G1539</f>
        <v>1313675.7089216453</v>
      </c>
      <c r="O1539" s="1"/>
    </row>
    <row r="1540" spans="1:15" x14ac:dyDescent="0.25">
      <c r="A1540">
        <v>2720</v>
      </c>
      <c r="B1540">
        <v>15504.891949999999</v>
      </c>
      <c r="C1540">
        <v>0</v>
      </c>
      <c r="D1540">
        <v>62562.446279999996</v>
      </c>
      <c r="E1540" s="1">
        <v>-4.2899999999999996E-6</v>
      </c>
      <c r="F1540">
        <v>578597.91810000001</v>
      </c>
      <c r="G1540" s="1">
        <v>-3.3300000000000003E-5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0</v>
      </c>
      <c r="M1540" s="1">
        <f t="shared" si="99"/>
        <v>-4.5364646207995678E-2</v>
      </c>
      <c r="N1540" s="1">
        <f t="shared" si="100"/>
        <v>-0.1647586207631126</v>
      </c>
      <c r="O1540" s="1"/>
    </row>
    <row r="1541" spans="1:15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 s="1">
        <v>3.9799999999999998E-5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-1.2761662211675E-2</v>
      </c>
      <c r="M1541" s="1">
        <f t="shared" si="99"/>
        <v>2.015910696262101E-2</v>
      </c>
      <c r="N1541" s="1">
        <f t="shared" si="100"/>
        <v>7.9703452176178191E-2</v>
      </c>
      <c r="O1541" s="1"/>
    </row>
    <row r="1542" spans="1:15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 s="1">
        <v>-4.8199999999999999E-5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-3.026864051484E-2</v>
      </c>
      <c r="M1542" s="1">
        <f t="shared" si="99"/>
        <v>1.8323703624899067E-2</v>
      </c>
      <c r="N1542" s="1">
        <f t="shared" si="100"/>
        <v>-0.11447134171319952</v>
      </c>
      <c r="O1542" s="1"/>
    </row>
    <row r="1543" spans="1:15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 s="1">
        <v>3.7700000000000002E-5</v>
      </c>
      <c r="F1543">
        <v>946962.74210000003</v>
      </c>
      <c r="G1543">
        <v>16403.902119999999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-6.1698783036871492E-2</v>
      </c>
      <c r="M1543" s="1">
        <f t="shared" si="99"/>
        <v>0.15953362223276141</v>
      </c>
      <c r="N1543" s="1">
        <f t="shared" si="100"/>
        <v>32478930.74774754</v>
      </c>
      <c r="O1543" s="1"/>
    </row>
    <row r="1544" spans="1:15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 s="1">
        <v>-9.0699999999999996E-6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7.9377214889670769E-2</v>
      </c>
      <c r="M1544" s="1">
        <f t="shared" si="99"/>
        <v>9.9677334103673142E-3</v>
      </c>
      <c r="N1544" s="1">
        <f t="shared" si="100"/>
        <v>-2.6273716129885511E-2</v>
      </c>
      <c r="O1544" s="1"/>
    </row>
    <row r="1545" spans="1:15" x14ac:dyDescent="0.25">
      <c r="A1545">
        <v>2725</v>
      </c>
      <c r="B1545">
        <v>32112.014429999999</v>
      </c>
      <c r="C1545" s="1">
        <v>-3.9000000000000002E-7</v>
      </c>
      <c r="D1545">
        <v>367702.76659999997</v>
      </c>
      <c r="E1545" s="1">
        <v>-2.4300000000000001E-5</v>
      </c>
      <c r="F1545">
        <v>937441.35560000001</v>
      </c>
      <c r="G1545">
        <v>16403.90207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-5.9599615871493757E-3</v>
      </c>
      <c r="M1545" s="1">
        <f t="shared" si="99"/>
        <v>-0.12454556414897476</v>
      </c>
      <c r="N1545" s="1">
        <f t="shared" si="100"/>
        <v>39338050.785361469</v>
      </c>
      <c r="O1545" s="1"/>
    </row>
    <row r="1546" spans="1:15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>
        <v>0</v>
      </c>
      <c r="F1546">
        <v>916635.02099999995</v>
      </c>
      <c r="G1546">
        <v>23091.443039999998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4.1266987152312994E-3</v>
      </c>
      <c r="M1546" s="1">
        <f t="shared" si="99"/>
        <v>0</v>
      </c>
      <c r="N1546" s="1">
        <f t="shared" si="100"/>
        <v>87961318.454773605</v>
      </c>
      <c r="O1546" s="1"/>
    </row>
    <row r="1547" spans="1:15" x14ac:dyDescent="0.25">
      <c r="A1547">
        <v>2729</v>
      </c>
      <c r="B1547">
        <v>18597.072759999999</v>
      </c>
      <c r="C1547" s="1">
        <v>7.9999999999999996E-7</v>
      </c>
      <c r="D1547">
        <v>340240.69589999999</v>
      </c>
      <c r="E1547" s="1">
        <v>1.77E-5</v>
      </c>
      <c r="F1547">
        <v>979750.39939999999</v>
      </c>
      <c r="G1547">
        <v>17122.665590000001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1.4870977866706001E-2</v>
      </c>
      <c r="M1547" s="1">
        <f t="shared" si="99"/>
        <v>0.11034837537783032</v>
      </c>
      <c r="N1547" s="1">
        <f t="shared" si="100"/>
        <v>49946807.043857008</v>
      </c>
      <c r="O1547" s="1"/>
    </row>
    <row r="1548" spans="1:15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3.9000000000000002E-7</v>
      </c>
      <c r="F1548">
        <v>601630.18909999996</v>
      </c>
      <c r="G1548">
        <v>1127.162057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5.5139815099914998E-3</v>
      </c>
      <c r="M1548" s="1">
        <f t="shared" si="99"/>
        <v>3.6061439075344408E-3</v>
      </c>
      <c r="N1548" s="1">
        <f t="shared" si="100"/>
        <v>4876502.8891409421</v>
      </c>
      <c r="O1548" s="1"/>
    </row>
    <row r="1549" spans="1:15" x14ac:dyDescent="0.25">
      <c r="A1549">
        <v>2731</v>
      </c>
      <c r="B1549">
        <v>9251.2660410000008</v>
      </c>
      <c r="C1549" s="1">
        <v>3.9999999999999998E-7</v>
      </c>
      <c r="D1549">
        <v>81611.776379999996</v>
      </c>
      <c r="E1549" s="1">
        <v>-2.0899999999999999E-6</v>
      </c>
      <c r="F1549">
        <v>648416.3996</v>
      </c>
      <c r="G1549">
        <v>9298.0242149999995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6.5470286128779991E-3</v>
      </c>
      <c r="M1549" s="1">
        <f t="shared" si="99"/>
        <v>-1.1472912217690284E-2</v>
      </c>
      <c r="N1549" s="1">
        <f t="shared" si="100"/>
        <v>23881507.380928557</v>
      </c>
      <c r="O1549" s="1"/>
    </row>
    <row r="1550" spans="1:15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2.73E-5</v>
      </c>
      <c r="F1550">
        <v>720654.62419999996</v>
      </c>
      <c r="G1550">
        <v>16403.90208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-6.5549291889968581E-2</v>
      </c>
      <c r="M1550" s="1">
        <f t="shared" si="99"/>
        <v>0.21207396344330467</v>
      </c>
      <c r="N1550" s="1">
        <f t="shared" si="100"/>
        <v>59623237.232286505</v>
      </c>
      <c r="O1550" s="1"/>
    </row>
    <row r="1551" spans="1:15" x14ac:dyDescent="0.25">
      <c r="A1551">
        <v>2733</v>
      </c>
      <c r="B1551">
        <v>4618.554016</v>
      </c>
      <c r="C1551" s="1">
        <v>-9.9999999999999995E-8</v>
      </c>
      <c r="D1551">
        <v>45504.538560000001</v>
      </c>
      <c r="E1551" s="1">
        <v>-4.69E-6</v>
      </c>
      <c r="F1551">
        <v>351169.75400000002</v>
      </c>
      <c r="G1551" s="1">
        <v>7.6199999999999999E-6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-1.2900934107782501E-3</v>
      </c>
      <c r="M1551" s="1">
        <f t="shared" si="99"/>
        <v>-2.0292573923813822E-2</v>
      </c>
      <c r="N1551" s="1">
        <f t="shared" si="100"/>
        <v>1.5426341578358264E-2</v>
      </c>
      <c r="O1551" s="1"/>
    </row>
    <row r="1552" spans="1:15" x14ac:dyDescent="0.25">
      <c r="A1552">
        <v>2736</v>
      </c>
      <c r="B1552">
        <v>39128.527220000004</v>
      </c>
      <c r="C1552" s="1">
        <v>-2.6E-7</v>
      </c>
      <c r="D1552">
        <v>430755.3149</v>
      </c>
      <c r="E1552" s="1">
        <v>1.91E-5</v>
      </c>
      <c r="F1552">
        <v>974259.37600000005</v>
      </c>
      <c r="G1552">
        <v>9754.8225660000007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-3.5937927179849499E-3</v>
      </c>
      <c r="M1552" s="1">
        <f t="shared" si="99"/>
        <v>8.8543397154708478E-2</v>
      </c>
      <c r="N1552" s="1">
        <f t="shared" si="100"/>
        <v>21158548.230168395</v>
      </c>
      <c r="O1552" s="1"/>
    </row>
    <row r="1553" spans="1:15" x14ac:dyDescent="0.25">
      <c r="A1553">
        <v>2737</v>
      </c>
      <c r="B1553">
        <v>22221.072069999998</v>
      </c>
      <c r="C1553">
        <v>0</v>
      </c>
      <c r="D1553">
        <v>55785.996019999999</v>
      </c>
      <c r="E1553" s="1">
        <v>-4.7899999999999999E-6</v>
      </c>
      <c r="F1553">
        <v>675373.7426</v>
      </c>
      <c r="G1553">
        <v>1882.2823880000001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0</v>
      </c>
      <c r="M1553" s="1">
        <f t="shared" si="99"/>
        <v>-1.3463165771860195E-2</v>
      </c>
      <c r="N1553" s="1">
        <f t="shared" si="100"/>
        <v>2475370.0767538268</v>
      </c>
      <c r="O1553" s="1"/>
    </row>
    <row r="1554" spans="1:15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 s="1">
        <v>-3.4E-5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4.9379368539670003E-2</v>
      </c>
      <c r="M1554" s="1">
        <f t="shared" si="99"/>
        <v>-4.5128944432293785E-3</v>
      </c>
      <c r="N1554" s="1">
        <f t="shared" si="100"/>
        <v>-6.5864480805990597E-2</v>
      </c>
      <c r="O1554" s="1"/>
    </row>
    <row r="1555" spans="1:15" x14ac:dyDescent="0.25">
      <c r="A1555">
        <v>2739</v>
      </c>
      <c r="B1555">
        <v>16946.8109</v>
      </c>
      <c r="C1555" s="1">
        <v>5.9999999999999997E-7</v>
      </c>
      <c r="D1555">
        <v>39776.07258</v>
      </c>
      <c r="E1555" s="1">
        <v>2.7999999999999999E-6</v>
      </c>
      <c r="F1555">
        <v>282959.43930000003</v>
      </c>
      <c r="G1555" s="1">
        <v>1.45E-5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1.1650817039042999E-2</v>
      </c>
      <c r="M1555" s="1">
        <f t="shared" si="99"/>
        <v>1.8235022360594478E-2</v>
      </c>
      <c r="N1555" s="1">
        <f t="shared" si="100"/>
        <v>4.4183483078832304E-2</v>
      </c>
      <c r="O1555" s="1"/>
    </row>
    <row r="1556" spans="1:15" x14ac:dyDescent="0.25">
      <c r="A1556">
        <v>2740</v>
      </c>
      <c r="B1556">
        <v>22907.432280000001</v>
      </c>
      <c r="C1556">
        <v>0</v>
      </c>
      <c r="D1556">
        <v>68487.655660000004</v>
      </c>
      <c r="E1556" s="1">
        <v>-4.9599999999999999E-6</v>
      </c>
      <c r="F1556">
        <v>676231.48739999998</v>
      </c>
      <c r="G1556">
        <v>594.94630080000002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0</v>
      </c>
      <c r="M1556" s="1">
        <f t="shared" si="99"/>
        <v>-5.8081199984491528E-3</v>
      </c>
      <c r="N1556" s="1">
        <f t="shared" si="100"/>
        <v>325968.28738471272</v>
      </c>
      <c r="O1556" s="1"/>
    </row>
    <row r="1557" spans="1:15" x14ac:dyDescent="0.25">
      <c r="A1557">
        <v>2741</v>
      </c>
      <c r="B1557">
        <v>16569.181329999999</v>
      </c>
      <c r="C1557" s="1">
        <v>-3.9999999999999998E-7</v>
      </c>
      <c r="D1557">
        <v>51233.807099999998</v>
      </c>
      <c r="E1557">
        <v>0</v>
      </c>
      <c r="F1557">
        <v>370071.96169999999</v>
      </c>
      <c r="G1557" s="1">
        <v>-3.6000000000000001E-5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-5.8242362801090002E-3</v>
      </c>
      <c r="M1557" s="1">
        <f t="shared" si="99"/>
        <v>0</v>
      </c>
      <c r="N1557" s="1">
        <f t="shared" si="100"/>
        <v>-8.2256137002154811E-2</v>
      </c>
      <c r="O1557" s="1"/>
    </row>
    <row r="1558" spans="1:15" x14ac:dyDescent="0.25">
      <c r="A1558">
        <v>2744</v>
      </c>
      <c r="B1558">
        <v>30327.48201</v>
      </c>
      <c r="C1558" s="1">
        <v>1E-8</v>
      </c>
      <c r="D1558">
        <v>193509.889</v>
      </c>
      <c r="E1558" s="1">
        <v>-3.4999999999999997E-5</v>
      </c>
      <c r="F1558">
        <v>874448.66870000004</v>
      </c>
      <c r="G1558">
        <v>8665.8564700000006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1.29290997575025E-4</v>
      </c>
      <c r="M1558" s="1">
        <f t="shared" si="99"/>
        <v>-0.15176774023037548</v>
      </c>
      <c r="N1558" s="1">
        <f t="shared" si="100"/>
        <v>17581931.8831577</v>
      </c>
      <c r="O1558" s="1"/>
    </row>
    <row r="1559" spans="1:15" x14ac:dyDescent="0.25">
      <c r="A1559">
        <v>2745</v>
      </c>
      <c r="B1559">
        <v>28609.149140000001</v>
      </c>
      <c r="C1559">
        <v>0</v>
      </c>
      <c r="D1559">
        <v>118532.1306</v>
      </c>
      <c r="E1559" s="1">
        <v>-4.8699999999999998E-5</v>
      </c>
      <c r="F1559">
        <v>798083.47919999994</v>
      </c>
      <c r="G1559">
        <v>1127.1620350000001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0</v>
      </c>
      <c r="M1559" s="1">
        <f t="shared" si="99"/>
        <v>-0.31749242867252681</v>
      </c>
      <c r="N1559" s="1">
        <f t="shared" si="100"/>
        <v>3438226.1763616418</v>
      </c>
      <c r="O1559" s="1"/>
    </row>
    <row r="1560" spans="1:15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-5.9999999999999995E-8</v>
      </c>
      <c r="F1560">
        <v>579726.424</v>
      </c>
      <c r="G1560" s="1">
        <v>4.9400000000000001E-5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1.1802608902578974E-2</v>
      </c>
      <c r="M1560" s="1">
        <f t="shared" si="99"/>
        <v>-1.8130137926686198E-4</v>
      </c>
      <c r="N1560" s="1">
        <f t="shared" si="100"/>
        <v>6.9842613902894826E-2</v>
      </c>
      <c r="O1560" s="1"/>
    </row>
    <row r="1561" spans="1:15" x14ac:dyDescent="0.25">
      <c r="A1561">
        <v>2747</v>
      </c>
      <c r="B1561">
        <v>4914.7591350000002</v>
      </c>
      <c r="C1561" s="1">
        <v>-2.8999999999999998E-7</v>
      </c>
      <c r="D1561">
        <v>42772.899649999999</v>
      </c>
      <c r="E1561" s="1">
        <v>2.1E-7</v>
      </c>
      <c r="F1561">
        <v>396881.88549999997</v>
      </c>
      <c r="G1561" s="1">
        <v>-4.8600000000000002E-5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-5.2491543588510008E-3</v>
      </c>
      <c r="M1561" s="1">
        <f t="shared" si="99"/>
        <v>1.27483441139628E-3</v>
      </c>
      <c r="N1561" s="1">
        <f t="shared" si="100"/>
        <v>-0.13804301319732723</v>
      </c>
      <c r="O1561" s="1"/>
    </row>
    <row r="1562" spans="1:15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4.1900000000000002E-5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1.2844260215250751E-2</v>
      </c>
      <c r="M1562" s="1">
        <f t="shared" si="99"/>
        <v>1.6095384989734778E-2</v>
      </c>
      <c r="N1562" s="1">
        <f t="shared" si="100"/>
        <v>7.6774544486627488E-2</v>
      </c>
      <c r="O1562" s="1"/>
    </row>
    <row r="1563" spans="1:15" x14ac:dyDescent="0.25">
      <c r="A1563">
        <v>2749</v>
      </c>
      <c r="B1563">
        <v>9643.1724219999996</v>
      </c>
      <c r="C1563">
        <v>0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0</v>
      </c>
      <c r="M1563" s="1">
        <f t="shared" si="99"/>
        <v>-3.5610576353959755E-2</v>
      </c>
      <c r="N1563" s="1">
        <f t="shared" si="100"/>
        <v>2.6285129282659404E-2</v>
      </c>
      <c r="O1563" s="1"/>
    </row>
    <row r="1564" spans="1:15" x14ac:dyDescent="0.25">
      <c r="A1564">
        <v>2750</v>
      </c>
      <c r="B1564">
        <v>4851.031301</v>
      </c>
      <c r="C1564" s="1">
        <v>-9.9999999999999995E-8</v>
      </c>
      <c r="D1564">
        <v>34983.460509999997</v>
      </c>
      <c r="E1564" s="1">
        <v>-1.99E-6</v>
      </c>
      <c r="F1564">
        <v>135776.10010000001</v>
      </c>
      <c r="G1564" s="1">
        <v>-2.1800000000000001E-5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-1.7167867284782498E-3</v>
      </c>
      <c r="M1564" s="1">
        <f t="shared" si="99"/>
        <v>-1.1458098746898992E-2</v>
      </c>
      <c r="N1564" s="1">
        <f t="shared" si="100"/>
        <v>-5.8729953376065187E-2</v>
      </c>
      <c r="O1564" s="1"/>
    </row>
    <row r="1565" spans="1:15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>
        <v>0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-5.7872183063954995E-3</v>
      </c>
      <c r="M1565" s="1">
        <f t="shared" si="99"/>
        <v>3.1055103773396157E-2</v>
      </c>
      <c r="N1565" s="1">
        <f t="shared" si="100"/>
        <v>0</v>
      </c>
      <c r="O1565" s="1"/>
    </row>
    <row r="1566" spans="1:15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 s="1">
        <v>2.69E-5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-6.0122420982585004E-3</v>
      </c>
      <c r="M1566" s="1">
        <f t="shared" si="99"/>
        <v>-2.130676935601292E-2</v>
      </c>
      <c r="N1566" s="1">
        <f t="shared" si="100"/>
        <v>8.4596871124111142E-2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 s="1">
        <v>-3.7900000000000001E-6</v>
      </c>
      <c r="F1567">
        <v>617978.6801</v>
      </c>
      <c r="G1567" s="1">
        <v>-3.6799999999999999E-6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-1.5046006983174006E-2</v>
      </c>
      <c r="N1567" s="1">
        <f t="shared" si="100"/>
        <v>-6.8355512831984166E-3</v>
      </c>
      <c r="O1567" s="1"/>
    </row>
    <row r="1568" spans="1:15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 s="1">
        <v>-2.6100000000000001E-5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-4.2256066325069997E-3</v>
      </c>
      <c r="M1568" s="1">
        <f t="shared" si="99"/>
        <v>1.5093216797986926E-2</v>
      </c>
      <c r="N1568" s="1">
        <f t="shared" si="100"/>
        <v>-8.6533922900462593E-2</v>
      </c>
      <c r="O1568" s="1"/>
    </row>
    <row r="1569" spans="1:15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 s="1">
        <v>4.9400000000000001E-5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-4.3797426935664992E-3</v>
      </c>
      <c r="M1569" s="1">
        <f t="shared" si="99"/>
        <v>3.0332750282505098E-2</v>
      </c>
      <c r="N1569" s="1">
        <f t="shared" si="100"/>
        <v>0.16975882680263754</v>
      </c>
      <c r="O1569" s="1"/>
    </row>
    <row r="1570" spans="1:15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 s="1">
        <v>2.02E-5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-6.1944036189489999E-3</v>
      </c>
      <c r="M1570" s="1">
        <f t="shared" si="99"/>
        <v>-1.1426292214030541E-2</v>
      </c>
      <c r="N1570" s="1">
        <f t="shared" si="100"/>
        <v>4.908826621724046E-2</v>
      </c>
      <c r="O1570" s="1"/>
    </row>
    <row r="1571" spans="1:15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 s="1">
        <v>-2.1299999999999999E-5</v>
      </c>
      <c r="F1571">
        <v>981474.29269999999</v>
      </c>
      <c r="G1571">
        <v>5528.4093249999996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-3.5703701178655255E-2</v>
      </c>
      <c r="M1571" s="1">
        <f t="shared" si="99"/>
        <v>-5.9315408247931224E-2</v>
      </c>
      <c r="N1571" s="1">
        <f t="shared" si="100"/>
        <v>7203304.7593471548</v>
      </c>
      <c r="O1571" s="1"/>
    </row>
    <row r="1572" spans="1:15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>
        <v>0</v>
      </c>
      <c r="F1572">
        <v>714288.50569999998</v>
      </c>
      <c r="G1572" s="1">
        <v>3.5599999999999998E-5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1.6446975978485E-3</v>
      </c>
      <c r="M1572" s="1">
        <f t="shared" si="99"/>
        <v>0</v>
      </c>
      <c r="N1572" s="1">
        <f t="shared" si="100"/>
        <v>4.5940199363903644E-2</v>
      </c>
      <c r="O1572" s="1"/>
    </row>
    <row r="1573" spans="1:15" x14ac:dyDescent="0.25">
      <c r="A1573">
        <v>2763</v>
      </c>
      <c r="B1573">
        <v>15043.398639999999</v>
      </c>
      <c r="C1573" s="1">
        <v>-2.9999999999999999E-7</v>
      </c>
      <c r="D1573">
        <v>112123.54790000001</v>
      </c>
      <c r="E1573" s="1">
        <v>-2.0699999999999998E-5</v>
      </c>
      <c r="F1573">
        <v>789134.57239999995</v>
      </c>
      <c r="G1573">
        <v>8665.8564600000009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-7.4906618464177493E-3</v>
      </c>
      <c r="M1573" s="1">
        <f t="shared" si="99"/>
        <v>-0.17334543922125503</v>
      </c>
      <c r="N1573" s="1">
        <f t="shared" si="100"/>
        <v>33954492.491530202</v>
      </c>
      <c r="O1573" s="1"/>
    </row>
    <row r="1574" spans="1:15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 s="1">
        <v>-4.3699999999999998E-5</v>
      </c>
      <c r="F1574">
        <v>981248.4902</v>
      </c>
      <c r="G1574">
        <v>10955.229670000001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-4.6318912714574501E-2</v>
      </c>
      <c r="M1574" s="1">
        <f t="shared" si="99"/>
        <v>-0.13854372177917282</v>
      </c>
      <c r="N1574" s="1">
        <f t="shared" si="100"/>
        <v>16250644.062477358</v>
      </c>
      <c r="O1574" s="1"/>
    </row>
    <row r="1575" spans="1:15" x14ac:dyDescent="0.25">
      <c r="A1575">
        <v>2765</v>
      </c>
      <c r="B1575">
        <v>15844.888580000001</v>
      </c>
      <c r="C1575">
        <v>0</v>
      </c>
      <c r="D1575">
        <v>209661.09169999999</v>
      </c>
      <c r="E1575">
        <v>0</v>
      </c>
      <c r="F1575">
        <v>862586.21589999995</v>
      </c>
      <c r="G1575">
        <v>8665.8565209999997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0</v>
      </c>
      <c r="M1575" s="1">
        <f t="shared" si="99"/>
        <v>0</v>
      </c>
      <c r="N1575" s="1">
        <f t="shared" si="100"/>
        <v>12335716.447194444</v>
      </c>
      <c r="O1575" s="1"/>
    </row>
    <row r="1576" spans="1:15" x14ac:dyDescent="0.25">
      <c r="A1576">
        <v>2766</v>
      </c>
      <c r="B1576">
        <v>25930.045470000001</v>
      </c>
      <c r="C1576">
        <v>0</v>
      </c>
      <c r="D1576">
        <v>250353.25750000001</v>
      </c>
      <c r="E1576" s="1">
        <v>3.8399999999999997E-6</v>
      </c>
      <c r="F1576">
        <v>880387.55500000005</v>
      </c>
      <c r="G1576">
        <v>9866.8133820000003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0</v>
      </c>
      <c r="M1576" s="1">
        <f t="shared" si="99"/>
        <v>1.7267736190064255E-2</v>
      </c>
      <c r="N1576" s="1">
        <f t="shared" si="100"/>
        <v>20759876.854848903</v>
      </c>
      <c r="O1576" s="1"/>
    </row>
    <row r="1577" spans="1:15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 s="1">
        <v>3.3800000000000002E-5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-5.4230600022417003E-2</v>
      </c>
      <c r="M1577" s="1">
        <f t="shared" si="99"/>
        <v>-6.7008822375877186E-3</v>
      </c>
      <c r="N1577" s="1">
        <f t="shared" si="100"/>
        <v>7.5694500662868369E-2</v>
      </c>
      <c r="O1577" s="1"/>
    </row>
    <row r="1578" spans="1:15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 s="1">
        <v>-2.3799999999999999E-5</v>
      </c>
      <c r="F1578">
        <v>910878.42260000005</v>
      </c>
      <c r="G1578">
        <v>16403.902109999999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4.2487169130420298E-2</v>
      </c>
      <c r="M1578" s="1">
        <f t="shared" si="99"/>
        <v>-6.8790896650420555E-2</v>
      </c>
      <c r="N1578" s="1">
        <f t="shared" si="100"/>
        <v>22184255.597233795</v>
      </c>
      <c r="O1578" s="1"/>
    </row>
    <row r="1579" spans="1:15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 s="1">
        <v>3.3500000000000001E-5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-3.5461859071684504E-2</v>
      </c>
      <c r="M1579" s="1">
        <f t="shared" si="99"/>
        <v>-2.1738422703755179E-2</v>
      </c>
      <c r="N1579" s="1">
        <f t="shared" si="100"/>
        <v>0.10356681405807346</v>
      </c>
      <c r="O1579" s="1"/>
    </row>
    <row r="1580" spans="1:15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-2.0699999999999998E-5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-4.8964900704459996E-3</v>
      </c>
      <c r="M1580" s="1">
        <f t="shared" si="99"/>
        <v>-2.5372104932721806E-2</v>
      </c>
      <c r="N1580" s="1">
        <f t="shared" si="100"/>
        <v>-7.9526531805689873E-2</v>
      </c>
      <c r="O1580" s="1"/>
    </row>
    <row r="1581" spans="1:15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>
        <v>0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9.1112069668035003E-3</v>
      </c>
      <c r="M1581" s="1">
        <f t="shared" si="99"/>
        <v>1.3343479413229452E-2</v>
      </c>
      <c r="N1581" s="1">
        <f t="shared" si="100"/>
        <v>0</v>
      </c>
      <c r="O1581" s="1"/>
    </row>
    <row r="1582" spans="1:15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3.8699999999999999E-5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9.3816036788954994E-3</v>
      </c>
      <c r="M1582" s="1">
        <f t="shared" si="99"/>
        <v>4.6147867942546481E-2</v>
      </c>
      <c r="N1582" s="1">
        <f t="shared" si="100"/>
        <v>0.18991252493370306</v>
      </c>
      <c r="O1582" s="1"/>
    </row>
    <row r="1583" spans="1:15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7.5118255575675006E-3</v>
      </c>
      <c r="M1583" s="1">
        <f t="shared" si="99"/>
        <v>3.9469828032223903E-2</v>
      </c>
      <c r="N1583" s="1">
        <f t="shared" si="100"/>
        <v>1.155203204206842E-2</v>
      </c>
      <c r="O1583" s="1"/>
    </row>
    <row r="1584" spans="1:15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-7.6906250448949996E-3</v>
      </c>
      <c r="M1584" s="1">
        <f t="shared" si="99"/>
        <v>1.6765562597871098E-2</v>
      </c>
      <c r="N1584" s="1">
        <f t="shared" si="100"/>
        <v>2.860202612850642E-2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>
        <v>0</v>
      </c>
      <c r="F1585">
        <v>9788.3988939999999</v>
      </c>
      <c r="G1585" s="1">
        <v>9.9999999999999995E-8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0</v>
      </c>
      <c r="N1585" s="1">
        <f t="shared" si="100"/>
        <v>1.5973243783398E-3</v>
      </c>
      <c r="O1585" s="1"/>
    </row>
    <row r="1586" spans="1:15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3.9999999999999998E-7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-1.0752390916864999E-2</v>
      </c>
      <c r="M1586" s="1">
        <f t="shared" si="99"/>
        <v>5.4092797381766998E-3</v>
      </c>
      <c r="N1586" s="1">
        <f t="shared" si="100"/>
        <v>3.3745965339084002E-3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-2.77850741607296E-2</v>
      </c>
      <c r="N1587" s="1">
        <f t="shared" si="100"/>
        <v>-4.3610284456277758E-2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>
        <v>0</v>
      </c>
      <c r="F1588">
        <v>11976.801740000001</v>
      </c>
      <c r="G1588" s="1">
        <v>-3.1E-6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0</v>
      </c>
      <c r="N1588" s="1">
        <f t="shared" si="100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>
        <v>0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0</v>
      </c>
      <c r="M1589" s="1">
        <f t="shared" si="99"/>
        <v>6.5187096311567997E-3</v>
      </c>
      <c r="N1589" s="1">
        <f t="shared" si="100"/>
        <v>2.9483705028993605E-2</v>
      </c>
      <c r="O1589" s="1"/>
    </row>
    <row r="1590" spans="1:15" x14ac:dyDescent="0.25">
      <c r="A1590">
        <v>2805</v>
      </c>
      <c r="B1590">
        <v>3350.090048</v>
      </c>
      <c r="C1590">
        <v>0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0</v>
      </c>
      <c r="M1590" s="1">
        <f t="shared" si="99"/>
        <v>-8.2517257937196001E-3</v>
      </c>
      <c r="N1590" s="1">
        <f t="shared" si="100"/>
        <v>-2.7026294572090798E-2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4.9700122426805998E-3</v>
      </c>
      <c r="N1591" s="1">
        <f t="shared" si="100"/>
        <v>3.1780720487599806E-2</v>
      </c>
      <c r="O1591" s="1"/>
    </row>
    <row r="1592" spans="1:15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-7.9999999999999996E-7</v>
      </c>
      <c r="F1592">
        <v>59461.475339999997</v>
      </c>
      <c r="G1592" s="1">
        <v>2.6000000000000001E-6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-1.1482427908282498E-2</v>
      </c>
      <c r="M1592" s="1">
        <f t="shared" si="99"/>
        <v>-1.0269412447202399E-2</v>
      </c>
      <c r="N1592" s="1">
        <f t="shared" si="100"/>
        <v>1.5616101955264201E-2</v>
      </c>
      <c r="O1592" s="1"/>
    </row>
    <row r="1593" spans="1:15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8.5975371519374996E-3</v>
      </c>
      <c r="M1593" s="1">
        <f t="shared" si="99"/>
        <v>0</v>
      </c>
      <c r="N1593" s="1">
        <f t="shared" si="100"/>
        <v>1.6639541134057502E-2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>
        <v>0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0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-4.3544141796398499E-3</v>
      </c>
      <c r="N1595" s="1">
        <f t="shared" si="100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4.8752359499781E-3</v>
      </c>
      <c r="N1597" s="1">
        <f t="shared" si="100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 s="1">
        <v>-4.9999999999999998E-8</v>
      </c>
      <c r="F1598">
        <v>56982.41229</v>
      </c>
      <c r="G1598" s="1">
        <v>4.4299999999999999E-6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-5.4329644620380998E-4</v>
      </c>
      <c r="N1598" s="1">
        <f t="shared" si="100"/>
        <v>2.2522379099234276E-2</v>
      </c>
      <c r="O1598" s="1"/>
    </row>
    <row r="1599" spans="1:15" x14ac:dyDescent="0.25">
      <c r="A1599">
        <v>2818</v>
      </c>
      <c r="B1599">
        <v>1243.8161459999999</v>
      </c>
      <c r="C1599">
        <v>0</v>
      </c>
      <c r="D1599">
        <v>8167.6236060000001</v>
      </c>
      <c r="E1599" s="1">
        <v>-4.9999999999999998E-8</v>
      </c>
      <c r="F1599">
        <v>50352.671569999999</v>
      </c>
      <c r="G1599" s="1">
        <v>3.2200000000000001E-6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0</v>
      </c>
      <c r="M1599" s="1">
        <f t="shared" si="99"/>
        <v>-1.1250817766689E-3</v>
      </c>
      <c r="N1599" s="1">
        <f t="shared" si="100"/>
        <v>3.3901087956801239E-2</v>
      </c>
      <c r="O1599" s="1"/>
    </row>
    <row r="1600" spans="1:15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>
        <v>0</v>
      </c>
      <c r="F1600">
        <v>89018.745360000001</v>
      </c>
      <c r="G1600" s="1">
        <v>-2.6699999999999998E-6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2.6644305217335001E-2</v>
      </c>
      <c r="M1600" s="1">
        <f t="shared" si="99"/>
        <v>0</v>
      </c>
      <c r="N1600" s="1">
        <f t="shared" si="100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6.8368027003315002E-4</v>
      </c>
      <c r="N1601" s="1">
        <f t="shared" si="100"/>
        <v>3.1988709882285E-4</v>
      </c>
      <c r="O1601" s="1"/>
    </row>
    <row r="1602" spans="1:15" x14ac:dyDescent="0.25">
      <c r="A1602">
        <v>2823</v>
      </c>
      <c r="B1602">
        <v>5771.519961</v>
      </c>
      <c r="C1602">
        <v>0</v>
      </c>
      <c r="D1602">
        <v>28456.847539999999</v>
      </c>
      <c r="E1602" s="1">
        <v>-5.0999999999999999E-7</v>
      </c>
      <c r="F1602">
        <v>117527.1189</v>
      </c>
      <c r="G1602" s="1">
        <v>1.2099999999999999E-5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0</v>
      </c>
      <c r="M1602" s="1">
        <f t="shared" si="99"/>
        <v>-9.5088329535561889E-3</v>
      </c>
      <c r="N1602" s="1">
        <f t="shared" si="100"/>
        <v>0.10555676948443111</v>
      </c>
      <c r="O1602" s="1"/>
    </row>
    <row r="1603" spans="1:15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2.9799999999999998E-6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9.128748378619999E-3</v>
      </c>
      <c r="M1603" s="1">
        <f t="shared" ref="M1603:M1666" si="103">$U$3*$K1603*E1603</f>
        <v>-3.5208880284923597E-2</v>
      </c>
      <c r="N1603" s="1">
        <f t="shared" ref="N1603:N1666" si="104">$U$4*$K1603*G1603</f>
        <v>2.1344418132041038E-2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 s="1">
        <v>1.9999999999999999E-7</v>
      </c>
      <c r="F1604">
        <v>12122.4437</v>
      </c>
      <c r="G1604" s="1">
        <v>5.9999999999999997E-7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5.6717094401271999E-3</v>
      </c>
      <c r="N1604" s="1">
        <f t="shared" si="104"/>
        <v>7.9612068288024002E-3</v>
      </c>
      <c r="O1604" s="1"/>
    </row>
    <row r="1605" spans="1:15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-1.13E-5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-3.8608440807689999E-2</v>
      </c>
      <c r="M1605" s="1">
        <f t="shared" si="103"/>
        <v>0.1230124321734246</v>
      </c>
      <c r="N1605" s="1">
        <f t="shared" si="104"/>
        <v>-0.17115418798055193</v>
      </c>
      <c r="O1605" s="1"/>
    </row>
    <row r="1606" spans="1:15" x14ac:dyDescent="0.25">
      <c r="A1606">
        <v>2827</v>
      </c>
      <c r="B1606">
        <v>4673.1157439999997</v>
      </c>
      <c r="C1606" s="1">
        <v>-9.9999999999999995E-8</v>
      </c>
      <c r="D1606">
        <v>16989.997899999998</v>
      </c>
      <c r="E1606" s="1">
        <v>-8.5000000000000001E-7</v>
      </c>
      <c r="F1606">
        <v>99617.517860000007</v>
      </c>
      <c r="G1606" s="1">
        <v>-1.9199999999999998E-6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-3.3982052310700004E-3</v>
      </c>
      <c r="M1606" s="1">
        <f t="shared" si="103"/>
        <v>-9.6874989125734015E-3</v>
      </c>
      <c r="N1606" s="1">
        <f t="shared" si="104"/>
        <v>-1.023853096081152E-2</v>
      </c>
      <c r="O1606" s="1"/>
    </row>
    <row r="1607" spans="1:15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1.3699999999999999E-5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1.0929341180809999E-2</v>
      </c>
      <c r="M1607" s="1">
        <f t="shared" si="103"/>
        <v>-5.315022688083141E-2</v>
      </c>
      <c r="N1607" s="1">
        <f t="shared" si="104"/>
        <v>0.11748201050818381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-3.2925465630606002E-3</v>
      </c>
      <c r="O1608" s="1"/>
    </row>
    <row r="1609" spans="1:15" x14ac:dyDescent="0.25">
      <c r="A1609">
        <v>2830</v>
      </c>
      <c r="B1609">
        <v>1571.947975</v>
      </c>
      <c r="C1609" s="1">
        <v>9.9999999999999995E-8</v>
      </c>
      <c r="D1609">
        <v>4016.8590129999998</v>
      </c>
      <c r="E1609">
        <v>0</v>
      </c>
      <c r="F1609">
        <v>16107.839040000001</v>
      </c>
      <c r="G1609">
        <v>0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1.0821431346537501E-2</v>
      </c>
      <c r="M1609" s="1">
        <f t="shared" si="103"/>
        <v>0</v>
      </c>
      <c r="N1609" s="1">
        <f t="shared" si="104"/>
        <v>0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1.1987314107476402E-2</v>
      </c>
      <c r="O1610" s="1"/>
    </row>
    <row r="1611" spans="1:15" x14ac:dyDescent="0.25">
      <c r="A1611">
        <v>2834</v>
      </c>
      <c r="B1611">
        <v>2007.9687349999999</v>
      </c>
      <c r="C1611" s="1">
        <v>-9.9999999999999995E-8</v>
      </c>
      <c r="D1611">
        <v>17407.235789999999</v>
      </c>
      <c r="E1611" s="1">
        <v>-2.2000000000000001E-6</v>
      </c>
      <c r="F1611">
        <v>56234.699460000003</v>
      </c>
      <c r="G1611" s="1">
        <v>4.8999999999999997E-6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-3.3553569215725E-3</v>
      </c>
      <c r="M1611" s="1">
        <f t="shared" si="103"/>
        <v>-2.4757371993633401E-2</v>
      </c>
      <c r="N1611" s="1">
        <f t="shared" si="104"/>
        <v>2.5800113683106699E-2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 s="1">
        <v>3.1E-6</v>
      </c>
      <c r="F1612">
        <v>153529.22630000001</v>
      </c>
      <c r="G1612" s="1">
        <v>2.0800000000000001E-5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5.1301721825534594E-2</v>
      </c>
      <c r="N1612" s="1">
        <f t="shared" si="104"/>
        <v>0.16105613054905921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>
        <v>0</v>
      </c>
      <c r="F1613">
        <v>55368.948620000003</v>
      </c>
      <c r="G1613">
        <v>0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0</v>
      </c>
      <c r="N1613" s="1">
        <f t="shared" si="104"/>
        <v>0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>
        <v>0</v>
      </c>
      <c r="F1614">
        <v>52380.451730000001</v>
      </c>
      <c r="G1614" s="1">
        <v>-4.6E-6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0</v>
      </c>
      <c r="N1614" s="1">
        <f t="shared" si="104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>
        <v>0</v>
      </c>
      <c r="D1615">
        <v>26133.8177</v>
      </c>
      <c r="E1615" s="1">
        <v>2.9000000000000002E-6</v>
      </c>
      <c r="F1615">
        <v>65791.762959999993</v>
      </c>
      <c r="G1615" s="1">
        <v>-1.9999999999999999E-7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0</v>
      </c>
      <c r="M1615" s="1">
        <f t="shared" si="103"/>
        <v>2.8095675474979265E-2</v>
      </c>
      <c r="N1615" s="1">
        <f t="shared" si="104"/>
        <v>-9.0659882899332006E-4</v>
      </c>
      <c r="O1615" s="1"/>
    </row>
    <row r="1616" spans="1:15" x14ac:dyDescent="0.25">
      <c r="A1616">
        <v>2839</v>
      </c>
      <c r="B1616">
        <v>9165.2089539999997</v>
      </c>
      <c r="C1616" s="1">
        <v>-3.9999999999999998E-7</v>
      </c>
      <c r="D1616">
        <v>48986.614090000003</v>
      </c>
      <c r="E1616" s="1">
        <v>1.9999999999999999E-6</v>
      </c>
      <c r="F1616">
        <v>351392.68160000001</v>
      </c>
      <c r="G1616" s="1">
        <v>4.71E-5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-1.863401811518E-2</v>
      </c>
      <c r="M1616" s="1">
        <f t="shared" si="103"/>
        <v>3.1247814993148E-2</v>
      </c>
      <c r="N1616" s="1">
        <f t="shared" si="104"/>
        <v>0.34431365318826057</v>
      </c>
      <c r="O1616" s="1"/>
    </row>
    <row r="1617" spans="1:15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-9.1999999999999998E-7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0.13543880317141199</v>
      </c>
      <c r="M1617" s="1">
        <f t="shared" si="103"/>
        <v>2.2901312500355805E-2</v>
      </c>
      <c r="N1617" s="1">
        <f t="shared" si="104"/>
        <v>-4.0735824646170845E-3</v>
      </c>
      <c r="O1617" s="1"/>
    </row>
    <row r="1618" spans="1:15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-3.8999999999999999E-6</v>
      </c>
      <c r="F1618">
        <v>73124.523350000003</v>
      </c>
      <c r="G1618" s="1">
        <v>1.61E-6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-4.1441177454417E-2</v>
      </c>
      <c r="M1618" s="1">
        <f t="shared" si="103"/>
        <v>-3.011392228354302E-2</v>
      </c>
      <c r="N1618" s="1">
        <f t="shared" si="104"/>
        <v>5.816641163730223E-3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1.5099999999999999E-6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-6.22551162896325E-3</v>
      </c>
      <c r="M1621" s="1">
        <f t="shared" si="103"/>
        <v>-2.0879408232522899E-2</v>
      </c>
      <c r="N1621" s="1">
        <f t="shared" si="104"/>
        <v>4.9171964158611272E-3</v>
      </c>
      <c r="O1621" s="1"/>
    </row>
    <row r="1622" spans="1:15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-1.33E-5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2.1901944402123501E-2</v>
      </c>
      <c r="M1622" s="1">
        <f t="shared" si="103"/>
        <v>-1.3355591271784397E-2</v>
      </c>
      <c r="N1622" s="1">
        <f t="shared" si="104"/>
        <v>-4.1555493392896138E-2</v>
      </c>
      <c r="O1622" s="1"/>
    </row>
    <row r="1623" spans="1:15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1.9999999999999999E-7</v>
      </c>
      <c r="F1623">
        <v>102195.1822</v>
      </c>
      <c r="G1623" s="1">
        <v>-6.4799999999999998E-6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-2.1816585953467499E-2</v>
      </c>
      <c r="M1623" s="1">
        <f t="shared" si="103"/>
        <v>4.8779648593393994E-3</v>
      </c>
      <c r="N1623" s="1">
        <f t="shared" si="104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-1.01E-5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9.9954591003962506E-2</v>
      </c>
      <c r="M1624" s="1">
        <f t="shared" si="103"/>
        <v>-2.16915030975115E-2</v>
      </c>
      <c r="N1624" s="1">
        <f t="shared" si="104"/>
        <v>-4.6594217037231753E-2</v>
      </c>
      <c r="O1624" s="1"/>
    </row>
    <row r="1625" spans="1:15" x14ac:dyDescent="0.25">
      <c r="A1625">
        <v>2852</v>
      </c>
      <c r="B1625">
        <v>19392.47208</v>
      </c>
      <c r="C1625">
        <v>0</v>
      </c>
      <c r="D1625">
        <v>73758.461169999995</v>
      </c>
      <c r="E1625" s="1">
        <v>-1.5E-6</v>
      </c>
      <c r="F1625">
        <v>580354.11259999999</v>
      </c>
      <c r="G1625" s="1">
        <v>-4.6E-6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0</v>
      </c>
      <c r="M1625" s="1">
        <f t="shared" si="103"/>
        <v>-6.9785382159105007E-3</v>
      </c>
      <c r="N1625" s="1">
        <f t="shared" si="104"/>
        <v>-1.00132419905358E-2</v>
      </c>
      <c r="O1625" s="1"/>
    </row>
    <row r="1626" spans="1:15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-7.5433849759450004E-3</v>
      </c>
      <c r="M1626" s="1">
        <f t="shared" si="103"/>
        <v>-1.619158572067456E-2</v>
      </c>
      <c r="N1626" s="1">
        <f t="shared" si="104"/>
        <v>3.385471177204117E-3</v>
      </c>
      <c r="O1626" s="1"/>
    </row>
    <row r="1627" spans="1:15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-2.2900000000000001E-6</v>
      </c>
      <c r="F1627">
        <v>337141.91529999999</v>
      </c>
      <c r="G1627" s="1">
        <v>-3.1199999999999999E-5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8.2569872871076491E-2</v>
      </c>
      <c r="M1627" s="1">
        <f t="shared" si="103"/>
        <v>-1.5099095946776121E-2</v>
      </c>
      <c r="N1627" s="1">
        <f t="shared" si="104"/>
        <v>-9.6252880375426328E-2</v>
      </c>
      <c r="O1627" s="1"/>
    </row>
    <row r="1628" spans="1:15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1.9999999999999999E-7</v>
      </c>
      <c r="F1628">
        <v>134312.37109999999</v>
      </c>
      <c r="G1628" s="1">
        <v>3.1600000000000002E-5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3.1576366131310001E-3</v>
      </c>
      <c r="M1628" s="1">
        <f t="shared" si="103"/>
        <v>1.0590227410193199E-3</v>
      </c>
      <c r="N1628" s="1">
        <f t="shared" si="104"/>
        <v>7.8289956395721852E-2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-3.0991018897337502E-3</v>
      </c>
      <c r="N1629" s="1">
        <f t="shared" si="104"/>
        <v>1.3659362659320076E-2</v>
      </c>
      <c r="O1629" s="1"/>
    </row>
    <row r="1630" spans="1:15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9.7699999999999996E-6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7.0039394911746003E-2</v>
      </c>
      <c r="M1630" s="1">
        <f t="shared" si="103"/>
        <v>4.2717246453353099E-2</v>
      </c>
      <c r="N1630" s="1">
        <f t="shared" si="104"/>
        <v>3.9770403763732969E-2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>
        <v>0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0</v>
      </c>
      <c r="O1631" s="1"/>
    </row>
    <row r="1632" spans="1:15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2.1100000000000001E-6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-3.0442534658405998E-3</v>
      </c>
      <c r="M1632" s="1">
        <f t="shared" si="103"/>
        <v>9.7125495783138473E-3</v>
      </c>
      <c r="N1632" s="1">
        <f t="shared" si="104"/>
        <v>2.584553179164552E-3</v>
      </c>
      <c r="O1632" s="1"/>
    </row>
    <row r="1633" spans="1:15" x14ac:dyDescent="0.25">
      <c r="A1633">
        <v>2897</v>
      </c>
      <c r="B1633">
        <v>4157.9421560000001</v>
      </c>
      <c r="C1633">
        <v>0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0</v>
      </c>
      <c r="M1633" s="1">
        <f t="shared" si="103"/>
        <v>2.0052959950796079E-2</v>
      </c>
      <c r="N1633" s="1">
        <f t="shared" si="104"/>
        <v>8.6977179134337512E-3</v>
      </c>
      <c r="O1633" s="1"/>
    </row>
    <row r="1634" spans="1:15" x14ac:dyDescent="0.25">
      <c r="A1634">
        <v>2898</v>
      </c>
      <c r="B1634">
        <v>4518.4833639999997</v>
      </c>
      <c r="C1634" s="1">
        <v>2.1E-7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1.5512814762285751E-3</v>
      </c>
      <c r="M1634" s="1">
        <f t="shared" si="103"/>
        <v>-1.4617276444873211E-3</v>
      </c>
      <c r="N1634" s="1">
        <f t="shared" si="104"/>
        <v>4.4165495039703209E-3</v>
      </c>
      <c r="O1634" s="1"/>
    </row>
    <row r="1635" spans="1:15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9.0999999999999997E-7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6.8458920057618999E-2</v>
      </c>
      <c r="M1635" s="1">
        <f t="shared" si="103"/>
        <v>2.1677005917611143E-2</v>
      </c>
      <c r="N1635" s="1">
        <f t="shared" si="104"/>
        <v>2.8752746424199984E-3</v>
      </c>
      <c r="O1635" s="1"/>
    </row>
    <row r="1636" spans="1:15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-2.0699999999999998E-5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1.7661280412327496E-2</v>
      </c>
      <c r="M1636" s="1">
        <f t="shared" si="103"/>
        <v>2.1383191475220761E-2</v>
      </c>
      <c r="N1636" s="1">
        <f t="shared" si="104"/>
        <v>-5.7369273019366583E-2</v>
      </c>
      <c r="O1636" s="1"/>
    </row>
    <row r="1637" spans="1:15" x14ac:dyDescent="0.25">
      <c r="A1637">
        <v>2901</v>
      </c>
      <c r="B1637">
        <v>13613.986510000001</v>
      </c>
      <c r="C1637" s="1">
        <v>9.9999999999999995E-7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2.1721800164544999E-2</v>
      </c>
      <c r="M1637" s="1">
        <f t="shared" si="103"/>
        <v>-1.894140974348324E-2</v>
      </c>
      <c r="N1637" s="1">
        <f t="shared" si="104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-7.8999999999999995E-7</v>
      </c>
      <c r="F1638">
        <v>102257.3187</v>
      </c>
      <c r="G1638" s="1">
        <v>3.9700000000000003E-5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-0.1174347604919125</v>
      </c>
      <c r="M1638" s="1">
        <f t="shared" si="103"/>
        <v>-8.8899404184251303E-3</v>
      </c>
      <c r="N1638" s="1">
        <f t="shared" si="104"/>
        <v>0.20902871170811013</v>
      </c>
      <c r="O1638" s="1"/>
    </row>
    <row r="1639" spans="1:15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6.0999999999999998E-7</v>
      </c>
      <c r="F1639">
        <v>88898.00288</v>
      </c>
      <c r="G1639" s="1">
        <v>8.0999999999999997E-7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0.10536139395964002</v>
      </c>
      <c r="M1639" s="1">
        <f t="shared" si="103"/>
        <v>5.3888300649049719E-3</v>
      </c>
      <c r="N1639" s="1">
        <f t="shared" si="104"/>
        <v>3.3480609111328683E-3</v>
      </c>
      <c r="O1639" s="1"/>
    </row>
    <row r="1640" spans="1:15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-4.1399999999999997E-5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4.7023314798569527E-2</v>
      </c>
      <c r="M1640" s="1">
        <f t="shared" si="103"/>
        <v>-2.77596320330546E-2</v>
      </c>
      <c r="N1640" s="1">
        <f t="shared" si="104"/>
        <v>-0.13823185083981859</v>
      </c>
      <c r="O1640" s="1"/>
    </row>
    <row r="1641" spans="1:15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-8.9999999999999999E-8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2.084855892993575E-2</v>
      </c>
      <c r="M1641" s="1">
        <f t="shared" si="103"/>
        <v>9.4547866109149416E-3</v>
      </c>
      <c r="N1641" s="1">
        <f t="shared" si="104"/>
        <v>-1.2801991369686301E-4</v>
      </c>
      <c r="O1641" s="1"/>
    </row>
    <row r="1642" spans="1:15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-6.9263361282050004E-3</v>
      </c>
      <c r="M1642" s="1">
        <f t="shared" si="103"/>
        <v>1.8165755042951929E-2</v>
      </c>
      <c r="N1642" s="1">
        <f t="shared" si="104"/>
        <v>8.9343342512803094E-3</v>
      </c>
      <c r="O1642" s="1"/>
    </row>
    <row r="1643" spans="1:15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5.8545759959309999E-3</v>
      </c>
      <c r="M1643" s="1">
        <f t="shared" si="103"/>
        <v>4.0350638467955821E-2</v>
      </c>
      <c r="N1643" s="1">
        <f t="shared" si="104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4.2930228940169998E-3</v>
      </c>
      <c r="M1644" s="1">
        <f t="shared" si="103"/>
        <v>2.8927168809503641E-2</v>
      </c>
      <c r="N1644" s="1">
        <f t="shared" si="104"/>
        <v>2.2721198930823961E-2</v>
      </c>
      <c r="O1644" s="1"/>
    </row>
    <row r="1645" spans="1:15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7.7870768157676015E-3</v>
      </c>
      <c r="M1645" s="1">
        <f t="shared" si="103"/>
        <v>-2.9237916710669332E-2</v>
      </c>
      <c r="N1645" s="1">
        <f t="shared" si="104"/>
        <v>1.3143650631401809E-2</v>
      </c>
      <c r="O1645" s="1"/>
    </row>
    <row r="1646" spans="1:15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6.8904671667789751E-3</v>
      </c>
      <c r="M1646" s="1">
        <f t="shared" si="103"/>
        <v>-1.7816730537147302E-2</v>
      </c>
      <c r="N1646" s="1">
        <f t="shared" si="104"/>
        <v>1.3986793451890503E-2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>
        <v>0</v>
      </c>
      <c r="F1647">
        <v>25217.743050000001</v>
      </c>
      <c r="G1647">
        <v>0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0</v>
      </c>
      <c r="N1647" s="1">
        <f t="shared" si="104"/>
        <v>0</v>
      </c>
      <c r="O1647" s="1"/>
    </row>
    <row r="1648" spans="1:15" x14ac:dyDescent="0.25">
      <c r="A1648">
        <v>2914</v>
      </c>
      <c r="B1648">
        <v>8619.4140709999992</v>
      </c>
      <c r="C1648" s="1">
        <v>-9.9999999999999995E-8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-3.5776108019924999E-3</v>
      </c>
      <c r="M1648" s="1">
        <f t="shared" si="103"/>
        <v>4.3315509983877815E-2</v>
      </c>
      <c r="N1648" s="1">
        <f t="shared" si="104"/>
        <v>2.0828299687538489E-2</v>
      </c>
      <c r="O1648" s="1"/>
    </row>
    <row r="1649" spans="1:15" x14ac:dyDescent="0.25">
      <c r="A1649">
        <v>2915</v>
      </c>
      <c r="B1649">
        <v>8500.2639529999997</v>
      </c>
      <c r="C1649" s="1">
        <v>3.9999999999999998E-7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1.2216559466059001E-2</v>
      </c>
      <c r="M1649" s="1">
        <f t="shared" si="103"/>
        <v>-1.5262241714481864E-2</v>
      </c>
      <c r="N1649" s="1">
        <f t="shared" si="104"/>
        <v>9.1539619814523625E-3</v>
      </c>
      <c r="O1649" s="1"/>
    </row>
    <row r="1650" spans="1:15" x14ac:dyDescent="0.25">
      <c r="A1650">
        <v>2916</v>
      </c>
      <c r="B1650">
        <v>14896.967850000001</v>
      </c>
      <c r="C1650">
        <v>0</v>
      </c>
      <c r="D1650">
        <v>39743.357889999999</v>
      </c>
      <c r="E1650">
        <v>0</v>
      </c>
      <c r="F1650">
        <v>80068.635609999998</v>
      </c>
      <c r="G1650" s="1">
        <v>1.9099999999999999E-6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0</v>
      </c>
      <c r="M1650" s="1">
        <f t="shared" si="103"/>
        <v>0</v>
      </c>
      <c r="N1650" s="1">
        <f t="shared" si="104"/>
        <v>4.2863593018073005E-3</v>
      </c>
      <c r="O1650" s="1"/>
    </row>
    <row r="1651" spans="1:15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-2.1900000000000002E-6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3.8389737243195001E-3</v>
      </c>
      <c r="M1651" s="1">
        <f t="shared" si="103"/>
        <v>-1.6265830105165423E-2</v>
      </c>
      <c r="N1651" s="1">
        <f t="shared" si="104"/>
        <v>-4.3976920540435387E-3</v>
      </c>
      <c r="O1651" s="1"/>
    </row>
    <row r="1652" spans="1:15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1.11E-6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-5.5679487364799999E-3</v>
      </c>
      <c r="M1652" s="1">
        <f t="shared" si="103"/>
        <v>1.690000932646368E-2</v>
      </c>
      <c r="N1652" s="1">
        <f t="shared" si="104"/>
        <v>4.849255045725121E-3</v>
      </c>
      <c r="O1652" s="1"/>
    </row>
    <row r="1653" spans="1:15" x14ac:dyDescent="0.25">
      <c r="A1653">
        <v>2919</v>
      </c>
      <c r="B1653">
        <v>23763.848389999999</v>
      </c>
      <c r="C1653" s="1">
        <v>7.9999999999999996E-7</v>
      </c>
      <c r="D1653">
        <v>53398.185010000001</v>
      </c>
      <c r="E1653" s="1">
        <v>-1.6899999999999999E-6</v>
      </c>
      <c r="F1653">
        <v>101608.1041</v>
      </c>
      <c r="G1653" s="1">
        <v>-4.6100000000000002E-5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2.0476915653089997E-2</v>
      </c>
      <c r="M1653" s="1">
        <f t="shared" si="103"/>
        <v>-1.4507894740214263E-2</v>
      </c>
      <c r="N1653" s="1">
        <f t="shared" si="104"/>
        <v>-0.18516644766146115</v>
      </c>
      <c r="O1653" s="1"/>
    </row>
    <row r="1654" spans="1:15" x14ac:dyDescent="0.25">
      <c r="A1654">
        <v>2920</v>
      </c>
      <c r="B1654">
        <v>5053.5210660000002</v>
      </c>
      <c r="C1654">
        <v>0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0</v>
      </c>
      <c r="M1654" s="1">
        <f t="shared" si="103"/>
        <v>9.1672444657785006E-3</v>
      </c>
      <c r="N1654" s="1">
        <f t="shared" si="104"/>
        <v>1.2610427845860812E-2</v>
      </c>
      <c r="O1654" s="1"/>
    </row>
    <row r="1655" spans="1:15" x14ac:dyDescent="0.25">
      <c r="A1655">
        <v>2921</v>
      </c>
      <c r="B1655">
        <v>1108.8474940000001</v>
      </c>
      <c r="C1655" s="1">
        <v>9.9999999999999995E-8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4.4375629439375001E-3</v>
      </c>
      <c r="M1655" s="1">
        <f t="shared" si="103"/>
        <v>2.9765806823949998E-3</v>
      </c>
      <c r="N1655" s="1">
        <f t="shared" si="104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>
        <v>0</v>
      </c>
      <c r="F1656">
        <v>39811.55042</v>
      </c>
      <c r="G1656" s="1">
        <v>1.3999999999999999E-6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-1.0536749364362E-2</v>
      </c>
      <c r="M1656" s="1">
        <f t="shared" si="103"/>
        <v>0</v>
      </c>
      <c r="N1656" s="1">
        <f t="shared" si="104"/>
        <v>5.7871069585803594E-3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5.9662977675972006E-5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2.4000292929612002E-4</v>
      </c>
      <c r="O1658" s="1"/>
    </row>
    <row r="1659" spans="1:15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-4.8999999999999997E-7</v>
      </c>
      <c r="F1659">
        <v>121374.8956</v>
      </c>
      <c r="G1659" s="1">
        <v>6.2299999999999996E-6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-0.11506890698160002</v>
      </c>
      <c r="M1659" s="1">
        <f t="shared" si="103"/>
        <v>-6.3034157147561594E-3</v>
      </c>
      <c r="N1659" s="1">
        <f t="shared" si="104"/>
        <v>3.7498301348988489E-2</v>
      </c>
      <c r="O1659" s="1"/>
    </row>
    <row r="1660" spans="1:15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4.3000000000000002E-5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0.12033619402354875</v>
      </c>
      <c r="M1660" s="1">
        <f t="shared" si="103"/>
        <v>-4.3856680189054163E-2</v>
      </c>
      <c r="N1660" s="1">
        <f t="shared" si="104"/>
        <v>0.18044258016659312</v>
      </c>
      <c r="O1660" s="1"/>
    </row>
    <row r="1661" spans="1:15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-4.1317463856499993E-3</v>
      </c>
      <c r="M1661" s="1">
        <f t="shared" si="103"/>
        <v>-2.9100207620777994E-2</v>
      </c>
      <c r="N1661" s="1">
        <f t="shared" si="104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-5.6753750757704002E-3</v>
      </c>
      <c r="N1662" s="1">
        <f t="shared" si="104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>
        <v>0</v>
      </c>
      <c r="F1663">
        <v>37907.49166</v>
      </c>
      <c r="G1663" s="1">
        <v>-4.3000000000000003E-6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0</v>
      </c>
      <c r="N1663" s="1">
        <f t="shared" si="104"/>
        <v>-2.6570520790097401E-2</v>
      </c>
      <c r="O1663" s="1"/>
    </row>
    <row r="1664" spans="1:15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-5.5023277033832245E-2</v>
      </c>
      <c r="M1664" s="1">
        <f t="shared" si="103"/>
        <v>1.9873496036361658E-2</v>
      </c>
      <c r="N1664" s="1">
        <f t="shared" si="104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4.6E-6</v>
      </c>
      <c r="F1665">
        <v>80003.867199999993</v>
      </c>
      <c r="G1665" s="1">
        <v>4.42E-6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0.13200516208746424</v>
      </c>
      <c r="M1665" s="1">
        <f t="shared" si="103"/>
        <v>4.9671585944206058E-2</v>
      </c>
      <c r="N1665" s="1">
        <f t="shared" si="104"/>
        <v>2.2331409859479321E-2</v>
      </c>
      <c r="O1665" s="1"/>
    </row>
    <row r="1666" spans="1:15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>
        <v>0</v>
      </c>
      <c r="F1666">
        <v>88469.402610000005</v>
      </c>
      <c r="G1666" s="1">
        <v>4.2200000000000003E-6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2.6423542343022501E-2</v>
      </c>
      <c r="M1666" s="1">
        <f t="shared" si="103"/>
        <v>0</v>
      </c>
      <c r="N1666" s="1">
        <f t="shared" si="104"/>
        <v>1.7498076255585551E-2</v>
      </c>
      <c r="O1666" s="1"/>
    </row>
    <row r="1667" spans="1:15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1.52E-5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-4.5921226795008506E-2</v>
      </c>
      <c r="M1667" s="1">
        <f t="shared" ref="M1667:M1730" si="107">$U$3*$K1667*E1667</f>
        <v>2.1788271489914031E-2</v>
      </c>
      <c r="N1667" s="1">
        <f t="shared" ref="N1667:N1730" si="108">$U$4*$K1667*G1667</f>
        <v>3.221550679772904E-2</v>
      </c>
      <c r="O1667" s="1"/>
    </row>
    <row r="1668" spans="1:15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-2.8E-5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-2.6925141642496504E-2</v>
      </c>
      <c r="M1668" s="1">
        <f t="shared" si="107"/>
        <v>3.4106666403899887E-2</v>
      </c>
      <c r="N1668" s="1">
        <f t="shared" si="108"/>
        <v>-9.1003792344343207E-2</v>
      </c>
      <c r="O1668" s="1"/>
    </row>
    <row r="1669" spans="1:15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8.3733815407456502E-2</v>
      </c>
      <c r="M1669" s="1">
        <f t="shared" si="107"/>
        <v>-2.3828028403128879E-2</v>
      </c>
      <c r="N1669" s="1">
        <f t="shared" si="108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3.2200000000000001E-6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-4.7295090656950499E-2</v>
      </c>
      <c r="M1670" s="1">
        <f t="shared" si="107"/>
        <v>2.4762415927038241E-2</v>
      </c>
      <c r="N1670" s="1">
        <f t="shared" si="108"/>
        <v>1.3276580833648566E-2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-2.4116545740543997E-2</v>
      </c>
      <c r="N1671" s="1">
        <f t="shared" si="108"/>
        <v>2.6573557120807684E-2</v>
      </c>
      <c r="O1671" s="1"/>
    </row>
    <row r="1672" spans="1:15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2.1E-7</v>
      </c>
      <c r="F1672">
        <v>100571.3746</v>
      </c>
      <c r="G1672" s="1">
        <v>3.3399999999999999E-5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4.9878279372090002E-2</v>
      </c>
      <c r="M1672" s="1">
        <f t="shared" si="107"/>
        <v>1.4637356600347949E-3</v>
      </c>
      <c r="N1672" s="1">
        <f t="shared" si="108"/>
        <v>0.1089264885672027</v>
      </c>
      <c r="O1672" s="1"/>
    </row>
    <row r="1673" spans="1:15" x14ac:dyDescent="0.25">
      <c r="A1673">
        <v>2944</v>
      </c>
      <c r="B1673">
        <v>9977.048487</v>
      </c>
      <c r="C1673" s="1">
        <v>9.9999999999999995E-8</v>
      </c>
      <c r="D1673">
        <v>29492.004850000001</v>
      </c>
      <c r="E1673">
        <v>0</v>
      </c>
      <c r="F1673">
        <v>80806.422460000002</v>
      </c>
      <c r="G1673">
        <v>0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1.8749369518945001E-3</v>
      </c>
      <c r="M1673" s="1">
        <f t="shared" si="107"/>
        <v>0</v>
      </c>
      <c r="N1673" s="1">
        <f t="shared" si="108"/>
        <v>0</v>
      </c>
      <c r="O1673" s="1"/>
    </row>
    <row r="1674" spans="1:15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6.0999999999999998E-7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-1.2119194880032502E-2</v>
      </c>
      <c r="M1674" s="1">
        <f t="shared" si="107"/>
        <v>-5.5549417352682297E-2</v>
      </c>
      <c r="N1674" s="1">
        <f t="shared" si="108"/>
        <v>3.8669554124903709E-3</v>
      </c>
      <c r="O1674" s="1"/>
    </row>
    <row r="1675" spans="1:15" x14ac:dyDescent="0.25">
      <c r="A1675">
        <v>2946</v>
      </c>
      <c r="B1675">
        <v>5316.4438060000002</v>
      </c>
      <c r="C1675" s="1">
        <v>9.9999999999999995E-8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3.7997757881524999E-3</v>
      </c>
      <c r="M1675" s="1">
        <f t="shared" si="107"/>
        <v>4.7152294626520104E-2</v>
      </c>
      <c r="N1675" s="1">
        <f t="shared" si="108"/>
        <v>1.2581349925018172E-2</v>
      </c>
      <c r="O1675" s="1"/>
    </row>
    <row r="1676" spans="1:15" x14ac:dyDescent="0.25">
      <c r="A1676">
        <v>2947</v>
      </c>
      <c r="B1676">
        <v>6878.3415940000004</v>
      </c>
      <c r="C1676">
        <v>0</v>
      </c>
      <c r="D1676">
        <v>29730.197499999998</v>
      </c>
      <c r="E1676">
        <v>0</v>
      </c>
      <c r="F1676">
        <v>72431.542730000001</v>
      </c>
      <c r="G1676" s="1">
        <v>-1.1000000000000001E-6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0</v>
      </c>
      <c r="M1676" s="1">
        <f t="shared" si="107"/>
        <v>0</v>
      </c>
      <c r="N1676" s="1">
        <f t="shared" si="108"/>
        <v>-6.4880392861614011E-3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 s="1">
        <v>1.5E-6</v>
      </c>
      <c r="F1677">
        <v>67111.515530000004</v>
      </c>
      <c r="G1677" s="1">
        <v>-2.2900000000000001E-6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1.0601840697298802E-2</v>
      </c>
      <c r="N1677" s="1">
        <f t="shared" si="108"/>
        <v>-7.5730212540521535E-3</v>
      </c>
      <c r="O1677" s="1"/>
    </row>
    <row r="1678" spans="1:15" x14ac:dyDescent="0.25">
      <c r="A1678">
        <v>2949</v>
      </c>
      <c r="B1678">
        <v>16142.787270000001</v>
      </c>
      <c r="C1678">
        <v>0</v>
      </c>
      <c r="D1678">
        <v>27160.796259999999</v>
      </c>
      <c r="E1678" s="1">
        <v>1.3E-6</v>
      </c>
      <c r="F1678">
        <v>68365.691829999996</v>
      </c>
      <c r="G1678" s="1">
        <v>4.7999999999999998E-6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0</v>
      </c>
      <c r="M1678" s="1">
        <f t="shared" si="107"/>
        <v>8.9058533064256609E-3</v>
      </c>
      <c r="N1678" s="1">
        <f t="shared" si="108"/>
        <v>1.538569435012704E-2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>
        <v>0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0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>
        <v>0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0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>
        <v>0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0</v>
      </c>
      <c r="O1703" s="1"/>
    </row>
    <row r="1704" spans="1:15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-2.8516316658179997E-2</v>
      </c>
      <c r="M1704" s="1">
        <f t="shared" si="107"/>
        <v>-0.127519118594528</v>
      </c>
      <c r="N1704" s="1">
        <f t="shared" si="108"/>
        <v>8.0547626745259213E-3</v>
      </c>
      <c r="O1704" s="1"/>
    </row>
    <row r="1705" spans="1:15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-1.2154996877806249E-2</v>
      </c>
      <c r="M1705" s="1">
        <f t="shared" si="107"/>
        <v>1.6306395811456998E-3</v>
      </c>
      <c r="N1705" s="1">
        <f t="shared" si="108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-1.5553446496656249E-2</v>
      </c>
      <c r="M1706" s="1">
        <f t="shared" si="107"/>
        <v>-5.2163866711862497E-3</v>
      </c>
      <c r="N1706" s="1">
        <f t="shared" si="108"/>
        <v>2.0599463107756052E-2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 s="1">
        <v>-4.9999999999999998E-7</v>
      </c>
      <c r="F1707">
        <v>8755.907792</v>
      </c>
      <c r="G1707" s="1">
        <v>-3.9999999999999998E-7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-6.053323534591E-2</v>
      </c>
      <c r="N1707" s="1">
        <f t="shared" si="108"/>
        <v>-2.2658311945992004E-2</v>
      </c>
      <c r="O1707" s="1"/>
    </row>
    <row r="1708" spans="1:15" x14ac:dyDescent="0.25">
      <c r="A1708">
        <v>3105</v>
      </c>
      <c r="B1708">
        <v>4415.8329750000003</v>
      </c>
      <c r="C1708">
        <v>0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0</v>
      </c>
      <c r="M1708" s="1">
        <f t="shared" si="107"/>
        <v>-1.38283784159103E-2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>
        <v>0</v>
      </c>
      <c r="F1709">
        <v>8431.6628949999995</v>
      </c>
      <c r="G1709" s="1">
        <v>3.9999999999999998E-7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0</v>
      </c>
      <c r="N1709" s="1">
        <f t="shared" si="108"/>
        <v>1.8187128696049199E-3</v>
      </c>
      <c r="O1709" s="1"/>
    </row>
    <row r="1710" spans="1:15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3.3999999999999997E-7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6.0799340315219998E-3</v>
      </c>
      <c r="M1710" s="1">
        <f t="shared" si="107"/>
        <v>2.03911633672584E-3</v>
      </c>
      <c r="N1710" s="1">
        <f t="shared" si="108"/>
        <v>1.081292883144528E-3</v>
      </c>
      <c r="O1710" s="1"/>
    </row>
    <row r="1711" spans="1:15" x14ac:dyDescent="0.25">
      <c r="A1711">
        <v>3109</v>
      </c>
      <c r="B1711">
        <v>1942.3635380000001</v>
      </c>
      <c r="C1711">
        <v>0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0</v>
      </c>
      <c r="M1711" s="1">
        <f t="shared" si="107"/>
        <v>-7.4913968737892592E-2</v>
      </c>
      <c r="N1711" s="1">
        <f t="shared" si="108"/>
        <v>6.0706197505072675E-2</v>
      </c>
      <c r="O1711" s="1"/>
    </row>
    <row r="1712" spans="1:15" x14ac:dyDescent="0.25">
      <c r="A1712">
        <v>3111</v>
      </c>
      <c r="B1712">
        <v>3951.9431610000001</v>
      </c>
      <c r="C1712">
        <v>0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0</v>
      </c>
      <c r="M1712" s="1">
        <f t="shared" si="107"/>
        <v>1.5876851056080658E-2</v>
      </c>
      <c r="N1712" s="1">
        <f t="shared" si="108"/>
        <v>1.6866234192689462E-2</v>
      </c>
      <c r="O1712" s="1"/>
    </row>
    <row r="1713" spans="1:15" x14ac:dyDescent="0.25">
      <c r="A1713">
        <v>3112</v>
      </c>
      <c r="B1713">
        <v>3951.9431610000001</v>
      </c>
      <c r="C1713">
        <v>0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0</v>
      </c>
      <c r="M1713" s="1">
        <f t="shared" si="107"/>
        <v>-8.0492131609398013E-2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-1.27668094864587E-2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 s="1">
        <v>3.9000000000000002E-7</v>
      </c>
      <c r="F1715">
        <v>44230.512629999997</v>
      </c>
      <c r="G1715" s="1">
        <v>-3.7400000000000002E-6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4.0429380260677203E-3</v>
      </c>
      <c r="N1715" s="1">
        <f t="shared" si="108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 s="1">
        <v>-9.9999999999999995E-8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-5.8779943532375001E-3</v>
      </c>
      <c r="M1716" s="1">
        <f t="shared" si="107"/>
        <v>1.241974991497905E-2</v>
      </c>
      <c r="N1716" s="1">
        <f t="shared" si="108"/>
        <v>1.62341160968184E-2</v>
      </c>
      <c r="O1716" s="1"/>
    </row>
    <row r="1717" spans="1:15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-1.4227667014177501E-2</v>
      </c>
      <c r="M1717" s="1">
        <f t="shared" si="107"/>
        <v>6.9985529230764412E-2</v>
      </c>
      <c r="N1717" s="1">
        <f t="shared" si="108"/>
        <v>2.187996299595666E-2</v>
      </c>
      <c r="O1717" s="1"/>
    </row>
    <row r="1718" spans="1:15" x14ac:dyDescent="0.25">
      <c r="A1718">
        <v>3117</v>
      </c>
      <c r="B1718">
        <v>8336.4206090000007</v>
      </c>
      <c r="C1718" s="1">
        <v>9.9999999999999995E-8</v>
      </c>
      <c r="D1718">
        <v>14320.856309999999</v>
      </c>
      <c r="E1718" s="1">
        <v>-6.9999999999999997E-7</v>
      </c>
      <c r="F1718">
        <v>36792.577080000003</v>
      </c>
      <c r="G1718" s="1">
        <v>1.9000000000000001E-7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9.2974665948775004E-3</v>
      </c>
      <c r="M1718" s="1">
        <f t="shared" si="107"/>
        <v>-2.1827590805820096E-2</v>
      </c>
      <c r="N1718" s="1">
        <f t="shared" si="108"/>
        <v>2.7720754247496301E-3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3.5040287236374153E-2</v>
      </c>
      <c r="N1719" s="1">
        <f t="shared" si="108"/>
        <v>8.7968853692264551E-2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-2.2200802530957818E-2</v>
      </c>
      <c r="N1720" s="1">
        <f t="shared" si="108"/>
        <v>5.0318821225594022E-2</v>
      </c>
      <c r="O1720" s="1"/>
    </row>
    <row r="1721" spans="1:15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1.11897834364134E-2</v>
      </c>
      <c r="M1721" s="1">
        <f t="shared" si="107"/>
        <v>-3.1274010117155401E-2</v>
      </c>
      <c r="N1721" s="1">
        <f t="shared" si="108"/>
        <v>2.0729791109765854E-2</v>
      </c>
      <c r="O1721" s="1"/>
    </row>
    <row r="1722" spans="1:15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2.6E-7</v>
      </c>
      <c r="F1722">
        <v>35075.681299999997</v>
      </c>
      <c r="G1722" s="1">
        <v>-2.6699999999999998E-6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4.8020305918000002E-3</v>
      </c>
      <c r="M1722" s="1">
        <f t="shared" si="107"/>
        <v>4.1873706760496001E-3</v>
      </c>
      <c r="N1722" s="1">
        <f t="shared" si="108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>
        <v>0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0</v>
      </c>
      <c r="M1723" s="1">
        <f t="shared" si="107"/>
        <v>-5.9601050479903994E-2</v>
      </c>
      <c r="N1723" s="1">
        <f t="shared" si="108"/>
        <v>2.314598593407648E-2</v>
      </c>
      <c r="O1723" s="1"/>
    </row>
    <row r="1724" spans="1:15" x14ac:dyDescent="0.25">
      <c r="A1724">
        <v>3125</v>
      </c>
      <c r="B1724">
        <v>2740.1554850000002</v>
      </c>
      <c r="C1724">
        <v>0</v>
      </c>
      <c r="D1724">
        <v>10357.47752</v>
      </c>
      <c r="E1724" s="1">
        <v>6.4000000000000001E-7</v>
      </c>
      <c r="F1724">
        <v>40885.728909999998</v>
      </c>
      <c r="G1724" s="1">
        <v>4.3000000000000001E-7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0</v>
      </c>
      <c r="M1724" s="1">
        <f t="shared" si="107"/>
        <v>8.3626823777363194E-3</v>
      </c>
      <c r="N1724" s="1">
        <f t="shared" si="108"/>
        <v>2.62892237018001E-3</v>
      </c>
      <c r="O1724" s="1"/>
    </row>
    <row r="1725" spans="1:15" x14ac:dyDescent="0.25">
      <c r="A1725">
        <v>3126</v>
      </c>
      <c r="B1725">
        <v>1867.3068659999999</v>
      </c>
      <c r="C1725">
        <v>0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0</v>
      </c>
      <c r="M1725" s="1">
        <f t="shared" si="107"/>
        <v>-3.9970048806862203E-3</v>
      </c>
      <c r="N1725" s="1">
        <f t="shared" si="108"/>
        <v>2.9490956970765297E-2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 s="1">
        <v>-3.9999999999999998E-7</v>
      </c>
      <c r="F1726">
        <v>15286.311240000001</v>
      </c>
      <c r="G1726" s="1">
        <v>3.3999999999999997E-7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-6.0705212987679997E-3</v>
      </c>
      <c r="N1726" s="1">
        <f t="shared" si="108"/>
        <v>2.4142853055192002E-3</v>
      </c>
      <c r="O1726" s="1"/>
    </row>
    <row r="1727" spans="1:15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-1.187616371942E-3</v>
      </c>
      <c r="M1727" s="1">
        <f t="shared" si="107"/>
        <v>8.762781722821281E-3</v>
      </c>
      <c r="N1727" s="1">
        <f t="shared" si="108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-1.0223429061933301E-2</v>
      </c>
      <c r="N1728" s="1">
        <f t="shared" si="108"/>
        <v>5.740127143030441E-3</v>
      </c>
      <c r="O1728" s="1"/>
    </row>
    <row r="1729" spans="1:15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>
        <v>0</v>
      </c>
      <c r="F1729">
        <v>22432.703570000001</v>
      </c>
      <c r="G1729" s="1">
        <v>-2.2000000000000001E-6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1.6627889642000001E-3</v>
      </c>
      <c r="M1729" s="1">
        <f t="shared" si="107"/>
        <v>0</v>
      </c>
      <c r="N1729" s="1">
        <f t="shared" si="108"/>
        <v>-1.435114782948E-2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 s="1">
        <v>4.0000000000000001E-8</v>
      </c>
      <c r="F1730">
        <v>5502.8343889999996</v>
      </c>
      <c r="G1730">
        <v>0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2.5951575068375999E-3</v>
      </c>
      <c r="N1730" s="1">
        <f t="shared" si="108"/>
        <v>0</v>
      </c>
      <c r="O1730" s="1"/>
    </row>
    <row r="1731" spans="1:15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0.10157540489897451</v>
      </c>
      <c r="M1731" s="1">
        <f t="shared" ref="M1731:M1794" si="111">$U$3*$K1731*E1731</f>
        <v>3.346387539476358E-2</v>
      </c>
      <c r="N1731" s="1">
        <f t="shared" ref="N1731:N1794" si="112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-2.5106335001734998E-3</v>
      </c>
      <c r="M1732" s="1">
        <f t="shared" si="111"/>
        <v>-2.0545479560189046E-2</v>
      </c>
      <c r="N1732" s="1">
        <f t="shared" si="112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3.4400000000000001E-6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5.9749231927840006E-3</v>
      </c>
      <c r="M1733" s="1">
        <f t="shared" si="111"/>
        <v>-3.0183703336777477E-2</v>
      </c>
      <c r="N1733" s="1">
        <f t="shared" si="112"/>
        <v>2.0158471633500478E-2</v>
      </c>
      <c r="O1733" s="1"/>
    </row>
    <row r="1734" spans="1:15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5.2138350898725001E-3</v>
      </c>
      <c r="M1734" s="1">
        <f t="shared" si="111"/>
        <v>2.203286496132582E-2</v>
      </c>
      <c r="N1734" s="1">
        <f t="shared" si="112"/>
        <v>1.8490665614113978E-2</v>
      </c>
      <c r="O1734" s="1"/>
    </row>
    <row r="1735" spans="1:15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1.3988912639598E-2</v>
      </c>
      <c r="M1735" s="1">
        <f t="shared" si="111"/>
        <v>3.036550549639918E-2</v>
      </c>
      <c r="N1735" s="1">
        <f t="shared" si="112"/>
        <v>2.0671308600513659E-2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-4.8278576449043995E-3</v>
      </c>
      <c r="N1736" s="1">
        <f t="shared" si="112"/>
        <v>1.063568180718045E-2</v>
      </c>
      <c r="O1736" s="1"/>
    </row>
    <row r="1737" spans="1:15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>
        <v>0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6.1381148170452501E-3</v>
      </c>
      <c r="M1737" s="1">
        <f t="shared" si="111"/>
        <v>1.5742459177833699E-3</v>
      </c>
      <c r="N1737" s="1">
        <f t="shared" si="112"/>
        <v>0</v>
      </c>
      <c r="O1737" s="1"/>
    </row>
    <row r="1738" spans="1:15" x14ac:dyDescent="0.25">
      <c r="A1738">
        <v>3207</v>
      </c>
      <c r="B1738">
        <v>218.09424290000001</v>
      </c>
      <c r="C1738">
        <v>0</v>
      </c>
      <c r="D1738">
        <v>1223.348168</v>
      </c>
      <c r="E1738" s="1">
        <v>1.6999999999999999E-7</v>
      </c>
      <c r="F1738">
        <v>8361.3827369999999</v>
      </c>
      <c r="G1738" s="1">
        <v>-2.9999999999999997E-8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0</v>
      </c>
      <c r="M1738" s="1">
        <f t="shared" si="111"/>
        <v>4.0765260297594592E-3</v>
      </c>
      <c r="N1738" s="1">
        <f t="shared" si="112"/>
        <v>-3.3659389236546E-4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>
        <v>0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0</v>
      </c>
      <c r="M1740" s="1">
        <f t="shared" si="111"/>
        <v>4.1179307079909036E-2</v>
      </c>
      <c r="N1740" s="1">
        <f t="shared" si="112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2.48E-6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6.6677625396505485E-2</v>
      </c>
      <c r="M1741" s="1">
        <f t="shared" si="111"/>
        <v>-7.683577093028476E-3</v>
      </c>
      <c r="N1741" s="1">
        <f t="shared" si="112"/>
        <v>6.6535590218146081E-3</v>
      </c>
      <c r="O1741" s="1"/>
    </row>
    <row r="1742" spans="1:15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>
        <v>0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-1.8261712672287499E-2</v>
      </c>
      <c r="M1742" s="1">
        <f t="shared" si="111"/>
        <v>-8.4124521281217252E-2</v>
      </c>
      <c r="N1742" s="1">
        <f t="shared" si="112"/>
        <v>0</v>
      </c>
      <c r="O1742" s="1"/>
    </row>
    <row r="1743" spans="1:15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-1.99E-6</v>
      </c>
      <c r="F1743">
        <v>64956.561450000001</v>
      </c>
      <c r="G1743" s="1">
        <v>-4.4299999999999999E-6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7.4944794651675001E-3</v>
      </c>
      <c r="M1743" s="1">
        <f t="shared" si="111"/>
        <v>-1.667310298245623E-2</v>
      </c>
      <c r="N1743" s="1">
        <f t="shared" si="112"/>
        <v>-1.736643841605429E-2</v>
      </c>
      <c r="O1743" s="1"/>
    </row>
    <row r="1744" spans="1:15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2.5399999999999998E-6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-1.8233777018001999E-2</v>
      </c>
      <c r="M1744" s="1">
        <f t="shared" si="111"/>
        <v>-3.6691969753148639E-2</v>
      </c>
      <c r="N1744" s="1">
        <f t="shared" si="112"/>
        <v>2.1375597058026961E-2</v>
      </c>
      <c r="O1744" s="1"/>
    </row>
    <row r="1745" spans="1:15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2.3E-6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-2.0084036726236598E-2</v>
      </c>
      <c r="M1745" s="1">
        <f t="shared" si="111"/>
        <v>-1.0621959778645131E-2</v>
      </c>
      <c r="N1745" s="1">
        <f t="shared" si="112"/>
        <v>6.9699926271821096E-3</v>
      </c>
      <c r="O1745" s="1"/>
    </row>
    <row r="1746" spans="1:15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-3.1599999999999998E-6</v>
      </c>
      <c r="F1746">
        <v>82161.809399999998</v>
      </c>
      <c r="G1746" s="1">
        <v>-2.5100000000000001E-6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5.0802163236676794E-2</v>
      </c>
      <c r="M1746" s="1">
        <f t="shared" si="111"/>
        <v>-2.3207290590505244E-2</v>
      </c>
      <c r="N1746" s="1">
        <f t="shared" si="112"/>
        <v>-8.6249136816007928E-3</v>
      </c>
      <c r="O1746" s="1"/>
    </row>
    <row r="1747" spans="1:15" x14ac:dyDescent="0.25">
      <c r="A1747">
        <v>3216</v>
      </c>
      <c r="B1747">
        <v>8882.9600549999996</v>
      </c>
      <c r="C1747" s="1">
        <v>-3.3000000000000002E-7</v>
      </c>
      <c r="D1747">
        <v>24489.432239999998</v>
      </c>
      <c r="E1747" s="1">
        <v>-1.61E-6</v>
      </c>
      <c r="F1747">
        <v>51239.690269999999</v>
      </c>
      <c r="G1747" s="1">
        <v>6.3900000000000004E-7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-6.9643194587752505E-3</v>
      </c>
      <c r="M1747" s="1">
        <f t="shared" si="111"/>
        <v>-1.1395509760563811E-2</v>
      </c>
      <c r="N1747" s="1">
        <f t="shared" si="112"/>
        <v>2.1161790847741414E-3</v>
      </c>
      <c r="O1747" s="1"/>
    </row>
    <row r="1748" spans="1:15" x14ac:dyDescent="0.25">
      <c r="A1748">
        <v>3217</v>
      </c>
      <c r="B1748">
        <v>3145.6921849999999</v>
      </c>
      <c r="C1748">
        <v>0</v>
      </c>
      <c r="D1748">
        <v>17990.17985</v>
      </c>
      <c r="E1748" s="1">
        <v>7.6000000000000003E-7</v>
      </c>
      <c r="F1748">
        <v>41730.401299999998</v>
      </c>
      <c r="G1748" s="1">
        <v>-4.8999999999999997E-6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0</v>
      </c>
      <c r="M1748" s="1">
        <f t="shared" si="111"/>
        <v>2.2985006959594684E-2</v>
      </c>
      <c r="N1748" s="1">
        <f t="shared" si="112"/>
        <v>-6.9337919353002306E-2</v>
      </c>
      <c r="O1748" s="1"/>
    </row>
    <row r="1749" spans="1:15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-2.6299999999999998E-6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-9.3562304051287501E-3</v>
      </c>
      <c r="M1749" s="1">
        <f t="shared" si="111"/>
        <v>1.4928966985824549E-2</v>
      </c>
      <c r="N1749" s="1">
        <f t="shared" si="112"/>
        <v>-1.1701176543029549E-2</v>
      </c>
      <c r="O1749" s="1"/>
    </row>
    <row r="1750" spans="1:15" x14ac:dyDescent="0.25">
      <c r="A1750">
        <v>3219</v>
      </c>
      <c r="B1750">
        <v>9407.1229899999998</v>
      </c>
      <c r="C1750">
        <v>0</v>
      </c>
      <c r="D1750">
        <v>24772.76395</v>
      </c>
      <c r="E1750" s="1">
        <v>3.9899999999999999E-6</v>
      </c>
      <c r="F1750">
        <v>51508.012390000004</v>
      </c>
      <c r="G1750" s="1">
        <v>2.34E-6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0</v>
      </c>
      <c r="M1750" s="1">
        <f t="shared" si="111"/>
        <v>5.2318234419488935E-2</v>
      </c>
      <c r="N1750" s="1">
        <f t="shared" si="112"/>
        <v>1.4356207251205561E-2</v>
      </c>
      <c r="O1750" s="1"/>
    </row>
    <row r="1751" spans="1:15" x14ac:dyDescent="0.25">
      <c r="A1751">
        <v>3220</v>
      </c>
      <c r="B1751">
        <v>18806.266879999999</v>
      </c>
      <c r="C1751" s="1">
        <v>3.3000000000000002E-7</v>
      </c>
      <c r="D1751">
        <v>52405.17899</v>
      </c>
      <c r="E1751" s="1">
        <v>4.9900000000000001E-7</v>
      </c>
      <c r="F1751">
        <v>83394.022140000001</v>
      </c>
      <c r="G1751" s="1">
        <v>-3.54E-6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3.3095700204996007E-3</v>
      </c>
      <c r="M1751" s="1">
        <f t="shared" si="111"/>
        <v>1.6784225919346737E-3</v>
      </c>
      <c r="N1751" s="1">
        <f t="shared" si="112"/>
        <v>-5.5711866806619848E-3</v>
      </c>
      <c r="O1751" s="1"/>
    </row>
    <row r="1752" spans="1:15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-2.0700000000000001E-6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-5.2922429973341505E-2</v>
      </c>
      <c r="M1752" s="1">
        <f t="shared" si="111"/>
        <v>2.9528495403587214E-2</v>
      </c>
      <c r="N1752" s="1">
        <f t="shared" si="112"/>
        <v>-7.8140152899100167E-3</v>
      </c>
      <c r="O1752" s="1"/>
    </row>
    <row r="1753" spans="1:15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4.3000000000000001E-7</v>
      </c>
      <c r="F1753">
        <v>71941.736069999999</v>
      </c>
      <c r="G1753" s="1">
        <v>-7.9100000000000003E-7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-1.7301295778812498E-2</v>
      </c>
      <c r="M1753" s="1">
        <f t="shared" si="111"/>
        <v>1.782223589347125E-3</v>
      </c>
      <c r="N1753" s="1">
        <f t="shared" si="112"/>
        <v>-1.5339595011276378E-3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>
        <v>0</v>
      </c>
      <c r="F1755">
        <v>33562.514219999997</v>
      </c>
      <c r="G1755" s="1">
        <v>5.6899999999999997E-7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-1.9415331206830002E-2</v>
      </c>
      <c r="M1755" s="1">
        <f t="shared" si="111"/>
        <v>0</v>
      </c>
      <c r="N1755" s="1">
        <f t="shared" si="112"/>
        <v>4.333949971469229E-3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>
        <v>0</v>
      </c>
      <c r="F1756">
        <v>33959.011489999997</v>
      </c>
      <c r="G1756" s="1">
        <v>-2.7099999999999999E-6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0</v>
      </c>
      <c r="N1756" s="1">
        <f t="shared" si="112"/>
        <v>-4.1840335459623929E-2</v>
      </c>
      <c r="O1756" s="1"/>
    </row>
    <row r="1757" spans="1:15" x14ac:dyDescent="0.25">
      <c r="A1757">
        <v>3227</v>
      </c>
      <c r="B1757">
        <v>2971.363535</v>
      </c>
      <c r="C1757">
        <v>0</v>
      </c>
      <c r="D1757">
        <v>8990.7181220000002</v>
      </c>
      <c r="E1757">
        <v>0</v>
      </c>
      <c r="F1757">
        <v>40619.19642</v>
      </c>
      <c r="G1757" s="1">
        <v>4.5700000000000003E-6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0</v>
      </c>
      <c r="M1757" s="1">
        <f t="shared" si="111"/>
        <v>0</v>
      </c>
      <c r="N1757" s="1">
        <f t="shared" si="112"/>
        <v>2.7060446114423761E-2</v>
      </c>
      <c r="O1757" s="1"/>
    </row>
    <row r="1758" spans="1:15" x14ac:dyDescent="0.25">
      <c r="A1758">
        <v>3228</v>
      </c>
      <c r="B1758">
        <v>3432.3291880000002</v>
      </c>
      <c r="C1758">
        <v>0</v>
      </c>
      <c r="D1758">
        <v>10861.60419</v>
      </c>
      <c r="E1758" s="1">
        <v>-4.34E-6</v>
      </c>
      <c r="F1758">
        <v>41812.495430000003</v>
      </c>
      <c r="G1758" s="1">
        <v>2.9399999999999998E-6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0</v>
      </c>
      <c r="M1758" s="1">
        <f t="shared" si="111"/>
        <v>-5.4978822638155629E-2</v>
      </c>
      <c r="N1758" s="1">
        <f t="shared" si="112"/>
        <v>1.7425960060806357E-2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 s="1">
        <v>-9.9999999999999995E-8</v>
      </c>
      <c r="F1759">
        <v>4468.2026059999998</v>
      </c>
      <c r="G1759">
        <v>0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-2.8590758788713997E-3</v>
      </c>
      <c r="N1759" s="1">
        <f t="shared" si="112"/>
        <v>0</v>
      </c>
      <c r="O1759" s="1"/>
    </row>
    <row r="1760" spans="1:15" x14ac:dyDescent="0.25">
      <c r="A1760">
        <v>3230</v>
      </c>
      <c r="B1760">
        <v>1014.207363</v>
      </c>
      <c r="C1760">
        <v>0</v>
      </c>
      <c r="D1760">
        <v>17245.344659999999</v>
      </c>
      <c r="E1760" s="1">
        <v>3.4599999999999999E-6</v>
      </c>
      <c r="F1760">
        <v>44491.007680000002</v>
      </c>
      <c r="G1760" s="1">
        <v>2.0900000000000001E-7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0</v>
      </c>
      <c r="M1760" s="1">
        <f t="shared" si="111"/>
        <v>6.034342563600139E-2</v>
      </c>
      <c r="N1760" s="1">
        <f t="shared" si="112"/>
        <v>1.7054689872570902E-3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>
        <v>0</v>
      </c>
      <c r="F1761">
        <v>45047.585180000002</v>
      </c>
      <c r="G1761" s="1">
        <v>5.0000000000000004E-6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0</v>
      </c>
      <c r="N1761" s="1">
        <f t="shared" si="112"/>
        <v>3.4260953105730005E-2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 s="1">
        <v>4.5999999999999999E-7</v>
      </c>
      <c r="F1762">
        <v>24081.82907</v>
      </c>
      <c r="G1762" s="1">
        <v>2.5900000000000002E-6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1.9889254140781538E-2</v>
      </c>
      <c r="N1762" s="1">
        <f t="shared" si="112"/>
        <v>5.2396720770958E-2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-1.37490234911896E-3</v>
      </c>
      <c r="N1763" s="1">
        <f t="shared" si="112"/>
        <v>4.8247720049358E-4</v>
      </c>
      <c r="O1763" s="1"/>
    </row>
    <row r="1764" spans="1:15" x14ac:dyDescent="0.25">
      <c r="A1764">
        <v>3239</v>
      </c>
      <c r="B1764">
        <v>5689.9427539999997</v>
      </c>
      <c r="C1764" s="1">
        <v>1.04E-7</v>
      </c>
      <c r="D1764">
        <v>63824.687680000003</v>
      </c>
      <c r="E1764" s="1">
        <v>1.7099999999999999E-6</v>
      </c>
      <c r="F1764">
        <v>225310.08309999999</v>
      </c>
      <c r="G1764" s="1">
        <v>1.2500000000000001E-5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3.8975076245170008E-3</v>
      </c>
      <c r="M1764" s="1">
        <f t="shared" si="111"/>
        <v>2.149279426431135E-2</v>
      </c>
      <c r="N1764" s="1">
        <f t="shared" si="112"/>
        <v>7.3510683746437516E-2</v>
      </c>
      <c r="O1764" s="1"/>
    </row>
    <row r="1765" spans="1:15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-1.0000000000000001E-9</v>
      </c>
      <c r="F1765">
        <v>26323.37528</v>
      </c>
      <c r="G1765" s="1">
        <v>-1.5E-6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-1.6648698506147499E-5</v>
      </c>
      <c r="M1765" s="1">
        <f t="shared" si="111"/>
        <v>-5.5837173451387001E-6</v>
      </c>
      <c r="N1765" s="1">
        <f t="shared" si="112"/>
        <v>-3.91884749452395E-3</v>
      </c>
      <c r="O1765" s="1"/>
    </row>
    <row r="1766" spans="1:15" x14ac:dyDescent="0.25">
      <c r="A1766">
        <v>3241</v>
      </c>
      <c r="B1766">
        <v>129.54364770000001</v>
      </c>
      <c r="C1766" s="1">
        <v>-1.0000000000000001E-9</v>
      </c>
      <c r="D1766">
        <v>17847.816159999998</v>
      </c>
      <c r="E1766" s="1">
        <v>3.23E-6</v>
      </c>
      <c r="F1766">
        <v>60538.504439999997</v>
      </c>
      <c r="G1766" s="1">
        <v>-4.5900000000000001E-6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-3.3113096010800004E-5</v>
      </c>
      <c r="M1766" s="1">
        <f t="shared" si="111"/>
        <v>3.5871162192376474E-2</v>
      </c>
      <c r="N1766" s="1">
        <f t="shared" si="112"/>
        <v>-2.3850598908209758E-2</v>
      </c>
      <c r="O1766" s="1"/>
    </row>
    <row r="1767" spans="1:15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2.2299999999999998E-6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2.2755560756584499E-4</v>
      </c>
      <c r="M1767" s="1">
        <f t="shared" si="111"/>
        <v>-3.9516100959656516E-3</v>
      </c>
      <c r="N1767" s="1">
        <f t="shared" si="112"/>
        <v>8.8478288028935228E-3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>
        <v>0</v>
      </c>
      <c r="F1768">
        <v>3291.0993910000002</v>
      </c>
      <c r="G1768" s="1">
        <v>-3.0600000000000001E-7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0</v>
      </c>
      <c r="N1768" s="1">
        <f t="shared" si="112"/>
        <v>-6.248667406196071E-3</v>
      </c>
      <c r="O1768" s="1"/>
    </row>
    <row r="1769" spans="1:15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1.75E-6</v>
      </c>
      <c r="F1769">
        <v>27613.23645</v>
      </c>
      <c r="G1769" s="1">
        <v>1.6300000000000001E-6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0.20869736437387498</v>
      </c>
      <c r="M1769" s="1">
        <f t="shared" si="111"/>
        <v>2.9875438840012498E-2</v>
      </c>
      <c r="N1769" s="1">
        <f t="shared" si="112"/>
        <v>1.3019896360525501E-2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-7.5099999999999999E-7</v>
      </c>
      <c r="F1771">
        <v>49200.93361</v>
      </c>
      <c r="G1771" s="1">
        <v>3.6399999999999998E-7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0.17758035941265748</v>
      </c>
      <c r="M1771" s="1">
        <f t="shared" si="111"/>
        <v>-1.0909231250402048E-2</v>
      </c>
      <c r="N1771" s="1">
        <f t="shared" si="112"/>
        <v>2.4739975925978041E-3</v>
      </c>
      <c r="O1771" s="1"/>
    </row>
    <row r="1772" spans="1:15" x14ac:dyDescent="0.25">
      <c r="A1772">
        <v>3247</v>
      </c>
      <c r="B1772">
        <v>14888.392610000001</v>
      </c>
      <c r="C1772">
        <v>0</v>
      </c>
      <c r="D1772">
        <v>50042.998639999998</v>
      </c>
      <c r="E1772" s="1">
        <v>6.6400000000000002E-7</v>
      </c>
      <c r="F1772">
        <v>123912.1597</v>
      </c>
      <c r="G1772" s="1">
        <v>-1.59E-6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</v>
      </c>
      <c r="M1772" s="1">
        <f t="shared" si="111"/>
        <v>1.3204608214821728E-2</v>
      </c>
      <c r="N1772" s="1">
        <f t="shared" si="112"/>
        <v>-1.4794430199788523E-2</v>
      </c>
      <c r="O1772" s="1"/>
    </row>
    <row r="1773" spans="1:15" x14ac:dyDescent="0.25">
      <c r="A1773">
        <v>3248</v>
      </c>
      <c r="B1773">
        <v>7387.8457719999997</v>
      </c>
      <c r="C1773" s="1">
        <v>-3.9999999999999998E-7</v>
      </c>
      <c r="D1773">
        <v>31044.070729999999</v>
      </c>
      <c r="E1773" s="1">
        <v>-2.4499999999999998E-6</v>
      </c>
      <c r="F1773">
        <v>80968.752909999996</v>
      </c>
      <c r="G1773" s="1">
        <v>-2.6299999999999998E-6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-1.4599504894520001E-2</v>
      </c>
      <c r="M1773" s="1">
        <f t="shared" si="111"/>
        <v>-2.9990752169858199E-2</v>
      </c>
      <c r="N1773" s="1">
        <f t="shared" si="112"/>
        <v>-1.5063319934630521E-2</v>
      </c>
      <c r="O1773" s="1"/>
    </row>
    <row r="1774" spans="1:15" x14ac:dyDescent="0.25">
      <c r="A1774">
        <v>3249</v>
      </c>
      <c r="B1774">
        <v>6827.8445069999998</v>
      </c>
      <c r="C1774" s="1">
        <v>-9.9999999999999995E-8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-4.0935164389275004E-3</v>
      </c>
      <c r="M1774" s="1">
        <f t="shared" si="111"/>
        <v>-5.2170292584731409E-2</v>
      </c>
      <c r="N1774" s="1">
        <f t="shared" si="112"/>
        <v>-5.3701897504650131E-3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 s="1">
        <v>-6.2099999999999996E-7</v>
      </c>
      <c r="F1776">
        <v>61227.793109999999</v>
      </c>
      <c r="G1776" s="1">
        <v>2.9699999999999999E-6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-8.8623496095639291E-3</v>
      </c>
      <c r="N1776" s="1">
        <f t="shared" si="112"/>
        <v>1.9831584088413901E-2</v>
      </c>
      <c r="O1776" s="1"/>
    </row>
    <row r="1777" spans="1:15" x14ac:dyDescent="0.25">
      <c r="A1777">
        <v>3252</v>
      </c>
      <c r="B1777">
        <v>7502.545889</v>
      </c>
      <c r="C1777" s="1">
        <v>-9.9999999999999995E-8</v>
      </c>
      <c r="D1777">
        <v>15112.83044</v>
      </c>
      <c r="E1777" s="1">
        <v>-1.7E-6</v>
      </c>
      <c r="F1777">
        <v>40096.033309999999</v>
      </c>
      <c r="G1777" s="1">
        <v>-3.5700000000000001E-6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-2.8149078315734999E-3</v>
      </c>
      <c r="M1777" s="1">
        <f t="shared" si="111"/>
        <v>-1.6049305267402142E-2</v>
      </c>
      <c r="N1777" s="1">
        <f t="shared" si="112"/>
        <v>-1.5769546735218069E-2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 s="1">
        <v>-1.7E-6</v>
      </c>
      <c r="F1778">
        <v>43178.567730000002</v>
      </c>
      <c r="G1778" s="1">
        <v>-1.3200000000000001E-6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-4.6185541464653097E-2</v>
      </c>
      <c r="N1778" s="1">
        <f t="shared" si="112"/>
        <v>-1.6779334330277642E-2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 s="1">
        <v>-1E-8</v>
      </c>
      <c r="F1779">
        <v>56168.757769999997</v>
      </c>
      <c r="G1779" s="1">
        <v>-3.6600000000000001E-6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-2.2113991642975001E-4</v>
      </c>
      <c r="N1779" s="1">
        <f t="shared" si="112"/>
        <v>-3.7869703486951505E-2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-4.7E-7</v>
      </c>
      <c r="F1781">
        <v>59064.21529</v>
      </c>
      <c r="G1781" s="1">
        <v>3.6600000000000001E-6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2.2801844468978576E-2</v>
      </c>
      <c r="M1781" s="1">
        <f t="shared" si="111"/>
        <v>-4.6678860825005893E-3</v>
      </c>
      <c r="N1781" s="1">
        <f t="shared" si="112"/>
        <v>1.7007761392925241E-2</v>
      </c>
      <c r="O1781" s="1"/>
    </row>
    <row r="1782" spans="1:15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2.9399999999999998E-6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-2.2437533844387996E-3</v>
      </c>
      <c r="M1782" s="1">
        <f t="shared" si="111"/>
        <v>2.4138537889443021E-2</v>
      </c>
      <c r="N1782" s="1">
        <f t="shared" si="112"/>
        <v>7.9628019517811507E-3</v>
      </c>
      <c r="O1782" s="1"/>
    </row>
    <row r="1783" spans="1:15" x14ac:dyDescent="0.25">
      <c r="A1783">
        <v>3273</v>
      </c>
      <c r="B1783">
        <v>450.40450370000002</v>
      </c>
      <c r="C1783">
        <v>0</v>
      </c>
      <c r="D1783">
        <v>8603.2801789999994</v>
      </c>
      <c r="E1783" s="1">
        <v>3.7E-7</v>
      </c>
      <c r="F1783">
        <v>22520.449110000001</v>
      </c>
      <c r="G1783" s="1">
        <v>-6.0999999999999998E-7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0</v>
      </c>
      <c r="M1783" s="1">
        <f t="shared" si="111"/>
        <v>5.9574827511345201E-3</v>
      </c>
      <c r="N1783" s="1">
        <f t="shared" si="112"/>
        <v>-4.5955191764888402E-3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>
        <v>0</v>
      </c>
      <c r="F1784">
        <v>31892.93492</v>
      </c>
      <c r="G1784" s="1">
        <v>2.8899999999999999E-6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0</v>
      </c>
      <c r="N1784" s="1">
        <f t="shared" si="112"/>
        <v>2.1583380501728072E-2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4.6700000000000002E-6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8.5067952370888864E-2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 s="1">
        <v>-1.36E-7</v>
      </c>
      <c r="F1786">
        <v>48893.733970000001</v>
      </c>
      <c r="G1786" s="1">
        <v>3.6200000000000001E-6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-1.808765267073696E-3</v>
      </c>
      <c r="N1786" s="1">
        <f t="shared" si="112"/>
        <v>2.2526594954610481E-2</v>
      </c>
      <c r="O1786" s="1"/>
    </row>
    <row r="1787" spans="1:15" x14ac:dyDescent="0.25">
      <c r="A1787">
        <v>3279</v>
      </c>
      <c r="B1787">
        <v>11306.558440000001</v>
      </c>
      <c r="C1787" s="1">
        <v>1.26E-6</v>
      </c>
      <c r="D1787">
        <v>53801.384530000003</v>
      </c>
      <c r="E1787" s="1">
        <v>-1.3799999999999999E-6</v>
      </c>
      <c r="F1787">
        <v>192016.38620000001</v>
      </c>
      <c r="G1787" s="1">
        <v>4.3600000000000003E-5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4.6918949466343507E-2</v>
      </c>
      <c r="M1787" s="1">
        <f t="shared" si="111"/>
        <v>-1.7234550375402662E-2</v>
      </c>
      <c r="N1787" s="1">
        <f t="shared" si="112"/>
        <v>0.25477161424508288</v>
      </c>
      <c r="O1787" s="1"/>
    </row>
    <row r="1788" spans="1:15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2.9299999999999999E-6</v>
      </c>
      <c r="F1788">
        <v>79707.522389999998</v>
      </c>
      <c r="G1788" s="1">
        <v>4.2899999999999996E-6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-1.3582489273990001E-2</v>
      </c>
      <c r="M1788" s="1">
        <f t="shared" si="111"/>
        <v>3.336799691872451E-2</v>
      </c>
      <c r="N1788" s="1">
        <f t="shared" si="112"/>
        <v>2.2859329448125167E-2</v>
      </c>
      <c r="O1788" s="1"/>
    </row>
    <row r="1789" spans="1:15" x14ac:dyDescent="0.25">
      <c r="A1789">
        <v>3281</v>
      </c>
      <c r="B1789">
        <v>2245.0644090000001</v>
      </c>
      <c r="C1789" s="1">
        <v>9.9999999999999995E-8</v>
      </c>
      <c r="D1789">
        <v>40433.024039999997</v>
      </c>
      <c r="E1789" s="1">
        <v>-4.8899999999999998E-6</v>
      </c>
      <c r="F1789">
        <v>111162.73299999999</v>
      </c>
      <c r="G1789" s="1">
        <v>-3.4700000000000003E-5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4.2495693365450001E-3</v>
      </c>
      <c r="M1789" s="1">
        <f t="shared" si="111"/>
        <v>-6.9694244679133849E-2</v>
      </c>
      <c r="N1789" s="1">
        <f t="shared" si="112"/>
        <v>-0.23139885707334423</v>
      </c>
      <c r="O1789" s="1"/>
    </row>
    <row r="1790" spans="1:15" x14ac:dyDescent="0.25">
      <c r="A1790">
        <v>3282</v>
      </c>
      <c r="B1790">
        <v>2245.0644090000001</v>
      </c>
      <c r="C1790" s="1">
        <v>9.9999999999999995E-8</v>
      </c>
      <c r="D1790">
        <v>28097.022079999999</v>
      </c>
      <c r="E1790" s="1">
        <v>3.8399999999999997E-6</v>
      </c>
      <c r="F1790">
        <v>81075.601240000004</v>
      </c>
      <c r="G1790" s="1">
        <v>2.79E-6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7.3172066110324995E-3</v>
      </c>
      <c r="M1790" s="1">
        <f t="shared" si="111"/>
        <v>9.4236615357346565E-2</v>
      </c>
      <c r="N1790" s="1">
        <f t="shared" si="112"/>
        <v>3.2035856267194296E-2</v>
      </c>
      <c r="O1790" s="1"/>
    </row>
    <row r="1791" spans="1:15" x14ac:dyDescent="0.25">
      <c r="A1791">
        <v>3283</v>
      </c>
      <c r="B1791">
        <v>8803.1411459999999</v>
      </c>
      <c r="C1791">
        <v>0</v>
      </c>
      <c r="D1791">
        <v>19189.444299999999</v>
      </c>
      <c r="E1791" s="1">
        <v>-2.4399999999999999E-6</v>
      </c>
      <c r="F1791">
        <v>74933.915120000005</v>
      </c>
      <c r="G1791" s="1">
        <v>4.6199999999999998E-6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0</v>
      </c>
      <c r="M1791" s="1">
        <f t="shared" si="111"/>
        <v>-5.5438030167799635E-2</v>
      </c>
      <c r="N1791" s="1">
        <f t="shared" si="112"/>
        <v>4.9113809099627585E-2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 s="1">
        <v>1.9999999999999999E-7</v>
      </c>
      <c r="F1792">
        <v>16121.303550000001</v>
      </c>
      <c r="G1792" s="1">
        <v>-3.2399999999999999E-6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7.3332492919599996E-3</v>
      </c>
      <c r="N1792" s="1">
        <f t="shared" si="112"/>
        <v>-5.5584684082728007E-2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 s="1">
        <v>-4.9999999999999998E-7</v>
      </c>
      <c r="F1793">
        <v>43356.593200000003</v>
      </c>
      <c r="G1793" s="1">
        <v>-1.2500000000000001E-6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-6.9699168331699996E-3</v>
      </c>
      <c r="N1793" s="1">
        <f t="shared" si="112"/>
        <v>-8.1528843690750023E-3</v>
      </c>
      <c r="O1793" s="1"/>
    </row>
    <row r="1794" spans="1:15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-3.0400000000000001E-6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-2.2192221868699999E-2</v>
      </c>
      <c r="M1794" s="1">
        <f t="shared" si="111"/>
        <v>-2.9771719183855998E-2</v>
      </c>
      <c r="N1794" s="1">
        <f t="shared" si="112"/>
        <v>-2.6466785219409605E-2</v>
      </c>
      <c r="O1794" s="1"/>
    </row>
    <row r="1795" spans="1:15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1.11E-6</v>
      </c>
      <c r="F1795">
        <v>82618.278219999993</v>
      </c>
      <c r="G1795" s="1">
        <v>4.6400000000000003E-7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-8.7299982711096999E-2</v>
      </c>
      <c r="M1795" s="1">
        <f t="shared" ref="M1795:M1858" si="115">$U$3*$K1795*E1795</f>
        <v>8.552570775883098E-3</v>
      </c>
      <c r="N1795" s="1">
        <f t="shared" ref="N1795:N1858" si="116">$U$4*$K1795*G1795</f>
        <v>1.6727666322877729E-3</v>
      </c>
      <c r="O1795" s="1"/>
    </row>
    <row r="1796" spans="1:15" x14ac:dyDescent="0.25">
      <c r="A1796">
        <v>3290</v>
      </c>
      <c r="B1796">
        <v>9148.0372759999991</v>
      </c>
      <c r="C1796" s="1">
        <v>1.9999999999999999E-7</v>
      </c>
      <c r="D1796">
        <v>37334.939619999997</v>
      </c>
      <c r="E1796" s="1">
        <v>3.9400000000000004E-6</v>
      </c>
      <c r="F1796">
        <v>64674.503299999997</v>
      </c>
      <c r="G1796" s="1">
        <v>-1.2599999999999999E-7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6.2626663887254998E-3</v>
      </c>
      <c r="M1796" s="1">
        <f t="shared" si="115"/>
        <v>4.1377918573877751E-2</v>
      </c>
      <c r="N1796" s="1">
        <f t="shared" si="116"/>
        <v>-6.1913683406077027E-4</v>
      </c>
      <c r="O1796" s="1"/>
    </row>
    <row r="1797" spans="1:15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-1.9999999999999999E-7</v>
      </c>
      <c r="F1797">
        <v>48678.488619999996</v>
      </c>
      <c r="G1797" s="1">
        <v>-3.1599999999999998E-6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-2.5385813712999999E-2</v>
      </c>
      <c r="M1797" s="1">
        <f t="shared" si="115"/>
        <v>-3.4056045473439996E-3</v>
      </c>
      <c r="N1797" s="1">
        <f t="shared" si="116"/>
        <v>-2.5176478387612798E-2</v>
      </c>
      <c r="O1797" s="1"/>
    </row>
    <row r="1798" spans="1:15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4.3100000000000002E-6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1.1165354128110001E-2</v>
      </c>
      <c r="M1798" s="1">
        <f t="shared" si="115"/>
        <v>5.9915007998227195E-2</v>
      </c>
      <c r="N1798" s="1">
        <f t="shared" si="116"/>
        <v>3.7757792167690152E-2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 s="1">
        <v>-3.4999999999999999E-6</v>
      </c>
      <c r="F1799">
        <v>37649.661319999999</v>
      </c>
      <c r="G1799" s="1">
        <v>1.11E-6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-7.3429368556771499E-2</v>
      </c>
      <c r="N1799" s="1">
        <f t="shared" si="116"/>
        <v>1.0896032906943211E-2</v>
      </c>
      <c r="O1799" s="1"/>
    </row>
    <row r="1800" spans="1:15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3.3400000000000002E-6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1.4742790601954998E-2</v>
      </c>
      <c r="M1800" s="1">
        <f t="shared" si="115"/>
        <v>-6.7080453279438929E-2</v>
      </c>
      <c r="N1800" s="1">
        <f t="shared" si="116"/>
        <v>2.5756789242430921E-2</v>
      </c>
      <c r="O1800" s="1"/>
    </row>
    <row r="1801" spans="1:15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-3.5599999999999998E-6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-1.325522658564E-2</v>
      </c>
      <c r="M1801" s="1">
        <f t="shared" si="115"/>
        <v>3.4119972864251641E-2</v>
      </c>
      <c r="N1801" s="1">
        <f t="shared" si="116"/>
        <v>-1.8512453376067682E-2</v>
      </c>
      <c r="O1801" s="1"/>
    </row>
    <row r="1802" spans="1:15" x14ac:dyDescent="0.25">
      <c r="A1802">
        <v>3298</v>
      </c>
      <c r="B1802">
        <v>409.080172</v>
      </c>
      <c r="C1802">
        <v>0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0</v>
      </c>
      <c r="M1802" s="1">
        <f t="shared" si="115"/>
        <v>3.8834053801277503E-2</v>
      </c>
      <c r="N1802" s="1">
        <f t="shared" si="116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5.2E-7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-8.9527265505339997E-3</v>
      </c>
      <c r="M1803" s="1">
        <f t="shared" si="115"/>
        <v>-6.096597185308792E-2</v>
      </c>
      <c r="N1803" s="1">
        <f t="shared" si="116"/>
        <v>3.1762716805372798E-3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3.9800804434562506E-2</v>
      </c>
      <c r="N1805" s="1">
        <f t="shared" si="116"/>
        <v>3.3743779260612748E-2</v>
      </c>
      <c r="O1805" s="1"/>
    </row>
    <row r="1806" spans="1:15" x14ac:dyDescent="0.25">
      <c r="A1806">
        <v>3302</v>
      </c>
      <c r="B1806">
        <v>3887.6302810000002</v>
      </c>
      <c r="C1806">
        <v>0</v>
      </c>
      <c r="D1806">
        <v>17400.249210000002</v>
      </c>
      <c r="E1806" s="1">
        <v>-3.0299999999999998E-6</v>
      </c>
      <c r="F1806">
        <v>31078.289219999999</v>
      </c>
      <c r="G1806">
        <v>0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0</v>
      </c>
      <c r="M1806" s="1">
        <f t="shared" si="115"/>
        <v>-4.6853411649211675E-2</v>
      </c>
      <c r="N1806" s="1">
        <f t="shared" si="116"/>
        <v>0</v>
      </c>
      <c r="O1806" s="1"/>
    </row>
    <row r="1807" spans="1:15" x14ac:dyDescent="0.25">
      <c r="A1807">
        <v>3303</v>
      </c>
      <c r="B1807">
        <v>8209.8329560000002</v>
      </c>
      <c r="C1807" s="1">
        <v>-2.9999999999999997E-8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-1.0641246619087501E-3</v>
      </c>
      <c r="M1807" s="1">
        <f t="shared" si="115"/>
        <v>3.9614905490566052E-2</v>
      </c>
      <c r="N1807" s="1">
        <f t="shared" si="116"/>
        <v>1.3303195388723852E-2</v>
      </c>
      <c r="O1807" s="1"/>
    </row>
    <row r="1808" spans="1:15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1.6999999999999999E-7</v>
      </c>
      <c r="F1808">
        <v>18299.772150000001</v>
      </c>
      <c r="G1808" s="1">
        <v>-3.8299999999999998E-6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9.12009051798E-3</v>
      </c>
      <c r="M1808" s="1">
        <f t="shared" si="115"/>
        <v>1.2999636715243798E-3</v>
      </c>
      <c r="N1808" s="1">
        <f t="shared" si="116"/>
        <v>-1.370328677597718E-2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-8.2999999999999999E-7</v>
      </c>
      <c r="F1810">
        <v>22679.858960000001</v>
      </c>
      <c r="G1810" s="1">
        <v>-2.3700000000000002E-6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-2.3818666021208499E-2</v>
      </c>
      <c r="M1810" s="1">
        <f t="shared" si="115"/>
        <v>-1.5419497065751219E-2</v>
      </c>
      <c r="N1810" s="1">
        <f t="shared" si="116"/>
        <v>-2.0600802590221623E-2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 s="1">
        <v>2E-8</v>
      </c>
      <c r="D1812">
        <v>61141.693679999997</v>
      </c>
      <c r="E1812">
        <v>0</v>
      </c>
      <c r="F1812">
        <v>129625.4795</v>
      </c>
      <c r="G1812">
        <v>0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4.3850502628595009E-4</v>
      </c>
      <c r="M1812" s="1">
        <f t="shared" si="115"/>
        <v>0</v>
      </c>
      <c r="N1812" s="1">
        <f t="shared" si="116"/>
        <v>0</v>
      </c>
      <c r="O1812" s="1"/>
    </row>
    <row r="1813" spans="1:15" x14ac:dyDescent="0.25">
      <c r="A1813">
        <v>3401</v>
      </c>
      <c r="B1813">
        <v>3168.3311659999999</v>
      </c>
      <c r="C1813" s="1">
        <v>9.9999999999999995E-8</v>
      </c>
      <c r="D1813">
        <v>16757.60194</v>
      </c>
      <c r="E1813" s="1">
        <v>3.7400000000000002E-6</v>
      </c>
      <c r="F1813">
        <v>94425.199890000004</v>
      </c>
      <c r="G1813" s="1">
        <v>4.9599999999999999E-7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3.1038478428782497E-3</v>
      </c>
      <c r="M1813" s="1">
        <f t="shared" si="115"/>
        <v>3.8932757280853769E-2</v>
      </c>
      <c r="N1813" s="1">
        <f t="shared" si="116"/>
        <v>2.4158441548753299E-3</v>
      </c>
      <c r="O1813" s="1"/>
    </row>
    <row r="1814" spans="1:15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-7.6400000000000001E-7</v>
      </c>
      <c r="F1814">
        <v>115380.0763</v>
      </c>
      <c r="G1814">
        <v>0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1.6305871489225503E-2</v>
      </c>
      <c r="M1814" s="1">
        <f t="shared" si="115"/>
        <v>-9.947895634701413E-3</v>
      </c>
      <c r="N1814" s="1">
        <f t="shared" si="116"/>
        <v>0</v>
      </c>
      <c r="O1814" s="1"/>
    </row>
    <row r="1815" spans="1:15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-4.6999999999999999E-6</v>
      </c>
      <c r="F1815">
        <v>109939.3401</v>
      </c>
      <c r="G1815">
        <v>0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-7.7553489849836003E-3</v>
      </c>
      <c r="M1815" s="1">
        <f t="shared" si="115"/>
        <v>-4.3660058077001081E-2</v>
      </c>
      <c r="N1815" s="1">
        <f t="shared" si="116"/>
        <v>0</v>
      </c>
      <c r="O1815" s="1"/>
    </row>
    <row r="1816" spans="1:15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1.7400000000000001E-6</v>
      </c>
      <c r="F1816">
        <v>136709.4417</v>
      </c>
      <c r="G1816">
        <v>0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9.9621537174431993E-2</v>
      </c>
      <c r="M1816" s="1">
        <f t="shared" si="115"/>
        <v>1.252932409847664E-2</v>
      </c>
      <c r="N1816" s="1">
        <f t="shared" si="116"/>
        <v>0</v>
      </c>
      <c r="O1816" s="1"/>
    </row>
    <row r="1817" spans="1:15" x14ac:dyDescent="0.25">
      <c r="A1817">
        <v>3405</v>
      </c>
      <c r="B1817">
        <v>3325.034971</v>
      </c>
      <c r="C1817">
        <v>0</v>
      </c>
      <c r="D1817">
        <v>36077.549149999999</v>
      </c>
      <c r="E1817" s="1">
        <v>-3.3799999999999998E-6</v>
      </c>
      <c r="F1817">
        <v>100951.6456</v>
      </c>
      <c r="G1817">
        <v>0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0</v>
      </c>
      <c r="M1817" s="1">
        <f t="shared" si="115"/>
        <v>-3.1019651011061931E-2</v>
      </c>
      <c r="N1817" s="1">
        <f t="shared" si="116"/>
        <v>0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 s="1">
        <v>-9.9999999999999995E-8</v>
      </c>
      <c r="F1818">
        <v>33453.032370000001</v>
      </c>
      <c r="G1818">
        <v>0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-1.7486346117551001E-3</v>
      </c>
      <c r="N1818" s="1">
        <f t="shared" si="116"/>
        <v>0</v>
      </c>
      <c r="O1818" s="1"/>
    </row>
    <row r="1819" spans="1:15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2.83E-6</v>
      </c>
      <c r="F1819">
        <v>94727.077170000004</v>
      </c>
      <c r="G1819" s="1">
        <v>9.2600000000000001E-7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-1.1750902272134999E-2</v>
      </c>
      <c r="M1819" s="1">
        <f t="shared" si="115"/>
        <v>3.7177444347543422E-2</v>
      </c>
      <c r="N1819" s="1">
        <f t="shared" si="116"/>
        <v>5.6917754943984359E-3</v>
      </c>
      <c r="O1819" s="1"/>
    </row>
    <row r="1820" spans="1:15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>
        <v>0</v>
      </c>
      <c r="F1820">
        <v>152843.17050000001</v>
      </c>
      <c r="G1820">
        <v>0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1.4086315006529999E-2</v>
      </c>
      <c r="M1820" s="1">
        <f t="shared" si="115"/>
        <v>0</v>
      </c>
      <c r="N1820" s="1">
        <f t="shared" si="116"/>
        <v>0</v>
      </c>
      <c r="O1820" s="1"/>
    </row>
    <row r="1821" spans="1:15" x14ac:dyDescent="0.25">
      <c r="A1821">
        <v>3411</v>
      </c>
      <c r="B1821">
        <v>5797.0388999999996</v>
      </c>
      <c r="C1821" s="1">
        <v>1.1999999999999999E-7</v>
      </c>
      <c r="D1821">
        <v>26024.673699999999</v>
      </c>
      <c r="E1821" s="1">
        <v>-1.0699999999999999E-6</v>
      </c>
      <c r="F1821">
        <v>100669.2387</v>
      </c>
      <c r="G1821">
        <v>0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3.2336399684159997E-3</v>
      </c>
      <c r="M1821" s="1">
        <f t="shared" si="115"/>
        <v>-9.670241782470718E-3</v>
      </c>
      <c r="N1821" s="1">
        <f t="shared" si="116"/>
        <v>0</v>
      </c>
      <c r="O1821" s="1"/>
    </row>
    <row r="1822" spans="1:15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1.1999999999999999E-7</v>
      </c>
      <c r="F1822">
        <v>56292.682509999999</v>
      </c>
      <c r="G1822">
        <v>0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5.8043997840529996E-3</v>
      </c>
      <c r="M1822" s="1">
        <f t="shared" si="115"/>
        <v>1.1680238334678961E-3</v>
      </c>
      <c r="N1822" s="1">
        <f t="shared" si="116"/>
        <v>0</v>
      </c>
      <c r="O1822" s="1"/>
    </row>
    <row r="1823" spans="1:15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6.1999999999999999E-7</v>
      </c>
      <c r="F1823">
        <v>92234.156900000002</v>
      </c>
      <c r="G1823" s="1">
        <v>2.2400000000000002E-6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-2.5233091610609999E-2</v>
      </c>
      <c r="M1823" s="1">
        <f t="shared" si="115"/>
        <v>2.623465124684652E-2</v>
      </c>
      <c r="N1823" s="1">
        <f t="shared" si="116"/>
        <v>4.4348129009170567E-2</v>
      </c>
      <c r="O1823" s="1"/>
    </row>
    <row r="1824" spans="1:15" x14ac:dyDescent="0.25">
      <c r="A1824">
        <v>3416</v>
      </c>
      <c r="B1824">
        <v>22107.82531</v>
      </c>
      <c r="C1824" s="1">
        <v>-1.15E-6</v>
      </c>
      <c r="D1824">
        <v>77992.82733</v>
      </c>
      <c r="E1824" s="1">
        <v>1.02E-6</v>
      </c>
      <c r="F1824">
        <v>286877.50719999999</v>
      </c>
      <c r="G1824">
        <v>0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-1.0093911640629376E-2</v>
      </c>
      <c r="M1824" s="1">
        <f t="shared" si="115"/>
        <v>3.0026517624218703E-3</v>
      </c>
      <c r="N1824" s="1">
        <f t="shared" si="116"/>
        <v>0</v>
      </c>
      <c r="O1824" s="1"/>
    </row>
    <row r="1825" spans="1:15" x14ac:dyDescent="0.25">
      <c r="A1825">
        <v>3417</v>
      </c>
      <c r="B1825">
        <v>10947.93353</v>
      </c>
      <c r="C1825" s="1">
        <v>3.5599999999999998E-6</v>
      </c>
      <c r="D1825">
        <v>59386.407440000003</v>
      </c>
      <c r="E1825" s="1">
        <v>2.9400000000000001E-7</v>
      </c>
      <c r="F1825">
        <v>198052.1201</v>
      </c>
      <c r="G1825" s="1">
        <v>-2.27E-5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3.6301932720259694E-2</v>
      </c>
      <c r="M1825" s="1">
        <f t="shared" si="115"/>
        <v>1.0054725462000365E-3</v>
      </c>
      <c r="N1825" s="1">
        <f t="shared" si="116"/>
        <v>-3.6323895860194168E-2</v>
      </c>
      <c r="O1825" s="1"/>
    </row>
    <row r="1826" spans="1:15" x14ac:dyDescent="0.25">
      <c r="A1826">
        <v>3418</v>
      </c>
      <c r="B1826">
        <v>14993.365169999999</v>
      </c>
      <c r="C1826" s="1">
        <v>4.6600000000000003E-6</v>
      </c>
      <c r="D1826">
        <v>67369.05386</v>
      </c>
      <c r="E1826" s="1">
        <v>2.52E-6</v>
      </c>
      <c r="F1826">
        <v>238079.80609999999</v>
      </c>
      <c r="G1826">
        <v>0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7.3449226538862863E-2</v>
      </c>
      <c r="M1826" s="1">
        <f t="shared" si="115"/>
        <v>1.3321250277778043E-2</v>
      </c>
      <c r="N1826" s="1">
        <f t="shared" si="116"/>
        <v>0</v>
      </c>
      <c r="O1826" s="1"/>
    </row>
    <row r="1827" spans="1:15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-3.7500000000000001E-6</v>
      </c>
      <c r="F1827">
        <v>131962.5827</v>
      </c>
      <c r="G1827" s="1">
        <v>1.06E-5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-6.0389881862797498E-3</v>
      </c>
      <c r="M1827" s="1">
        <f t="shared" si="115"/>
        <v>-2.5317296627095875E-2</v>
      </c>
      <c r="N1827" s="1">
        <f t="shared" si="116"/>
        <v>3.3483866805157261E-2</v>
      </c>
      <c r="O1827" s="1"/>
    </row>
    <row r="1828" spans="1:15" x14ac:dyDescent="0.25">
      <c r="A1828">
        <v>3420</v>
      </c>
      <c r="B1828">
        <v>38639.667750000001</v>
      </c>
      <c r="C1828" s="1">
        <v>-1.9800000000000001E-6</v>
      </c>
      <c r="D1828">
        <v>121791.0824</v>
      </c>
      <c r="E1828" s="1">
        <v>3.8800000000000001E-5</v>
      </c>
      <c r="F1828">
        <v>393577.44270000001</v>
      </c>
      <c r="G1828">
        <v>0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-1.03043479323213E-2</v>
      </c>
      <c r="M1828" s="1">
        <f t="shared" si="115"/>
        <v>6.7722064141994165E-2</v>
      </c>
      <c r="N1828" s="1">
        <f t="shared" si="116"/>
        <v>0</v>
      </c>
      <c r="O1828" s="1"/>
    </row>
    <row r="1829" spans="1:15" x14ac:dyDescent="0.25">
      <c r="A1829">
        <v>3421</v>
      </c>
      <c r="B1829">
        <v>2424.961198</v>
      </c>
      <c r="C1829">
        <v>0</v>
      </c>
      <c r="D1829">
        <v>27103.883010000001</v>
      </c>
      <c r="E1829" s="1">
        <v>-4.5499999999999996E-6</v>
      </c>
      <c r="F1829">
        <v>81046.896970000002</v>
      </c>
      <c r="G1829" s="1">
        <v>3.2399999999999999E-7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0</v>
      </c>
      <c r="M1829" s="1">
        <f t="shared" si="115"/>
        <v>-2.286997515522856E-2</v>
      </c>
      <c r="N1829" s="1">
        <f t="shared" si="116"/>
        <v>7.6197896857545483E-4</v>
      </c>
      <c r="O1829" s="1"/>
    </row>
    <row r="1830" spans="1:15" x14ac:dyDescent="0.25">
      <c r="A1830">
        <v>3422</v>
      </c>
      <c r="B1830">
        <v>11046.00424</v>
      </c>
      <c r="C1830" s="1">
        <v>-1.4499999999999999E-7</v>
      </c>
      <c r="D1830">
        <v>53979.613830000002</v>
      </c>
      <c r="E1830" s="1">
        <v>3.72E-6</v>
      </c>
      <c r="F1830">
        <v>176913.0575</v>
      </c>
      <c r="G1830" s="1">
        <v>1.31E-5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-3.5905917427020871E-3</v>
      </c>
      <c r="M1830" s="1">
        <f t="shared" si="115"/>
        <v>3.0894708537524507E-2</v>
      </c>
      <c r="N1830" s="1">
        <f t="shared" si="116"/>
        <v>5.0904495348525515E-2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 s="1">
        <v>-2.65E-6</v>
      </c>
      <c r="F1831">
        <v>72213.408320000002</v>
      </c>
      <c r="G1831" s="1">
        <v>2.4E-8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-2.2931003383735417E-2</v>
      </c>
      <c r="N1831" s="1">
        <f t="shared" si="116"/>
        <v>9.7169977987509611E-5</v>
      </c>
      <c r="O1831" s="1"/>
    </row>
    <row r="1832" spans="1:15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>
        <v>0</v>
      </c>
      <c r="F1832">
        <v>136703.69279999999</v>
      </c>
      <c r="G1832" s="1">
        <v>-3.6900000000000002E-5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-1.2439566492618364E-2</v>
      </c>
      <c r="M1832" s="1">
        <f t="shared" si="115"/>
        <v>0</v>
      </c>
      <c r="N1832" s="1">
        <f t="shared" si="116"/>
        <v>-0.17356826826660612</v>
      </c>
      <c r="O1832" s="1"/>
    </row>
    <row r="1833" spans="1:15" x14ac:dyDescent="0.25">
      <c r="A1833">
        <v>3425</v>
      </c>
      <c r="B1833">
        <v>4246.9143809999996</v>
      </c>
      <c r="C1833" s="1">
        <v>1.9999999999999999E-7</v>
      </c>
      <c r="D1833">
        <v>14840.2747</v>
      </c>
      <c r="E1833">
        <v>0</v>
      </c>
      <c r="F1833">
        <v>65456.690399999999</v>
      </c>
      <c r="G1833" s="1">
        <v>4.0400000000000003E-6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4.5618379622530004E-3</v>
      </c>
      <c r="M1833" s="1">
        <f t="shared" si="115"/>
        <v>0</v>
      </c>
      <c r="N1833" s="1">
        <f t="shared" si="116"/>
        <v>1.4460324519117052E-2</v>
      </c>
      <c r="O1833" s="1"/>
    </row>
    <row r="1834" spans="1:15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3.5499999999999999E-7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2.7223377200240002E-2</v>
      </c>
      <c r="M1834" s="1">
        <f t="shared" si="115"/>
        <v>6.8477264188295996E-3</v>
      </c>
      <c r="N1834" s="1">
        <f t="shared" si="116"/>
        <v>3.7913788016180399E-3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>
        <v>0</v>
      </c>
      <c r="F1835">
        <v>101357.433</v>
      </c>
      <c r="G1835">
        <v>0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0</v>
      </c>
      <c r="N1835" s="1">
        <f t="shared" si="116"/>
        <v>0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>
        <v>0</v>
      </c>
      <c r="F1836">
        <v>90938.625639999998</v>
      </c>
      <c r="G1836" s="1">
        <v>1.88E-6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0</v>
      </c>
      <c r="N1836" s="1">
        <f t="shared" si="116"/>
        <v>9.0207610755987967E-3</v>
      </c>
      <c r="O1836" s="1"/>
    </row>
    <row r="1837" spans="1:15" x14ac:dyDescent="0.25">
      <c r="A1837">
        <v>3431</v>
      </c>
      <c r="B1837">
        <v>3494.073288</v>
      </c>
      <c r="C1837">
        <v>0</v>
      </c>
      <c r="D1837">
        <v>32211.653490000001</v>
      </c>
      <c r="E1837" s="1">
        <v>-1.5799999999999999E-6</v>
      </c>
      <c r="F1837">
        <v>91973.360889999996</v>
      </c>
      <c r="G1837" s="1">
        <v>-3.1599999999999998E-6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0</v>
      </c>
      <c r="M1837" s="1">
        <f t="shared" si="115"/>
        <v>-1.1956113042807448E-2</v>
      </c>
      <c r="N1837" s="1">
        <f t="shared" si="116"/>
        <v>-1.1188289269416144E-2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 s="1">
        <v>-6.2500000000000005E-7</v>
      </c>
      <c r="F1838">
        <v>61501.269659999998</v>
      </c>
      <c r="G1838" s="1">
        <v>3.9299999999999996E-6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-9.7201568284118762E-3</v>
      </c>
      <c r="N1838" s="1">
        <f t="shared" si="116"/>
        <v>2.8597593146694932E-2</v>
      </c>
      <c r="O1838" s="1"/>
    </row>
    <row r="1839" spans="1:15" x14ac:dyDescent="0.25">
      <c r="A1839">
        <v>3433</v>
      </c>
      <c r="B1839">
        <v>2905.2367399999998</v>
      </c>
      <c r="C1839" s="1">
        <v>2E-8</v>
      </c>
      <c r="D1839">
        <v>30568.85657</v>
      </c>
      <c r="E1839" s="1">
        <v>-4.0099999999999997E-6</v>
      </c>
      <c r="F1839">
        <v>81258.623749999999</v>
      </c>
      <c r="G1839" s="1">
        <v>2.96E-6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3.1400007550275004E-4</v>
      </c>
      <c r="M1839" s="1">
        <f t="shared" si="115"/>
        <v>-2.111481430792261E-2</v>
      </c>
      <c r="N1839" s="1">
        <f t="shared" si="116"/>
        <v>7.2925309842915608E-3</v>
      </c>
      <c r="O1839" s="1"/>
    </row>
    <row r="1840" spans="1:15" x14ac:dyDescent="0.25">
      <c r="A1840">
        <v>3434</v>
      </c>
      <c r="B1840">
        <v>21189.687480000001</v>
      </c>
      <c r="C1840" s="1">
        <v>-4.9500000000000003E-7</v>
      </c>
      <c r="D1840">
        <v>36775.662770000003</v>
      </c>
      <c r="E1840" s="1">
        <v>-3.3299999999999999E-6</v>
      </c>
      <c r="F1840">
        <v>111162.71060000001</v>
      </c>
      <c r="G1840" s="1">
        <v>6.2500000000000003E-6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-1.4554892916521102E-2</v>
      </c>
      <c r="M1840" s="1">
        <f t="shared" si="115"/>
        <v>-3.2839095458645925E-2</v>
      </c>
      <c r="N1840" s="1">
        <f t="shared" si="116"/>
        <v>2.8838365918515001E-2</v>
      </c>
      <c r="O1840" s="1"/>
    </row>
    <row r="1841" spans="1:15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-2.03E-6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2.42025427924605E-3</v>
      </c>
      <c r="M1841" s="1">
        <f t="shared" si="115"/>
        <v>1.8489087818718969E-2</v>
      </c>
      <c r="N1841" s="1">
        <f t="shared" si="116"/>
        <v>-4.2832294962451885E-3</v>
      </c>
      <c r="O1841" s="1"/>
    </row>
    <row r="1842" spans="1:15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-3.49E-6</v>
      </c>
      <c r="F1842">
        <v>173296.1452</v>
      </c>
      <c r="G1842">
        <v>0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2.4921484486658506E-2</v>
      </c>
      <c r="M1842" s="1">
        <f t="shared" si="115"/>
        <v>-2.2438773759928428E-2</v>
      </c>
      <c r="N1842" s="1">
        <f t="shared" si="116"/>
        <v>0</v>
      </c>
      <c r="O1842" s="1"/>
    </row>
    <row r="1843" spans="1:15" x14ac:dyDescent="0.25">
      <c r="A1843">
        <v>3439</v>
      </c>
      <c r="B1843">
        <v>6534.283563</v>
      </c>
      <c r="C1843" s="1">
        <v>-2E-8</v>
      </c>
      <c r="D1843">
        <v>37433.309589999997</v>
      </c>
      <c r="E1843" s="1">
        <v>-1.9400000000000001E-6</v>
      </c>
      <c r="F1843">
        <v>171562.5491</v>
      </c>
      <c r="G1843">
        <v>0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-3.6918458056675E-4</v>
      </c>
      <c r="M1843" s="1">
        <f t="shared" si="115"/>
        <v>-1.2010426370253071E-2</v>
      </c>
      <c r="N1843" s="1">
        <f t="shared" si="116"/>
        <v>0</v>
      </c>
      <c r="O1843" s="1"/>
    </row>
    <row r="1844" spans="1:15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-1.55E-6</v>
      </c>
      <c r="F1844">
        <v>161080.2893</v>
      </c>
      <c r="G1844">
        <v>0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1.203840523874365E-2</v>
      </c>
      <c r="M1844" s="1">
        <f t="shared" si="115"/>
        <v>-1.6468733320532301E-2</v>
      </c>
      <c r="N1844" s="1">
        <f t="shared" si="116"/>
        <v>0</v>
      </c>
      <c r="O1844" s="1"/>
    </row>
    <row r="1845" spans="1:15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-3.4699999999999998E-6</v>
      </c>
      <c r="F1845">
        <v>192394.73540000001</v>
      </c>
      <c r="G1845">
        <v>0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-7.4992502038349999E-3</v>
      </c>
      <c r="M1845" s="1">
        <f t="shared" si="115"/>
        <v>-2.9091706713810377E-2</v>
      </c>
      <c r="N1845" s="1">
        <f t="shared" si="116"/>
        <v>0</v>
      </c>
      <c r="O1845" s="1"/>
    </row>
    <row r="1846" spans="1:15" x14ac:dyDescent="0.25">
      <c r="A1846">
        <v>3442</v>
      </c>
      <c r="B1846">
        <v>28150.702669999999</v>
      </c>
      <c r="C1846" s="1">
        <v>-9.4499999999999995E-7</v>
      </c>
      <c r="D1846">
        <v>89164.307449999993</v>
      </c>
      <c r="E1846" s="1">
        <v>-2.92E-6</v>
      </c>
      <c r="F1846">
        <v>340117.02549999999</v>
      </c>
      <c r="G1846">
        <v>0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-1.6100593038549341E-2</v>
      </c>
      <c r="M1846" s="1">
        <f t="shared" si="115"/>
        <v>-1.6685378110897788E-2</v>
      </c>
      <c r="N1846" s="1">
        <f t="shared" si="116"/>
        <v>0</v>
      </c>
      <c r="O1846" s="1"/>
    </row>
    <row r="1847" spans="1:15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4.4400000000000001E-7</v>
      </c>
      <c r="F1847">
        <v>307418.65500000003</v>
      </c>
      <c r="G1847">
        <v>0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-7.157306245136775E-3</v>
      </c>
      <c r="M1847" s="1">
        <f t="shared" si="115"/>
        <v>3.0892753002420455E-3</v>
      </c>
      <c r="N1847" s="1">
        <f t="shared" si="116"/>
        <v>0</v>
      </c>
      <c r="O1847" s="1"/>
    </row>
    <row r="1848" spans="1:15" x14ac:dyDescent="0.25">
      <c r="A1848">
        <v>3444</v>
      </c>
      <c r="B1848">
        <v>2193.3580029999998</v>
      </c>
      <c r="C1848">
        <v>0</v>
      </c>
      <c r="D1848">
        <v>45313.805740000003</v>
      </c>
      <c r="E1848" s="1">
        <v>-9.4499999999999995E-7</v>
      </c>
      <c r="F1848">
        <v>115976.8977</v>
      </c>
      <c r="G1848" s="1">
        <v>3.8699999999999999E-5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0</v>
      </c>
      <c r="M1848" s="1">
        <f t="shared" si="115"/>
        <v>-9.5588681986898093E-3</v>
      </c>
      <c r="N1848" s="1">
        <f t="shared" si="116"/>
        <v>0.18315944045195939</v>
      </c>
      <c r="O1848" s="1"/>
    </row>
    <row r="1849" spans="1:15" x14ac:dyDescent="0.25">
      <c r="A1849">
        <v>3447</v>
      </c>
      <c r="B1849">
        <v>2728.9281249999999</v>
      </c>
      <c r="C1849" s="1">
        <v>-8.0000000000000002E-8</v>
      </c>
      <c r="D1849">
        <v>13991.164360000001</v>
      </c>
      <c r="E1849" s="1">
        <v>4.4000000000000002E-7</v>
      </c>
      <c r="F1849">
        <v>90327.48014</v>
      </c>
      <c r="G1849">
        <v>0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-2.1336357280212002E-3</v>
      </c>
      <c r="M1849" s="1">
        <f t="shared" si="115"/>
        <v>3.9357372890729521E-3</v>
      </c>
      <c r="N1849" s="1">
        <f t="shared" si="116"/>
        <v>0</v>
      </c>
      <c r="O1849" s="1"/>
    </row>
    <row r="1850" spans="1:15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-1.68E-6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-1.1646068969599998E-2</v>
      </c>
      <c r="M1850" s="1">
        <f t="shared" si="115"/>
        <v>1.968579830504448E-2</v>
      </c>
      <c r="N1850" s="1">
        <f t="shared" si="116"/>
        <v>-6.1405242419404794E-3</v>
      </c>
      <c r="O1850" s="1"/>
    </row>
    <row r="1851" spans="1:15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>
        <v>0</v>
      </c>
      <c r="F1851">
        <v>80113.91347</v>
      </c>
      <c r="G1851" s="1">
        <v>-2.9799999999999998E-6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-5.3167160949109992E-3</v>
      </c>
      <c r="M1851" s="1">
        <f t="shared" si="115"/>
        <v>0</v>
      </c>
      <c r="N1851" s="1">
        <f t="shared" si="116"/>
        <v>-6.2156500931121062E-3</v>
      </c>
      <c r="O1851" s="1"/>
    </row>
    <row r="1852" spans="1:15" x14ac:dyDescent="0.25">
      <c r="A1852">
        <v>3450</v>
      </c>
      <c r="B1852">
        <v>4137.9636140000002</v>
      </c>
      <c r="C1852" s="1">
        <v>-2.8000000000000002E-7</v>
      </c>
      <c r="D1852">
        <v>30145.492050000001</v>
      </c>
      <c r="E1852" s="1">
        <v>4.6399999999999996E-6</v>
      </c>
      <c r="F1852">
        <v>106342.18030000001</v>
      </c>
      <c r="G1852">
        <v>0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-1.0405214881698001E-2</v>
      </c>
      <c r="M1852" s="1">
        <f t="shared" si="115"/>
        <v>5.7830126138105266E-2</v>
      </c>
      <c r="N1852" s="1">
        <f t="shared" si="116"/>
        <v>0</v>
      </c>
      <c r="O1852" s="1"/>
    </row>
    <row r="1853" spans="1:15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3.9099999999999998E-6</v>
      </c>
      <c r="F1853">
        <v>169485.3279</v>
      </c>
      <c r="G1853">
        <v>0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-6.9676470005219995E-3</v>
      </c>
      <c r="M1853" s="1">
        <f t="shared" si="115"/>
        <v>3.0456835642589445E-2</v>
      </c>
      <c r="N1853" s="1">
        <f t="shared" si="116"/>
        <v>0</v>
      </c>
      <c r="O1853" s="1"/>
    </row>
    <row r="1854" spans="1:15" x14ac:dyDescent="0.25">
      <c r="A1854">
        <v>3454</v>
      </c>
      <c r="B1854">
        <v>20624.42078</v>
      </c>
      <c r="C1854" s="1">
        <v>-4.7500000000000003E-6</v>
      </c>
      <c r="D1854">
        <v>89558.080520000003</v>
      </c>
      <c r="E1854" s="1">
        <v>1.9400000000000001E-6</v>
      </c>
      <c r="F1854">
        <v>267560.40649999998</v>
      </c>
      <c r="G1854">
        <v>0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-8.2086172653606876E-2</v>
      </c>
      <c r="M1854" s="1">
        <f t="shared" si="115"/>
        <v>1.1244011057056981E-2</v>
      </c>
      <c r="N1854" s="1">
        <f t="shared" si="116"/>
        <v>0</v>
      </c>
      <c r="O1854" s="1"/>
    </row>
    <row r="1855" spans="1:15" x14ac:dyDescent="0.25">
      <c r="A1855">
        <v>3455</v>
      </c>
      <c r="B1855">
        <v>7498.5473380000003</v>
      </c>
      <c r="C1855" s="1">
        <v>-9.9999999999999995E-8</v>
      </c>
      <c r="D1855">
        <v>66572.625899999999</v>
      </c>
      <c r="E1855" s="1">
        <v>-3.05E-6</v>
      </c>
      <c r="F1855">
        <v>228877.98420000001</v>
      </c>
      <c r="G1855">
        <v>0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-8.4503489321874998E-4</v>
      </c>
      <c r="M1855" s="1">
        <f t="shared" si="115"/>
        <v>-8.6440569307868753E-3</v>
      </c>
      <c r="N1855" s="1">
        <f t="shared" si="116"/>
        <v>0</v>
      </c>
      <c r="O1855" s="1"/>
    </row>
    <row r="1856" spans="1:15" x14ac:dyDescent="0.25">
      <c r="A1856">
        <v>3456</v>
      </c>
      <c r="B1856">
        <v>37160.479229999997</v>
      </c>
      <c r="C1856" s="1">
        <v>3.1700000000000001E-6</v>
      </c>
      <c r="D1856">
        <v>161172.96100000001</v>
      </c>
      <c r="E1856">
        <v>0</v>
      </c>
      <c r="F1856">
        <v>414694.20419999998</v>
      </c>
      <c r="G1856">
        <v>0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4.0057988304492927E-2</v>
      </c>
      <c r="M1856" s="1">
        <f t="shared" si="115"/>
        <v>0</v>
      </c>
      <c r="N1856" s="1">
        <f t="shared" si="116"/>
        <v>0</v>
      </c>
      <c r="O1856" s="1"/>
    </row>
    <row r="1857" spans="1:15" x14ac:dyDescent="0.25">
      <c r="A1857">
        <v>3457</v>
      </c>
      <c r="B1857">
        <v>12880.1101</v>
      </c>
      <c r="C1857">
        <v>0</v>
      </c>
      <c r="D1857">
        <v>83167.117710000006</v>
      </c>
      <c r="E1857" s="1">
        <v>-4.1500000000000001E-6</v>
      </c>
      <c r="F1857">
        <v>270190.18949999998</v>
      </c>
      <c r="G1857">
        <v>0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0</v>
      </c>
      <c r="M1857" s="1">
        <f t="shared" si="115"/>
        <v>-1.271886213454638E-2</v>
      </c>
      <c r="N1857" s="1">
        <f t="shared" si="116"/>
        <v>0</v>
      </c>
      <c r="O1857" s="1"/>
    </row>
    <row r="1858" spans="1:15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-5.0000000000000004E-6</v>
      </c>
      <c r="F1858">
        <v>178960.1825</v>
      </c>
      <c r="G1858">
        <v>0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-5.3390056140427498E-3</v>
      </c>
      <c r="M1858" s="1">
        <f t="shared" si="115"/>
        <v>-2.9843672406700501E-2</v>
      </c>
      <c r="N1858" s="1">
        <f t="shared" si="116"/>
        <v>0</v>
      </c>
      <c r="O1858" s="1"/>
    </row>
    <row r="1859" spans="1:15" x14ac:dyDescent="0.25">
      <c r="A1859">
        <v>3459</v>
      </c>
      <c r="B1859">
        <v>12089.81119</v>
      </c>
      <c r="C1859" s="1">
        <v>-3.2200000000000001E-6</v>
      </c>
      <c r="D1859">
        <v>74643.396779999995</v>
      </c>
      <c r="E1859" s="1">
        <v>-2.5500000000000001E-6</v>
      </c>
      <c r="F1859">
        <v>243036.52009999999</v>
      </c>
      <c r="G1859">
        <v>0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-0.10241545119581685</v>
      </c>
      <c r="M1859" s="1">
        <f t="shared" ref="M1859:M1922" si="119">$U$3*$K1859*E1859</f>
        <v>-2.7201504691712661E-2</v>
      </c>
      <c r="N1859" s="1">
        <f t="shared" ref="N1859:N1922" si="120">$U$4*$K1859*G1859</f>
        <v>0</v>
      </c>
      <c r="O1859" s="1"/>
    </row>
    <row r="1860" spans="1:15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2.5900000000000002E-6</v>
      </c>
      <c r="F1860">
        <v>169277.79810000001</v>
      </c>
      <c r="G1860">
        <v>0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-5.0758926600914999E-3</v>
      </c>
      <c r="M1860" s="1">
        <f t="shared" si="119"/>
        <v>1.4697182121748014E-2</v>
      </c>
      <c r="N1860" s="1">
        <f t="shared" si="120"/>
        <v>0</v>
      </c>
      <c r="O1860" s="1"/>
    </row>
    <row r="1861" spans="1:15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>
        <v>0</v>
      </c>
      <c r="F1861">
        <v>84220.888479999994</v>
      </c>
      <c r="G1861" s="1">
        <v>3.9099999999999998E-6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-9.9972658889999986E-3</v>
      </c>
      <c r="M1861" s="1">
        <f t="shared" si="119"/>
        <v>0</v>
      </c>
      <c r="N1861" s="1">
        <f t="shared" si="120"/>
        <v>2.0446715804364003E-2</v>
      </c>
      <c r="O1861" s="1"/>
    </row>
    <row r="1862" spans="1:15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2.9699999999999999E-6</v>
      </c>
      <c r="F1862">
        <v>162370.79639999999</v>
      </c>
      <c r="G1862">
        <v>0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-6.1502346330164999E-2</v>
      </c>
      <c r="M1862" s="1">
        <f t="shared" si="119"/>
        <v>3.403445226916977E-2</v>
      </c>
      <c r="N1862" s="1">
        <f t="shared" si="120"/>
        <v>0</v>
      </c>
      <c r="O1862" s="1"/>
    </row>
    <row r="1863" spans="1:15" x14ac:dyDescent="0.25">
      <c r="A1863">
        <v>3465</v>
      </c>
      <c r="B1863">
        <v>6496.8582100000003</v>
      </c>
      <c r="C1863">
        <v>0</v>
      </c>
      <c r="D1863">
        <v>29057.965800000002</v>
      </c>
      <c r="E1863" s="1">
        <v>3.4999999999999999E-6</v>
      </c>
      <c r="F1863">
        <v>98455.541750000004</v>
      </c>
      <c r="G1863">
        <v>0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0</v>
      </c>
      <c r="M1863" s="1">
        <f t="shared" si="119"/>
        <v>2.5410911327865351E-2</v>
      </c>
      <c r="N1863" s="1">
        <f t="shared" si="120"/>
        <v>0</v>
      </c>
      <c r="O1863" s="1"/>
    </row>
    <row r="1864" spans="1:15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-3.3400000000000002E-6</v>
      </c>
      <c r="F1864">
        <v>139112.81409999999</v>
      </c>
      <c r="G1864">
        <v>0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-4.09710407633475E-3</v>
      </c>
      <c r="M1864" s="1">
        <f t="shared" si="119"/>
        <v>-1.5298376513132607E-2</v>
      </c>
      <c r="N1864" s="1">
        <f t="shared" si="120"/>
        <v>0</v>
      </c>
      <c r="O1864" s="1"/>
    </row>
    <row r="1865" spans="1:15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>
        <v>0</v>
      </c>
      <c r="F1865">
        <v>118923.0619</v>
      </c>
      <c r="G1865">
        <v>0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-2.9051373965406002E-3</v>
      </c>
      <c r="M1865" s="1">
        <f t="shared" si="119"/>
        <v>0</v>
      </c>
      <c r="N1865" s="1">
        <f t="shared" si="120"/>
        <v>0</v>
      </c>
      <c r="O1865" s="1"/>
    </row>
    <row r="1866" spans="1:15" x14ac:dyDescent="0.25">
      <c r="A1866">
        <v>3468</v>
      </c>
      <c r="B1866">
        <v>6817.5018799999998</v>
      </c>
      <c r="C1866" s="1">
        <v>-2E-8</v>
      </c>
      <c r="D1866">
        <v>33976.486819999998</v>
      </c>
      <c r="E1866" s="1">
        <v>2.1900000000000002E-6</v>
      </c>
      <c r="F1866">
        <v>145555.60440000001</v>
      </c>
      <c r="G1866">
        <v>0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-5.0372096115834999E-4</v>
      </c>
      <c r="M1866" s="1">
        <f t="shared" si="119"/>
        <v>1.8498958559709192E-2</v>
      </c>
      <c r="N1866" s="1">
        <f t="shared" si="120"/>
        <v>0</v>
      </c>
      <c r="O1866" s="1"/>
    </row>
    <row r="1867" spans="1:15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-2.4700000000000001E-6</v>
      </c>
      <c r="F1867">
        <v>164122.42629999999</v>
      </c>
      <c r="G1867">
        <v>0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9.3437049261871255E-2</v>
      </c>
      <c r="M1867" s="1">
        <f t="shared" si="119"/>
        <v>-1.8878841855740035E-2</v>
      </c>
      <c r="N1867" s="1">
        <f t="shared" si="120"/>
        <v>0</v>
      </c>
      <c r="O1867" s="1"/>
    </row>
    <row r="1868" spans="1:15" x14ac:dyDescent="0.25">
      <c r="A1868">
        <v>3472</v>
      </c>
      <c r="B1868">
        <v>4452.5420599999998</v>
      </c>
      <c r="C1868" s="1">
        <v>1.9999999999999999E-7</v>
      </c>
      <c r="D1868">
        <v>15777.466549999999</v>
      </c>
      <c r="E1868" s="1">
        <v>7.9999999999999996E-7</v>
      </c>
      <c r="F1868">
        <v>69356.356419999996</v>
      </c>
      <c r="G1868" s="1">
        <v>1.3200000000000001E-6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9.286375043335E-3</v>
      </c>
      <c r="M1868" s="1">
        <f t="shared" si="119"/>
        <v>1.2458029288904798E-2</v>
      </c>
      <c r="N1868" s="1">
        <f t="shared" si="120"/>
        <v>9.6178271987278803E-3</v>
      </c>
      <c r="O1868" s="1"/>
    </row>
    <row r="1869" spans="1:15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3.5300000000000001E-6</v>
      </c>
      <c r="F1869">
        <v>132105.2163</v>
      </c>
      <c r="G1869">
        <v>0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5.3969951078329005E-3</v>
      </c>
      <c r="M1869" s="1">
        <f t="shared" si="119"/>
        <v>2.904338192504706E-2</v>
      </c>
      <c r="N1869" s="1">
        <f t="shared" si="120"/>
        <v>0</v>
      </c>
      <c r="O1869" s="1"/>
    </row>
    <row r="1870" spans="1:15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>
        <v>0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2.9074603934180999E-3</v>
      </c>
      <c r="M1870" s="1">
        <f t="shared" si="119"/>
        <v>-2.4865495887709563E-2</v>
      </c>
      <c r="N1870" s="1">
        <f t="shared" si="120"/>
        <v>0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1.44472536208E-2</v>
      </c>
      <c r="N1871" s="1">
        <f t="shared" si="120"/>
        <v>5.0697931284000002E-3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-1.1775424023910601E-2</v>
      </c>
      <c r="N1872" s="1">
        <f t="shared" si="12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>
        <v>0</v>
      </c>
      <c r="F1874">
        <v>53119.692730000002</v>
      </c>
      <c r="G1874" s="1">
        <v>-7.6899999999999996E-7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0</v>
      </c>
      <c r="N1874" s="1">
        <f t="shared" si="120"/>
        <v>-3.982403822454747E-2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1.8972261144166402E-2</v>
      </c>
      <c r="N1875" s="1">
        <f t="shared" si="12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 s="1">
        <v>-4.1899999999999997E-6</v>
      </c>
      <c r="D1880">
        <v>39776.636290000002</v>
      </c>
      <c r="E1880" s="1">
        <v>-1.39E-6</v>
      </c>
      <c r="F1880">
        <v>127583.5472</v>
      </c>
      <c r="G1880">
        <v>0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-0.15192061659098996</v>
      </c>
      <c r="M1880" s="1">
        <f t="shared" si="119"/>
        <v>-1.6902876900826799E-2</v>
      </c>
      <c r="N1880" s="1">
        <f t="shared" si="120"/>
        <v>0</v>
      </c>
      <c r="O1880" s="1"/>
    </row>
    <row r="1881" spans="1:15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1.2100000000000001E-6</v>
      </c>
      <c r="F1881">
        <v>103640.94070000001</v>
      </c>
      <c r="G1881">
        <v>0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4.987123690360501E-3</v>
      </c>
      <c r="M1881" s="1">
        <f t="shared" si="119"/>
        <v>1.0119257592640714E-2</v>
      </c>
      <c r="N1881" s="1">
        <f t="shared" si="120"/>
        <v>0</v>
      </c>
      <c r="O1881" s="1"/>
    </row>
    <row r="1882" spans="1:15" x14ac:dyDescent="0.25">
      <c r="A1882">
        <v>3489</v>
      </c>
      <c r="B1882">
        <v>10670.788</v>
      </c>
      <c r="C1882">
        <v>0</v>
      </c>
      <c r="D1882">
        <v>57049.462489999998</v>
      </c>
      <c r="E1882" s="1">
        <v>-8.8899999999999998E-7</v>
      </c>
      <c r="F1882">
        <v>140601.3591</v>
      </c>
      <c r="G1882">
        <v>0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0</v>
      </c>
      <c r="M1882" s="1">
        <f t="shared" si="119"/>
        <v>-8.5087204985802248E-3</v>
      </c>
      <c r="N1882" s="1">
        <f t="shared" si="120"/>
        <v>0</v>
      </c>
      <c r="O1882" s="1"/>
    </row>
    <row r="1883" spans="1:15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4.33E-6</v>
      </c>
      <c r="F1883">
        <v>135231.6347</v>
      </c>
      <c r="G1883">
        <v>0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-5.3273265210165002E-3</v>
      </c>
      <c r="M1883" s="1">
        <f t="shared" si="119"/>
        <v>2.5788085108965721E-2</v>
      </c>
      <c r="N1883" s="1">
        <f t="shared" si="120"/>
        <v>0</v>
      </c>
      <c r="O1883" s="1"/>
    </row>
    <row r="1884" spans="1:15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-1.39E-6</v>
      </c>
      <c r="F1884">
        <v>112989.5834</v>
      </c>
      <c r="G1884">
        <v>0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-9.3283388952649995E-2</v>
      </c>
      <c r="M1884" s="1">
        <f t="shared" si="119"/>
        <v>-2.1743640400332311E-2</v>
      </c>
      <c r="N1884" s="1">
        <f t="shared" si="120"/>
        <v>0</v>
      </c>
      <c r="O1884" s="1"/>
    </row>
    <row r="1885" spans="1:15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6.9599999999999999E-7</v>
      </c>
      <c r="F1885">
        <v>118468.28049999999</v>
      </c>
      <c r="G1885">
        <v>0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-9.5792562876737986E-2</v>
      </c>
      <c r="M1885" s="1">
        <f t="shared" si="119"/>
        <v>5.3239611648943962E-3</v>
      </c>
      <c r="N1885" s="1">
        <f t="shared" si="120"/>
        <v>0</v>
      </c>
      <c r="O1885" s="1"/>
    </row>
    <row r="1886" spans="1:15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-1.8700000000000001E-6</v>
      </c>
      <c r="F1886">
        <v>92762.266759999999</v>
      </c>
      <c r="G1886" s="1">
        <v>-1.48E-6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-6.4050662996319998E-3</v>
      </c>
      <c r="M1886" s="1">
        <f t="shared" si="119"/>
        <v>-1.0042651260415312E-2</v>
      </c>
      <c r="N1886" s="1">
        <f t="shared" si="120"/>
        <v>-3.7188800330478721E-3</v>
      </c>
      <c r="O1886" s="1"/>
    </row>
    <row r="1887" spans="1:15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-4.6999999999999999E-6</v>
      </c>
      <c r="F1887">
        <v>121507.3744</v>
      </c>
      <c r="G1887">
        <v>0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-8.8440872571554752E-2</v>
      </c>
      <c r="M1887" s="1">
        <f t="shared" si="119"/>
        <v>-3.4002445792425888E-2</v>
      </c>
      <c r="N1887" s="1">
        <f t="shared" si="120"/>
        <v>0</v>
      </c>
      <c r="O1887" s="1"/>
    </row>
    <row r="1888" spans="1:15" x14ac:dyDescent="0.25">
      <c r="A1888">
        <v>3497</v>
      </c>
      <c r="B1888">
        <v>3443.6029250000001</v>
      </c>
      <c r="C1888" s="1">
        <v>9.9999999999999995E-8</v>
      </c>
      <c r="D1888">
        <v>38451.368730000002</v>
      </c>
      <c r="E1888" s="1">
        <v>-1.39E-6</v>
      </c>
      <c r="F1888">
        <v>123008.9311</v>
      </c>
      <c r="G1888">
        <v>0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3.1351746040127497E-3</v>
      </c>
      <c r="M1888" s="1">
        <f t="shared" si="119"/>
        <v>-1.4615701669352976E-2</v>
      </c>
      <c r="N1888" s="1">
        <f t="shared" si="120"/>
        <v>0</v>
      </c>
      <c r="O1888" s="1"/>
    </row>
    <row r="1889" spans="1:15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>
        <v>0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-2.5794052565345999E-3</v>
      </c>
      <c r="M1889" s="1">
        <f t="shared" si="119"/>
        <v>1.5139124697968458E-2</v>
      </c>
      <c r="N1889" s="1">
        <f t="shared" si="120"/>
        <v>0</v>
      </c>
      <c r="O1889" s="1"/>
    </row>
    <row r="1890" spans="1:15" x14ac:dyDescent="0.25">
      <c r="A1890">
        <v>3499</v>
      </c>
      <c r="B1890">
        <v>6637.0219420000003</v>
      </c>
      <c r="C1890" s="1">
        <v>-8.0000000000000002E-8</v>
      </c>
      <c r="D1890">
        <v>54392.80689</v>
      </c>
      <c r="E1890" s="1">
        <v>-4.6899999999999998E-7</v>
      </c>
      <c r="F1890">
        <v>132775.52859999999</v>
      </c>
      <c r="G1890">
        <v>0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-1.8255766709154E-3</v>
      </c>
      <c r="M1890" s="1">
        <f t="shared" si="119"/>
        <v>-3.5894348074563907E-3</v>
      </c>
      <c r="N1890" s="1">
        <f t="shared" si="120"/>
        <v>0</v>
      </c>
      <c r="O1890" s="1"/>
    </row>
    <row r="1891" spans="1:15" x14ac:dyDescent="0.25">
      <c r="A1891">
        <v>3500</v>
      </c>
      <c r="B1891">
        <v>3774.514795</v>
      </c>
      <c r="C1891" s="1">
        <v>-9.9999999999999995E-8</v>
      </c>
      <c r="D1891">
        <v>25006.898789999999</v>
      </c>
      <c r="E1891" s="1">
        <v>4.9200000000000003E-6</v>
      </c>
      <c r="F1891">
        <v>104926.6461</v>
      </c>
      <c r="G1891">
        <v>0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-4.1472149056324993E-3</v>
      </c>
      <c r="M1891" s="1">
        <f t="shared" si="119"/>
        <v>6.8432874141310676E-2</v>
      </c>
      <c r="N1891" s="1">
        <f t="shared" si="120"/>
        <v>0</v>
      </c>
      <c r="O1891" s="1"/>
    </row>
    <row r="1892" spans="1:15" x14ac:dyDescent="0.25">
      <c r="A1892">
        <v>3503</v>
      </c>
      <c r="B1892">
        <v>15277.89248</v>
      </c>
      <c r="C1892" s="1">
        <v>3.1099999999999999E-6</v>
      </c>
      <c r="D1892">
        <v>56227.792609999997</v>
      </c>
      <c r="E1892" s="1">
        <v>1.73E-6</v>
      </c>
      <c r="F1892">
        <v>161055.8768</v>
      </c>
      <c r="G1892">
        <v>0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0.28624630754400199</v>
      </c>
      <c r="M1892" s="1">
        <f t="shared" si="119"/>
        <v>5.3403379879863919E-2</v>
      </c>
      <c r="N1892" s="1">
        <f t="shared" si="120"/>
        <v>0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>
        <v>0</v>
      </c>
      <c r="F1893">
        <v>83884.8802</v>
      </c>
      <c r="G1893">
        <v>0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</v>
      </c>
      <c r="N1893" s="1">
        <f t="shared" si="120"/>
        <v>0</v>
      </c>
      <c r="O1893" s="1"/>
    </row>
    <row r="1894" spans="1:15" x14ac:dyDescent="0.25">
      <c r="A1894">
        <v>3505</v>
      </c>
      <c r="B1894">
        <v>12266.08101</v>
      </c>
      <c r="C1894" s="1">
        <v>-4.69E-6</v>
      </c>
      <c r="D1894">
        <v>53692.881939999999</v>
      </c>
      <c r="E1894" s="1">
        <v>-1.39E-6</v>
      </c>
      <c r="F1894">
        <v>152925.11569999999</v>
      </c>
      <c r="G1894">
        <v>0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-0.18867384300539777</v>
      </c>
      <c r="M1894" s="1">
        <f t="shared" si="119"/>
        <v>-1.8754124293093533E-2</v>
      </c>
      <c r="N1894" s="1">
        <f t="shared" si="120"/>
        <v>0</v>
      </c>
      <c r="O1894" s="1"/>
    </row>
    <row r="1895" spans="1:15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>
        <v>0</v>
      </c>
      <c r="F1895">
        <v>805.90551749999997</v>
      </c>
      <c r="G1895" s="1">
        <v>1E-8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7.7738818230450011E-4</v>
      </c>
      <c r="M1895" s="1">
        <f t="shared" si="119"/>
        <v>0</v>
      </c>
      <c r="N1895" s="1">
        <f t="shared" si="12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-4.2583070173280004E-3</v>
      </c>
      <c r="M1896" s="1">
        <f t="shared" si="119"/>
        <v>-1.4281706611961602E-3</v>
      </c>
      <c r="N1896" s="1">
        <f t="shared" si="120"/>
        <v>-1.7540949290608802E-3</v>
      </c>
      <c r="O1896" s="1"/>
    </row>
    <row r="1897" spans="1:15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2.5799999999999999E-6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4.7937823593205003E-3</v>
      </c>
      <c r="M1897" s="1">
        <f t="shared" si="119"/>
        <v>-2.9858415838053399E-3</v>
      </c>
      <c r="N1897" s="1">
        <f t="shared" si="120"/>
        <v>1.386298643603058E-2</v>
      </c>
      <c r="O1897" s="1"/>
    </row>
    <row r="1898" spans="1:15" x14ac:dyDescent="0.25">
      <c r="A1898">
        <v>3597</v>
      </c>
      <c r="B1898">
        <v>545.38952240000003</v>
      </c>
      <c r="C1898" s="1">
        <v>4.0000000000000001E-8</v>
      </c>
      <c r="D1898">
        <v>4573.0332060000001</v>
      </c>
      <c r="E1898" s="1">
        <v>8.0000000000000002E-8</v>
      </c>
      <c r="F1898">
        <v>10018.050869999999</v>
      </c>
      <c r="G1898" s="1">
        <v>-3.4000000000000001E-6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1.6412175775970001E-3</v>
      </c>
      <c r="M1898" s="1">
        <f t="shared" si="119"/>
        <v>1.10087825204968E-3</v>
      </c>
      <c r="N1898" s="1">
        <f t="shared" si="120"/>
        <v>-2.1891317535024601E-2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>
        <v>0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0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-5.0500000000000004E-7</v>
      </c>
      <c r="F1901">
        <v>92006.719920000003</v>
      </c>
      <c r="G1901" s="1">
        <v>-3.2600000000000001E-6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-1.1442435542725851E-2</v>
      </c>
      <c r="M1901" s="1">
        <f t="shared" si="119"/>
        <v>-5.0999908052578504E-3</v>
      </c>
      <c r="N1901" s="1">
        <f t="shared" si="120"/>
        <v>-1.5404205128207289E-2</v>
      </c>
      <c r="O1901" s="1"/>
    </row>
    <row r="1902" spans="1:15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3.3299999999999999E-6</v>
      </c>
      <c r="F1902">
        <v>102155.5042</v>
      </c>
      <c r="G1902">
        <v>0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-1.4927240198838501E-2</v>
      </c>
      <c r="M1902" s="1">
        <f t="shared" si="119"/>
        <v>4.3871581983582264E-2</v>
      </c>
      <c r="N1902" s="1">
        <f t="shared" si="120"/>
        <v>0</v>
      </c>
      <c r="O1902" s="1"/>
    </row>
    <row r="1903" spans="1:15" x14ac:dyDescent="0.25">
      <c r="A1903">
        <v>3602</v>
      </c>
      <c r="B1903">
        <v>20067.122950000001</v>
      </c>
      <c r="C1903" s="1">
        <v>3.19E-6</v>
      </c>
      <c r="D1903">
        <v>38245.012369999997</v>
      </c>
      <c r="E1903" s="1">
        <v>-4.4999999999999999E-8</v>
      </c>
      <c r="F1903">
        <v>94926.941330000001</v>
      </c>
      <c r="G1903" s="1">
        <v>3.5499999999999999E-6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0.1194201112086125</v>
      </c>
      <c r="M1903" s="1">
        <f t="shared" si="119"/>
        <v>-5.6499218276175002E-4</v>
      </c>
      <c r="N1903" s="1">
        <f t="shared" si="120"/>
        <v>2.0854604421817503E-2</v>
      </c>
      <c r="O1903" s="1"/>
    </row>
    <row r="1904" spans="1:15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-4.0600000000000001E-6</v>
      </c>
      <c r="F1904">
        <v>69484.358689999994</v>
      </c>
      <c r="G1904" s="1">
        <v>2.7499999999999999E-6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-1.1668494938074E-2</v>
      </c>
      <c r="M1904" s="1">
        <f t="shared" si="119"/>
        <v>-3.9721351922271296E-2</v>
      </c>
      <c r="N1904" s="1">
        <f t="shared" si="120"/>
        <v>1.2588510885114451E-2</v>
      </c>
      <c r="O1904" s="1"/>
    </row>
    <row r="1905" spans="1:15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-3.9499999999999998E-7</v>
      </c>
      <c r="F1905">
        <v>94859.986610000007</v>
      </c>
      <c r="G1905" s="1">
        <v>4.4700000000000004E-6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-8.242896047945E-3</v>
      </c>
      <c r="M1905" s="1">
        <f t="shared" si="119"/>
        <v>-5.4599675283734141E-3</v>
      </c>
      <c r="N1905" s="1">
        <f t="shared" si="120"/>
        <v>2.8909738646923411E-2</v>
      </c>
      <c r="O1905" s="1"/>
    </row>
    <row r="1906" spans="1:15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1E-8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1.9506913157940002E-3</v>
      </c>
      <c r="M1906" s="1">
        <f t="shared" si="119"/>
        <v>6.5423185668168004E-4</v>
      </c>
      <c r="N1906" s="1">
        <f t="shared" si="120"/>
        <v>1.5305424170076001E-4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6E-9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1.07612690699718E-4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-3.4811067501916296E-4</v>
      </c>
      <c r="N1908" s="1">
        <f t="shared" si="120"/>
        <v>2.2036363831488302E-4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5.0533634951906007E-4</v>
      </c>
      <c r="N1910" s="1">
        <f t="shared" si="12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-2.8402895131006503E-3</v>
      </c>
      <c r="M1911" s="1">
        <f t="shared" si="119"/>
        <v>2.5402384158192482E-3</v>
      </c>
      <c r="N1911" s="1">
        <f t="shared" si="120"/>
        <v>9.4093693613488225E-4</v>
      </c>
      <c r="O1911" s="1"/>
    </row>
    <row r="1912" spans="1:15" x14ac:dyDescent="0.25">
      <c r="A1912">
        <v>3613</v>
      </c>
      <c r="B1912">
        <v>203.6372667</v>
      </c>
      <c r="C1912" s="1">
        <v>-1E-8</v>
      </c>
      <c r="D1912">
        <v>432.04737060000002</v>
      </c>
      <c r="E1912">
        <v>0</v>
      </c>
      <c r="F1912">
        <v>1088.0248590000001</v>
      </c>
      <c r="G1912" s="1">
        <v>3.1E-7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-4.7333268319675001E-4</v>
      </c>
      <c r="M1912" s="1">
        <f t="shared" si="119"/>
        <v>0</v>
      </c>
      <c r="N1912" s="1">
        <f t="shared" si="12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>
        <v>0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0</v>
      </c>
      <c r="M1913" s="1">
        <f t="shared" si="119"/>
        <v>1.42738818359049E-2</v>
      </c>
      <c r="N1913" s="1">
        <f t="shared" si="12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 s="1">
        <v>4.0000000000000001E-8</v>
      </c>
      <c r="F1914">
        <v>312.38750779999998</v>
      </c>
      <c r="G1914">
        <v>0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1.6762455698462401E-3</v>
      </c>
      <c r="N1914" s="1">
        <f t="shared" si="120"/>
        <v>0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 s="1">
        <v>4.0000000000000001E-8</v>
      </c>
      <c r="F1915">
        <v>3591.2922920000001</v>
      </c>
      <c r="G1915">
        <v>0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1.31378634647532E-3</v>
      </c>
      <c r="N1915" s="1">
        <f t="shared" si="120"/>
        <v>0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 s="1">
        <v>-1E-8</v>
      </c>
      <c r="F1917">
        <v>140.85205199999999</v>
      </c>
      <c r="G1917" s="1">
        <v>-1E-8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-2.4107831945587E-4</v>
      </c>
      <c r="N1917" s="1">
        <f t="shared" si="120"/>
        <v>-1.1279811277293001E-4</v>
      </c>
      <c r="O1917" s="1"/>
    </row>
    <row r="1918" spans="1:15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-9.5655846818350015E-4</v>
      </c>
      <c r="M1918" s="1">
        <f t="shared" si="119"/>
        <v>-3.2081499394462002E-4</v>
      </c>
      <c r="N1918" s="1">
        <f t="shared" si="12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5.0210066818519193E-3</v>
      </c>
      <c r="N1920" s="1">
        <f t="shared" si="12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 s="1">
        <v>-1E-8</v>
      </c>
      <c r="F1922">
        <v>140.85205199999999</v>
      </c>
      <c r="G1922" s="1">
        <v>-1E-8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-1.5405957341183999E-4</v>
      </c>
      <c r="N1922" s="1">
        <f t="shared" si="120"/>
        <v>-7.2082919669760003E-5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>
        <v>0</v>
      </c>
      <c r="F1923">
        <v>6124.4710530000002</v>
      </c>
      <c r="G1923" s="1">
        <v>-4.4099999999999999E-7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0</v>
      </c>
      <c r="N1923" s="1">
        <f t="shared" ref="N1923:N1986" si="124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-1.8558508889245E-3</v>
      </c>
      <c r="M1925" s="1">
        <f t="shared" si="123"/>
        <v>-6.2242383659314002E-4</v>
      </c>
      <c r="N1925" s="1">
        <f t="shared" si="124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-2.3718786529586997E-3</v>
      </c>
      <c r="N1926" s="1">
        <f t="shared" si="124"/>
        <v>3.2072586666016772E-3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8.5512856087538008E-5</v>
      </c>
      <c r="N1927" s="1">
        <f t="shared" si="124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-3.0395965683518999E-4</v>
      </c>
      <c r="N1928" s="1">
        <f t="shared" si="124"/>
        <v>2.8443931190082E-4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 s="1">
        <v>4.9000000000000002E-8</v>
      </c>
      <c r="F1929">
        <v>10666.243759999999</v>
      </c>
      <c r="G1929">
        <v>0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9.2785503381119505E-4</v>
      </c>
      <c r="N1929" s="1">
        <f t="shared" si="124"/>
        <v>0</v>
      </c>
      <c r="O1929" s="1"/>
    </row>
    <row r="1930" spans="1:15" x14ac:dyDescent="0.25">
      <c r="A1930">
        <v>3631</v>
      </c>
      <c r="B1930">
        <v>278.31116960000003</v>
      </c>
      <c r="C1930">
        <v>0</v>
      </c>
      <c r="D1930">
        <v>278.31116960000003</v>
      </c>
      <c r="E1930">
        <v>0</v>
      </c>
      <c r="F1930">
        <v>552.70243449999998</v>
      </c>
      <c r="G1930" s="1">
        <v>-2E-8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0</v>
      </c>
      <c r="M1930" s="1">
        <f t="shared" si="123"/>
        <v>0</v>
      </c>
      <c r="N1930" s="1">
        <f t="shared" si="124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>
        <v>0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0</v>
      </c>
      <c r="M1931" s="1">
        <f t="shared" si="123"/>
        <v>0</v>
      </c>
      <c r="N1931" s="1">
        <f t="shared" si="124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3.18116252364644E-3</v>
      </c>
      <c r="N1932" s="1">
        <f t="shared" si="124"/>
        <v>1.479678348154812E-3</v>
      </c>
      <c r="O1932" s="1"/>
    </row>
    <row r="1933" spans="1:15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2.4E-8</v>
      </c>
      <c r="F1933">
        <v>48950.656470000002</v>
      </c>
      <c r="G1933" s="1">
        <v>3.7100000000000001E-6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-1.5252070631655E-3</v>
      </c>
      <c r="M1933" s="1">
        <f t="shared" si="123"/>
        <v>4.0922478740932803E-4</v>
      </c>
      <c r="N1933" s="1">
        <f t="shared" si="124"/>
        <v>2.9598402915030183E-2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-2.7232876889536502E-3</v>
      </c>
      <c r="M1935" s="1">
        <f t="shared" si="123"/>
        <v>2.4355967843770082E-3</v>
      </c>
      <c r="N1935" s="1">
        <f t="shared" si="124"/>
        <v>9.0217633182772207E-4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-7.4683643165979999E-4</v>
      </c>
      <c r="N1936" s="1">
        <f t="shared" si="124"/>
        <v>1.747186147461E-4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9.1691874807180011E-5</v>
      </c>
      <c r="O1937" s="1"/>
    </row>
    <row r="1938" spans="1:15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-1.5273613455815003E-3</v>
      </c>
      <c r="M1938" s="1">
        <f t="shared" si="123"/>
        <v>-1.0245069948823602E-3</v>
      </c>
      <c r="N1938" s="1">
        <f t="shared" si="124"/>
        <v>4.7935648384404004E-4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7.1019540559601993E-4</v>
      </c>
      <c r="N1939" s="1">
        <f t="shared" si="124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1.1291994667368E-3</v>
      </c>
      <c r="N1940" s="1">
        <f t="shared" si="124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-8.6600000000000005E-7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-5.5034001210175001E-4</v>
      </c>
      <c r="M1941" s="1">
        <f t="shared" si="123"/>
        <v>-7.5675985048699102E-4</v>
      </c>
      <c r="N1941" s="1">
        <f t="shared" si="124"/>
        <v>-7.4788667613802763E-3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4.936652637871501E-3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3.7719599834964008E-4</v>
      </c>
      <c r="O1943" s="1"/>
    </row>
    <row r="1944" spans="1:15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3.4E-8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-5.7547062066324998E-4</v>
      </c>
      <c r="M1944" s="1">
        <f t="shared" si="123"/>
        <v>8.4921756821567588E-4</v>
      </c>
      <c r="N1944" s="1">
        <f t="shared" si="124"/>
        <v>3.07035709609254E-4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-4.5901741948725004E-4</v>
      </c>
      <c r="M1946" s="1">
        <f t="shared" si="123"/>
        <v>6.1578952275827996E-4</v>
      </c>
      <c r="N1946" s="1">
        <f t="shared" si="124"/>
        <v>2.045664093493332E-3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-4.0483587398748005E-3</v>
      </c>
      <c r="O1947" s="1"/>
    </row>
    <row r="1948" spans="1:15" x14ac:dyDescent="0.25">
      <c r="A1948">
        <v>3662</v>
      </c>
      <c r="B1948">
        <v>161.9277237</v>
      </c>
      <c r="C1948">
        <v>0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0</v>
      </c>
      <c r="M1948" s="1">
        <f t="shared" si="123"/>
        <v>-7.7317628934648003E-4</v>
      </c>
      <c r="N1948" s="1">
        <f t="shared" si="124"/>
        <v>-4.5220172886090002E-4</v>
      </c>
      <c r="O1948" s="1"/>
    </row>
    <row r="1949" spans="1:15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2.6128628738940002E-3</v>
      </c>
      <c r="M1949" s="1">
        <f t="shared" si="123"/>
        <v>2.1907850250342E-4</v>
      </c>
      <c r="N1949" s="1">
        <f t="shared" si="124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>
        <v>0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0</v>
      </c>
      <c r="M1950" s="1">
        <f t="shared" si="123"/>
        <v>6.9878781322535986E-4</v>
      </c>
      <c r="N1950" s="1">
        <f t="shared" si="124"/>
        <v>2.1797051054736001E-4</v>
      </c>
      <c r="O1950" s="1"/>
    </row>
    <row r="1951" spans="1:15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-1.6898855138100001E-3</v>
      </c>
      <c r="M1951" s="1">
        <f t="shared" si="123"/>
        <v>4.2507120231989994E-4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-3.4069998794000002E-4</v>
      </c>
      <c r="M1952" s="1">
        <f t="shared" si="123"/>
        <v>-2.3995762227528E-4</v>
      </c>
      <c r="N1952" s="1">
        <f t="shared" si="124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>
        <v>0</v>
      </c>
      <c r="F1956">
        <v>4903.8299209999996</v>
      </c>
      <c r="G1956" s="1">
        <v>-4.4099999999999999E-7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0</v>
      </c>
      <c r="N1956" s="1">
        <f t="shared" si="124"/>
        <v>-2.5974037132238162E-3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>
        <v>0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0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>
        <v>0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0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>
        <v>0</v>
      </c>
      <c r="F1959">
        <v>6179.6675310000001</v>
      </c>
      <c r="G1959" s="1">
        <v>2.7000000000000001E-7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0</v>
      </c>
      <c r="N1959" s="1">
        <f t="shared" si="124"/>
        <v>2.5347074763240906E-3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-7.8969962428349983E-4</v>
      </c>
      <c r="N1960" s="1">
        <f t="shared" si="124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-6.4205992156835987E-4</v>
      </c>
      <c r="N1961" s="1">
        <f t="shared" si="124"/>
        <v>-3.20440914984576E-3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>
        <v>0</v>
      </c>
      <c r="F1962">
        <v>9387.7710459999998</v>
      </c>
      <c r="G1962" s="1">
        <v>-1.06E-7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0</v>
      </c>
      <c r="N1962" s="1">
        <f t="shared" si="124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-1.7061318284415602E-3</v>
      </c>
      <c r="O1963" s="1"/>
    </row>
    <row r="1964" spans="1:15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>
        <v>0</v>
      </c>
      <c r="F1964">
        <v>1417.514308</v>
      </c>
      <c r="G1964" s="1">
        <v>4.3000000000000001E-7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-3.8402528046089998E-3</v>
      </c>
      <c r="M1964" s="1">
        <f t="shared" si="123"/>
        <v>0</v>
      </c>
      <c r="N1964" s="1">
        <f t="shared" si="124"/>
        <v>8.63761476975132E-3</v>
      </c>
      <c r="O1964" s="1"/>
    </row>
    <row r="1965" spans="1:15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1.6847794581546501E-2</v>
      </c>
      <c r="M1965" s="1">
        <f t="shared" si="123"/>
        <v>5.8678176868037103E-3</v>
      </c>
      <c r="N1965" s="1">
        <f t="shared" si="124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-2.8000000000000002E-7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2.3839521240275001E-4</v>
      </c>
      <c r="M1966" s="1">
        <f t="shared" si="123"/>
        <v>-1.5990817324245999E-3</v>
      </c>
      <c r="N1966" s="1">
        <f t="shared" si="124"/>
        <v>-1.04747188711116E-3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-9.9999999999999995E-8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-1.3171350815546999E-3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>
        <v>0</v>
      </c>
      <c r="F1969">
        <v>6044.3487960000002</v>
      </c>
      <c r="G1969" s="1">
        <v>-3.3000000000000002E-7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0</v>
      </c>
      <c r="N1969" s="1">
        <f t="shared" si="124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>
        <v>0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-1.0970414063563501E-2</v>
      </c>
      <c r="M1970" s="1">
        <f t="shared" si="123"/>
        <v>-5.2561544304546006E-3</v>
      </c>
      <c r="N1970" s="1">
        <f t="shared" si="124"/>
        <v>0</v>
      </c>
      <c r="O1970" s="1"/>
    </row>
    <row r="1971" spans="1:15" x14ac:dyDescent="0.25">
      <c r="A1971">
        <v>3685</v>
      </c>
      <c r="B1971">
        <v>2276.8964040000001</v>
      </c>
      <c r="C1971" s="1">
        <v>9.9999999999999995E-8</v>
      </c>
      <c r="D1971">
        <v>6588.8339210000004</v>
      </c>
      <c r="E1971">
        <v>0</v>
      </c>
      <c r="F1971">
        <v>20298.98257</v>
      </c>
      <c r="G1971" s="1">
        <v>4.2899999999999996E-6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4.0765455588974995E-3</v>
      </c>
      <c r="M1971" s="1">
        <f t="shared" si="123"/>
        <v>0</v>
      </c>
      <c r="N1971" s="1">
        <f t="shared" si="124"/>
        <v>2.7443304702497968E-2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-3.7655860672901995E-3</v>
      </c>
      <c r="N1972" s="1">
        <f t="shared" si="124"/>
        <v>3.4503477841340252E-2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1.0363586791810681E-2</v>
      </c>
      <c r="N1973" s="1">
        <f t="shared" si="124"/>
        <v>4.6694244260757599E-3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>
        <v>0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-3.6306029402954999E-2</v>
      </c>
      <c r="M1975" s="1">
        <f t="shared" si="123"/>
        <v>4.87059348298104E-3</v>
      </c>
      <c r="N1975" s="1">
        <f t="shared" si="124"/>
        <v>0</v>
      </c>
      <c r="O1975" s="1"/>
    </row>
    <row r="1976" spans="1:15" x14ac:dyDescent="0.25">
      <c r="A1976">
        <v>3690</v>
      </c>
      <c r="B1976">
        <v>118.6287457</v>
      </c>
      <c r="C1976">
        <v>0</v>
      </c>
      <c r="D1976">
        <v>2660.5700040000002</v>
      </c>
      <c r="E1976" s="1">
        <v>-3.3000000000000002E-7</v>
      </c>
      <c r="F1976">
        <v>14699.114670000001</v>
      </c>
      <c r="G1976" s="1">
        <v>-1.1999999999999999E-7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0</v>
      </c>
      <c r="M1976" s="1">
        <f t="shared" si="123"/>
        <v>-2.6111863406529782E-3</v>
      </c>
      <c r="N1976" s="1">
        <f t="shared" si="124"/>
        <v>-4.4427190449808802E-4</v>
      </c>
      <c r="O1976" s="1"/>
    </row>
    <row r="1977" spans="1:15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>
        <v>0</v>
      </c>
      <c r="F1977">
        <v>23400.3416</v>
      </c>
      <c r="G1977" s="1">
        <v>4.6099999999999999E-6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1.3782588723241E-2</v>
      </c>
      <c r="M1977" s="1">
        <f t="shared" si="123"/>
        <v>0</v>
      </c>
      <c r="N1977" s="1">
        <f t="shared" si="124"/>
        <v>4.3350159661821958E-2</v>
      </c>
      <c r="O1977" s="1"/>
    </row>
    <row r="1978" spans="1:15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9.9268458864217504E-3</v>
      </c>
      <c r="M1978" s="1">
        <f t="shared" si="123"/>
        <v>0.1185747056449814</v>
      </c>
      <c r="N1978" s="1">
        <f t="shared" si="124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>
        <v>0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2.1292297888150253E-3</v>
      </c>
      <c r="M1979" s="1">
        <f t="shared" si="123"/>
        <v>1.4831534363272472E-3</v>
      </c>
      <c r="N1979" s="1">
        <f t="shared" si="124"/>
        <v>0</v>
      </c>
      <c r="O1979" s="1"/>
    </row>
    <row r="1980" spans="1:15" x14ac:dyDescent="0.25">
      <c r="A1980">
        <v>3694</v>
      </c>
      <c r="B1980">
        <v>4191.8429610000003</v>
      </c>
      <c r="C1980" s="1">
        <v>2.2999999999999999E-7</v>
      </c>
      <c r="D1980">
        <v>14908.4377</v>
      </c>
      <c r="E1980" s="1">
        <v>4.2100000000000003E-6</v>
      </c>
      <c r="F1980">
        <v>42944.929259999997</v>
      </c>
      <c r="G1980" s="1">
        <v>-1.1000000000000001E-7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3.6621897601045246E-3</v>
      </c>
      <c r="M1980" s="1">
        <f t="shared" si="123"/>
        <v>2.2482170689155392E-2</v>
      </c>
      <c r="N1980" s="1">
        <f t="shared" si="124"/>
        <v>-2.7484795390215902E-4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 s="1">
        <v>1.9999999999999999E-7</v>
      </c>
      <c r="F1981">
        <v>19154.720679999999</v>
      </c>
      <c r="G1981" s="1">
        <v>-6.1999999999999999E-7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4.9634818266800001E-3</v>
      </c>
      <c r="N1981" s="1">
        <f t="shared" si="124"/>
        <v>-7.1993254752120003E-3</v>
      </c>
      <c r="O1981" s="1"/>
    </row>
    <row r="1982" spans="1:15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-1.9038018085709998E-2</v>
      </c>
      <c r="M1982" s="1">
        <f t="shared" si="123"/>
        <v>-6.3850583733612003E-3</v>
      </c>
      <c r="N1982" s="1">
        <f t="shared" si="124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-3.05E-6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-4.4565920967879992E-3</v>
      </c>
      <c r="M1983" s="1">
        <f t="shared" si="123"/>
        <v>1.4498322535181392E-2</v>
      </c>
      <c r="N1983" s="1">
        <f t="shared" si="124"/>
        <v>-1.066496770239036E-2</v>
      </c>
      <c r="O1983" s="1"/>
    </row>
    <row r="1984" spans="1:15" x14ac:dyDescent="0.25">
      <c r="A1984">
        <v>3711</v>
      </c>
      <c r="B1984">
        <v>5408.9806900000003</v>
      </c>
      <c r="C1984" s="1">
        <v>3.9999999999999998E-7</v>
      </c>
      <c r="D1984">
        <v>69783.901070000007</v>
      </c>
      <c r="E1984" s="1">
        <v>3.5700000000000002E-8</v>
      </c>
      <c r="F1984">
        <v>120012.5315</v>
      </c>
      <c r="G1984">
        <v>0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1.0962702741146E-2</v>
      </c>
      <c r="M1984" s="1">
        <f t="shared" si="123"/>
        <v>3.2814742443554947E-4</v>
      </c>
      <c r="N1984" s="1">
        <f t="shared" si="124"/>
        <v>0</v>
      </c>
      <c r="O1984" s="1"/>
    </row>
    <row r="1985" spans="1:15" x14ac:dyDescent="0.25">
      <c r="A1985">
        <v>3712</v>
      </c>
      <c r="B1985">
        <v>831.33247340000003</v>
      </c>
      <c r="C1985" s="1">
        <v>4.0000000000000001E-8</v>
      </c>
      <c r="D1985">
        <v>6872.9652889999998</v>
      </c>
      <c r="E1985" s="1">
        <v>-4.5999999999999999E-7</v>
      </c>
      <c r="F1985">
        <v>42803.747750000002</v>
      </c>
      <c r="G1985" s="1">
        <v>-2.2400000000000002E-6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2.5818256119240005E-3</v>
      </c>
      <c r="M1985" s="1">
        <f t="shared" si="123"/>
        <v>-9.9579027832207203E-3</v>
      </c>
      <c r="N1985" s="1">
        <f t="shared" si="124"/>
        <v>-2.2688289069707525E-2</v>
      </c>
      <c r="O1985" s="1"/>
    </row>
    <row r="1986" spans="1:15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>
        <v>0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-1.387615794179875E-2</v>
      </c>
      <c r="M1986" s="1">
        <f t="shared" si="123"/>
        <v>2.9784639323688642E-3</v>
      </c>
      <c r="N1986" s="1">
        <f t="shared" si="124"/>
        <v>0</v>
      </c>
      <c r="O1986" s="1"/>
    </row>
    <row r="1987" spans="1:15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3.9299999999999996E-6</v>
      </c>
      <c r="F1987">
        <v>115039.8009</v>
      </c>
      <c r="G1987">
        <v>0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8.0532924289350005E-3</v>
      </c>
      <c r="M1987" s="1">
        <f t="shared" ref="M1987:M2050" si="127">$U$3*$K1987*E1987</f>
        <v>3.5382450028542421E-2</v>
      </c>
      <c r="N1987" s="1">
        <f t="shared" ref="N1987:N2050" si="128">$U$4*$K1987*G1987</f>
        <v>0</v>
      </c>
      <c r="O1987" s="1"/>
    </row>
    <row r="1988" spans="1:15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4.5900000000000001E-6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-1.0038882086983751E-2</v>
      </c>
      <c r="M1988" s="1">
        <f t="shared" si="127"/>
        <v>-2.464560996788491E-2</v>
      </c>
      <c r="N1988" s="1">
        <f t="shared" si="128"/>
        <v>1.4461550201489395E-2</v>
      </c>
      <c r="O1988" s="1"/>
    </row>
    <row r="1989" spans="1:15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2.79E-6</v>
      </c>
      <c r="F1989">
        <v>78874.392569999996</v>
      </c>
      <c r="G1989" s="1">
        <v>-2.7099999999999999E-6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6.9465551299949992E-3</v>
      </c>
      <c r="M1989" s="1">
        <f t="shared" si="127"/>
        <v>2.1666839800849019E-2</v>
      </c>
      <c r="N1989" s="1">
        <f t="shared" si="128"/>
        <v>-9.8470090719652206E-3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 s="1">
        <v>-1.9999999999999999E-7</v>
      </c>
      <c r="F1990">
        <v>50881.556550000001</v>
      </c>
      <c r="G1990" s="1">
        <v>3.0699999999999998E-6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-1.8062879004127599E-3</v>
      </c>
      <c r="N1990" s="1">
        <f t="shared" si="128"/>
        <v>1.2972958558147975E-2</v>
      </c>
      <c r="O1990" s="1"/>
    </row>
    <row r="1991" spans="1:15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4.8500000000000002E-7</v>
      </c>
      <c r="F1991">
        <v>96848.039170000004</v>
      </c>
      <c r="G1991" s="1">
        <v>-4.2400000000000001E-6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-6.9616685791899996E-3</v>
      </c>
      <c r="M1991" s="1">
        <f t="shared" si="127"/>
        <v>5.6619786067519905E-3</v>
      </c>
      <c r="N1991" s="1">
        <f t="shared" si="128"/>
        <v>-2.3159864824062241E-2</v>
      </c>
      <c r="O1991" s="1"/>
    </row>
    <row r="1992" spans="1:15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4.4299999999999999E-6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-7.3152792715957494E-3</v>
      </c>
      <c r="M1992" s="1">
        <f t="shared" si="127"/>
        <v>8.1781070831172999E-3</v>
      </c>
      <c r="N1992" s="1">
        <f t="shared" si="128"/>
        <v>1.6951190213657721E-2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 s="1">
        <v>2.9999999999999999E-7</v>
      </c>
      <c r="F1993">
        <v>7143.3884029999999</v>
      </c>
      <c r="G1993" s="1">
        <v>5.8999999999999999E-8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6.0166552074737987E-3</v>
      </c>
      <c r="N1993" s="1">
        <f t="shared" si="128"/>
        <v>5.5364267643084604E-4</v>
      </c>
      <c r="O1993" s="1"/>
    </row>
    <row r="1994" spans="1:15" x14ac:dyDescent="0.25">
      <c r="A1994">
        <v>3725</v>
      </c>
      <c r="B1994">
        <v>2527.424035</v>
      </c>
      <c r="C1994">
        <v>0</v>
      </c>
      <c r="D1994">
        <v>4763.4380650000003</v>
      </c>
      <c r="E1994" s="1">
        <v>-3.8099999999999998E-7</v>
      </c>
      <c r="F1994">
        <v>41534.405789999997</v>
      </c>
      <c r="G1994" s="1">
        <v>2.4099999999999998E-6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0</v>
      </c>
      <c r="M1994" s="1">
        <f t="shared" si="127"/>
        <v>-4.6924731003296699E-3</v>
      </c>
      <c r="N1994" s="1">
        <f t="shared" si="128"/>
        <v>1.38879305728893E-2</v>
      </c>
      <c r="O1994" s="1"/>
    </row>
    <row r="1995" spans="1:15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3.63E-6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-4.5581127220135007E-3</v>
      </c>
      <c r="M1995" s="1">
        <f t="shared" si="127"/>
        <v>-3.1338778084120507E-2</v>
      </c>
      <c r="N1995" s="1">
        <f t="shared" si="128"/>
        <v>1.2982206280405528E-2</v>
      </c>
      <c r="O1995" s="1"/>
    </row>
    <row r="1996" spans="1:15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2.52E-6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-8.5787394278624991E-3</v>
      </c>
      <c r="M1996" s="1">
        <f t="shared" si="127"/>
        <v>-3.6540150738430944E-3</v>
      </c>
      <c r="N1996" s="1">
        <f t="shared" si="128"/>
        <v>1.13080983719886E-2</v>
      </c>
      <c r="O1996" s="1"/>
    </row>
    <row r="1997" spans="1:15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-5.6599999999999996E-7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-2.5804255222459998E-3</v>
      </c>
      <c r="M1997" s="1">
        <f t="shared" si="127"/>
        <v>1.9818461987933049E-3</v>
      </c>
      <c r="N1997" s="1">
        <f t="shared" si="128"/>
        <v>-2.2918942500047088E-3</v>
      </c>
      <c r="O1997" s="1"/>
    </row>
    <row r="1998" spans="1:15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1.9000000000000001E-8</v>
      </c>
      <c r="F1998">
        <v>40310.130360000003</v>
      </c>
      <c r="G1998" s="1">
        <v>-1.4100000000000001E-6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1.0675810481817E-2</v>
      </c>
      <c r="M1998" s="1">
        <f t="shared" si="127"/>
        <v>1.700738731372539E-4</v>
      </c>
      <c r="N1998" s="1">
        <f t="shared" si="128"/>
        <v>-5.9053656288266193E-3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 s="1">
        <v>-1.9999999999999999E-7</v>
      </c>
      <c r="F1999">
        <v>5410.9007899999997</v>
      </c>
      <c r="G1999" s="1">
        <v>1.9000000000000001E-8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-5.1175852991267989E-3</v>
      </c>
      <c r="N1999" s="1">
        <f t="shared" si="128"/>
        <v>2.2747431902999404E-4</v>
      </c>
      <c r="O1999" s="1"/>
    </row>
    <row r="2000" spans="1:15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1.1799999999999999E-6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2.2984219912153504E-3</v>
      </c>
      <c r="M2000" s="1">
        <f t="shared" si="127"/>
        <v>1.5912657394565877E-3</v>
      </c>
      <c r="N2000" s="1">
        <f t="shared" si="128"/>
        <v>3.0399788006887861E-3</v>
      </c>
      <c r="O2000" s="1"/>
    </row>
    <row r="2001" spans="1:15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-2.7599999999999998E-6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1.7854800060936476E-3</v>
      </c>
      <c r="M2001" s="1">
        <f t="shared" si="127"/>
        <v>6.7430435601819824E-4</v>
      </c>
      <c r="N2001" s="1">
        <f t="shared" si="128"/>
        <v>-6.498362395804572E-3</v>
      </c>
      <c r="O2001" s="1"/>
    </row>
    <row r="2002" spans="1:15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-3.19E-6</v>
      </c>
      <c r="F2002">
        <v>85200.091790000006</v>
      </c>
      <c r="G2002" s="1">
        <v>-3.5999999999999998E-6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-7.8625516325606257E-2</v>
      </c>
      <c r="M2002" s="1">
        <f t="shared" si="127"/>
        <v>-4.0248624632427746E-2</v>
      </c>
      <c r="N2002" s="1">
        <f t="shared" si="128"/>
        <v>-2.125232947719E-2</v>
      </c>
      <c r="O2002" s="1"/>
    </row>
    <row r="2003" spans="1:15" x14ac:dyDescent="0.25">
      <c r="A2003">
        <v>3801</v>
      </c>
      <c r="B2003">
        <v>10046.46372</v>
      </c>
      <c r="C2003">
        <v>0</v>
      </c>
      <c r="D2003">
        <v>46816.19758</v>
      </c>
      <c r="E2003" s="1">
        <v>-3.7900000000000001E-6</v>
      </c>
      <c r="F2003">
        <v>142324.092</v>
      </c>
      <c r="G2003" s="1">
        <v>-4.2400000000000001E-5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0</v>
      </c>
      <c r="M2003" s="1">
        <f t="shared" si="127"/>
        <v>-4.0957691411269433E-2</v>
      </c>
      <c r="N2003" s="1">
        <f t="shared" si="128"/>
        <v>-0.21439062697036873</v>
      </c>
      <c r="O2003" s="1"/>
    </row>
    <row r="2004" spans="1:15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-8.7499999999999999E-7</v>
      </c>
      <c r="F2004">
        <v>66861.955130000002</v>
      </c>
      <c r="G2004" s="1">
        <v>4.51E-6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-8.0773175797203486E-3</v>
      </c>
      <c r="M2004" s="1">
        <f t="shared" si="127"/>
        <v>-8.1737311847833241E-3</v>
      </c>
      <c r="N2004" s="1">
        <f t="shared" si="128"/>
        <v>1.9712082933808779E-2</v>
      </c>
      <c r="O2004" s="1"/>
    </row>
    <row r="2005" spans="1:15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4.9500000000000003E-7</v>
      </c>
      <c r="F2005">
        <v>63258.768580000004</v>
      </c>
      <c r="G2005">
        <v>0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1.3990498268175002E-2</v>
      </c>
      <c r="M2005" s="1">
        <f t="shared" si="127"/>
        <v>6.4517720859776258E-3</v>
      </c>
      <c r="N2005" s="1">
        <f t="shared" si="128"/>
        <v>0</v>
      </c>
      <c r="O2005" s="1"/>
    </row>
    <row r="2006" spans="1:15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4.9699999999999998E-6</v>
      </c>
      <c r="F2006">
        <v>67779.270759999999</v>
      </c>
      <c r="G2006" s="1">
        <v>-6.1600000000000001E-7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-3.7017473863825E-2</v>
      </c>
      <c r="M2006" s="1">
        <f t="shared" si="127"/>
        <v>0.12340600686923026</v>
      </c>
      <c r="N2006" s="1">
        <f t="shared" si="128"/>
        <v>-7.1565597471133918E-3</v>
      </c>
      <c r="O2006" s="1"/>
    </row>
    <row r="2007" spans="1:15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-1.86E-6</v>
      </c>
      <c r="F2007">
        <v>58288.568319999998</v>
      </c>
      <c r="G2007" s="1">
        <v>4.9699999999999998E-6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4.8997513503106997E-3</v>
      </c>
      <c r="M2007" s="1">
        <f t="shared" si="127"/>
        <v>-1.1755924127360842E-2</v>
      </c>
      <c r="N2007" s="1">
        <f t="shared" si="128"/>
        <v>1.469751449423968E-2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>
        <v>0</v>
      </c>
      <c r="F2008">
        <v>31166.141049999998</v>
      </c>
      <c r="G2008" s="1">
        <v>-3.18E-6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0</v>
      </c>
      <c r="N2008" s="1">
        <f t="shared" si="128"/>
        <v>-3.723458385751921E-2</v>
      </c>
      <c r="O2008" s="1"/>
    </row>
    <row r="2009" spans="1:15" x14ac:dyDescent="0.25">
      <c r="A2009">
        <v>3809</v>
      </c>
      <c r="B2009">
        <v>5634.0293920000004</v>
      </c>
      <c r="C2009" s="1">
        <v>-9.9999999999999995E-8</v>
      </c>
      <c r="D2009">
        <v>33998.768029999999</v>
      </c>
      <c r="E2009" s="1">
        <v>3.19E-6</v>
      </c>
      <c r="F2009">
        <v>76043.035759999999</v>
      </c>
      <c r="G2009" s="1">
        <v>1.4699999999999999E-6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-2.3289903020897499E-3</v>
      </c>
      <c r="M2009" s="1">
        <f t="shared" si="127"/>
        <v>2.4917329782757753E-2</v>
      </c>
      <c r="N2009" s="1">
        <f t="shared" si="128"/>
        <v>5.3724431676205713E-3</v>
      </c>
      <c r="O2009" s="1"/>
    </row>
    <row r="2010" spans="1:15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-1.0499999999999999E-6</v>
      </c>
      <c r="F2010">
        <v>87355.914019999997</v>
      </c>
      <c r="G2010" s="1">
        <v>3.2799999999999999E-6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1.5589525063515E-2</v>
      </c>
      <c r="M2010" s="1">
        <f t="shared" si="127"/>
        <v>-2.7449556054142947E-2</v>
      </c>
      <c r="N2010" s="1">
        <f t="shared" si="128"/>
        <v>4.0120242348073681E-2</v>
      </c>
      <c r="O2010" s="1"/>
    </row>
    <row r="2011" spans="1:15" x14ac:dyDescent="0.25">
      <c r="A2011">
        <v>3811</v>
      </c>
      <c r="B2011">
        <v>16383.806930000001</v>
      </c>
      <c r="C2011" s="1">
        <v>-4.0500000000000002E-6</v>
      </c>
      <c r="D2011">
        <v>54090.267180000003</v>
      </c>
      <c r="E2011" s="1">
        <v>-4.4700000000000004E-6</v>
      </c>
      <c r="F2011">
        <v>135928.36689999999</v>
      </c>
      <c r="G2011" s="1">
        <v>-3.9900000000000001E-5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-0.127923604967106</v>
      </c>
      <c r="M2011" s="1">
        <f t="shared" si="127"/>
        <v>-4.7352872211299572E-2</v>
      </c>
      <c r="N2011" s="1">
        <f t="shared" si="128"/>
        <v>-0.19776770655085588</v>
      </c>
      <c r="O2011" s="1"/>
    </row>
    <row r="2012" spans="1:15" x14ac:dyDescent="0.25">
      <c r="A2012">
        <v>3812</v>
      </c>
      <c r="B2012">
        <v>6039.6455429999996</v>
      </c>
      <c r="C2012">
        <v>0</v>
      </c>
      <c r="D2012">
        <v>51862.228300000002</v>
      </c>
      <c r="E2012" s="1">
        <v>-3.1700000000000001E-6</v>
      </c>
      <c r="F2012">
        <v>123085.13679999999</v>
      </c>
      <c r="G2012" s="1">
        <v>1.9700000000000001E-5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0</v>
      </c>
      <c r="M2012" s="1">
        <f t="shared" si="127"/>
        <v>-4.0961220033019163E-2</v>
      </c>
      <c r="N2012" s="1">
        <f t="shared" si="128"/>
        <v>0.11910322625292842</v>
      </c>
      <c r="O2012" s="1"/>
    </row>
    <row r="2013" spans="1:15" x14ac:dyDescent="0.25">
      <c r="A2013">
        <v>3813</v>
      </c>
      <c r="B2013">
        <v>25523.710780000001</v>
      </c>
      <c r="C2013" s="1">
        <v>2.26E-6</v>
      </c>
      <c r="D2013">
        <v>57415.618240000003</v>
      </c>
      <c r="E2013" s="1">
        <v>1.81E-6</v>
      </c>
      <c r="F2013">
        <v>142775.71359999999</v>
      </c>
      <c r="G2013" s="1">
        <v>4.1100000000000003E-5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2.2237827584154646E-2</v>
      </c>
      <c r="M2013" s="1">
        <f t="shared" si="127"/>
        <v>5.9731804003783128E-3</v>
      </c>
      <c r="N2013" s="1">
        <f t="shared" si="128"/>
        <v>6.3461824913746176E-2</v>
      </c>
      <c r="O2013" s="1"/>
    </row>
    <row r="2014" spans="1:15" x14ac:dyDescent="0.25">
      <c r="A2014">
        <v>3814</v>
      </c>
      <c r="B2014">
        <v>14923.968860000001</v>
      </c>
      <c r="C2014" s="1">
        <v>-2.92E-6</v>
      </c>
      <c r="D2014">
        <v>45080.536480000002</v>
      </c>
      <c r="E2014" s="1">
        <v>-7.6499999999999998E-7</v>
      </c>
      <c r="F2014">
        <v>116601.14509999999</v>
      </c>
      <c r="G2014" s="1">
        <v>3.1699999999999998E-5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-8.4098797290350705E-2</v>
      </c>
      <c r="M2014" s="1">
        <f t="shared" si="127"/>
        <v>-7.3894396333571049E-3</v>
      </c>
      <c r="N2014" s="1">
        <f t="shared" si="128"/>
        <v>0.14326925772319279</v>
      </c>
      <c r="O2014" s="1"/>
    </row>
    <row r="2015" spans="1:15" x14ac:dyDescent="0.25">
      <c r="A2015">
        <v>3815</v>
      </c>
      <c r="B2015">
        <v>12381.820970000001</v>
      </c>
      <c r="C2015" s="1">
        <v>4.2899999999999996E-6</v>
      </c>
      <c r="D2015">
        <v>60479.551160000003</v>
      </c>
      <c r="E2015" s="1">
        <v>4.8400000000000002E-6</v>
      </c>
      <c r="F2015">
        <v>140683.6974</v>
      </c>
      <c r="G2015" s="1">
        <v>-7.0700000000000001E-6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0.12897646667352233</v>
      </c>
      <c r="M2015" s="1">
        <f t="shared" si="127"/>
        <v>4.8802456344474408E-2</v>
      </c>
      <c r="N2015" s="1">
        <f t="shared" si="128"/>
        <v>-3.335488225818322E-2</v>
      </c>
      <c r="O2015" s="1"/>
    </row>
    <row r="2016" spans="1:15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-3.6500000000000002E-6</v>
      </c>
      <c r="F2016">
        <v>58738.499669999997</v>
      </c>
      <c r="G2016" s="1">
        <v>-3.6899999999999998E-6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3.8126953220720002E-3</v>
      </c>
      <c r="M2016" s="1">
        <f t="shared" si="127"/>
        <v>-2.3336628213636083E-2</v>
      </c>
      <c r="N2016" s="1">
        <f t="shared" si="128"/>
        <v>-1.1038632810165074E-2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2.7300000000000001E-6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3.765452840964361E-2</v>
      </c>
      <c r="O2017" s="1"/>
    </row>
    <row r="2018" spans="1:15" x14ac:dyDescent="0.25">
      <c r="A2018">
        <v>3818</v>
      </c>
      <c r="B2018">
        <v>7305.6637179999998</v>
      </c>
      <c r="C2018" s="1">
        <v>1.9999999999999999E-7</v>
      </c>
      <c r="D2018">
        <v>28702.845020000001</v>
      </c>
      <c r="E2018" s="1">
        <v>-4.4800000000000003E-6</v>
      </c>
      <c r="F2018">
        <v>65960.947799999994</v>
      </c>
      <c r="G2018" s="1">
        <v>-4.0899999999999998E-6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4.9170251973439999E-3</v>
      </c>
      <c r="M2018" s="1">
        <f t="shared" si="127"/>
        <v>-3.6939719144108027E-2</v>
      </c>
      <c r="N2018" s="1">
        <f t="shared" si="128"/>
        <v>-1.5779112090984385E-2</v>
      </c>
      <c r="O2018" s="1"/>
    </row>
    <row r="2019" spans="1:15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-3.15E-7</v>
      </c>
      <c r="F2019">
        <v>61623.177369999998</v>
      </c>
      <c r="G2019">
        <v>0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7.1664554597902488E-3</v>
      </c>
      <c r="M2019" s="1">
        <f t="shared" si="127"/>
        <v>-2.5236948534553666E-3</v>
      </c>
      <c r="N2019" s="1">
        <f t="shared" si="128"/>
        <v>0</v>
      </c>
      <c r="O2019" s="1"/>
    </row>
    <row r="2020" spans="1:15" x14ac:dyDescent="0.25">
      <c r="A2020">
        <v>3822</v>
      </c>
      <c r="B2020">
        <v>1383.106663</v>
      </c>
      <c r="C2020">
        <v>0</v>
      </c>
      <c r="D2020">
        <v>27670.32561</v>
      </c>
      <c r="E2020" s="1">
        <v>3.89E-6</v>
      </c>
      <c r="F2020">
        <v>64648.230049999998</v>
      </c>
      <c r="G2020">
        <v>0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0</v>
      </c>
      <c r="M2020" s="1">
        <f t="shared" si="127"/>
        <v>4.6064737401879094E-2</v>
      </c>
      <c r="N2020" s="1">
        <f t="shared" si="128"/>
        <v>0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-9.5999999999999999E-8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-5.9335134340304995E-3</v>
      </c>
      <c r="N2021" s="1">
        <f t="shared" si="128"/>
        <v>-8.8839393801264002E-4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 s="1">
        <v>-3.9999999999999998E-7</v>
      </c>
      <c r="F2022">
        <v>16392.955620000001</v>
      </c>
      <c r="G2022" s="1">
        <v>-1.22E-6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-2.2452448713831199E-2</v>
      </c>
      <c r="N2022" s="1">
        <f t="shared" si="128"/>
        <v>-3.204108621501324E-2</v>
      </c>
      <c r="O2022" s="1"/>
    </row>
    <row r="2023" spans="1:15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-1.6899999999999999E-6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4.0395991294424997E-3</v>
      </c>
      <c r="M2023" s="1">
        <f t="shared" si="127"/>
        <v>-1.558042310386515E-3</v>
      </c>
      <c r="N2023" s="1">
        <f t="shared" si="128"/>
        <v>-1.0713016891281511E-2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 s="1">
        <v>1.9999999999999999E-7</v>
      </c>
      <c r="F2024">
        <v>64316.909420000004</v>
      </c>
      <c r="G2024" s="1">
        <v>-8.0599999999999999E-7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3.7650501577811998E-3</v>
      </c>
      <c r="N2024" s="1">
        <f t="shared" si="128"/>
        <v>-7.099364760814404E-3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 s="1">
        <v>-4.7400000000000004E-6</v>
      </c>
      <c r="F2025">
        <v>339867.5833</v>
      </c>
      <c r="G2025" s="1">
        <v>3.6000000000000001E-5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-7.7907771722191446E-2</v>
      </c>
      <c r="N2025" s="1">
        <f t="shared" si="128"/>
        <v>0.27685260883742402</v>
      </c>
      <c r="O2025" s="1"/>
    </row>
    <row r="2026" spans="1:15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>
        <v>0</v>
      </c>
      <c r="F2026">
        <v>49101.02923</v>
      </c>
      <c r="G2026">
        <v>0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2.86765780101775E-3</v>
      </c>
      <c r="M2026" s="1">
        <f t="shared" si="127"/>
        <v>0</v>
      </c>
      <c r="N2026" s="1">
        <f t="shared" si="128"/>
        <v>0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>
        <v>0</v>
      </c>
      <c r="D2028">
        <v>67745.768460000007</v>
      </c>
      <c r="E2028" s="1">
        <v>-3.7599999999999998E-7</v>
      </c>
      <c r="F2028">
        <v>223231.94500000001</v>
      </c>
      <c r="G2028" s="1">
        <v>4.88E-5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0</v>
      </c>
      <c r="M2028" s="1">
        <f t="shared" si="127"/>
        <v>-4.9762394734075509E-4</v>
      </c>
      <c r="N2028" s="1">
        <f t="shared" si="128"/>
        <v>3.0218780015168638E-2</v>
      </c>
      <c r="O2028" s="1"/>
    </row>
    <row r="2029" spans="1:15" x14ac:dyDescent="0.25">
      <c r="A2029">
        <v>3832</v>
      </c>
      <c r="B2029">
        <v>25195.28066</v>
      </c>
      <c r="C2029" s="1">
        <v>3.3299999999999999E-6</v>
      </c>
      <c r="D2029">
        <v>64736.990510000003</v>
      </c>
      <c r="E2029" s="1">
        <v>8.3399999999999998E-7</v>
      </c>
      <c r="F2029">
        <v>208715.54149999999</v>
      </c>
      <c r="G2029" s="1">
        <v>3.79E-5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7.6509419865178939E-3</v>
      </c>
      <c r="M2029" s="1">
        <f t="shared" si="127"/>
        <v>6.4265791843510806E-4</v>
      </c>
      <c r="N2029" s="1">
        <f t="shared" si="128"/>
        <v>1.3664592992137157E-2</v>
      </c>
      <c r="O2029" s="1"/>
    </row>
    <row r="2030" spans="1:15" x14ac:dyDescent="0.25">
      <c r="A2030">
        <v>3833</v>
      </c>
      <c r="B2030">
        <v>995.22965910000005</v>
      </c>
      <c r="C2030" s="1">
        <v>-4.4999999999999999E-8</v>
      </c>
      <c r="D2030">
        <v>31574.758839999999</v>
      </c>
      <c r="E2030" s="1">
        <v>1.0300000000000001E-6</v>
      </c>
      <c r="F2030">
        <v>86145.088470000002</v>
      </c>
      <c r="G2030" s="1">
        <v>2.5399999999999998E-6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-2.0297383418373749E-3</v>
      </c>
      <c r="M2030" s="1">
        <f t="shared" si="127"/>
        <v>1.5581451188928692E-2</v>
      </c>
      <c r="N2030" s="1">
        <f t="shared" si="128"/>
        <v>1.797827725139238E-2</v>
      </c>
      <c r="O2030" s="1"/>
    </row>
    <row r="2031" spans="1:15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-4.6700000000000002E-6</v>
      </c>
      <c r="F2031">
        <v>68717.481849999996</v>
      </c>
      <c r="G2031" s="1">
        <v>-4.7700000000000001E-6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5.7170759012289005E-2</v>
      </c>
      <c r="M2031" s="1">
        <f t="shared" si="127"/>
        <v>-2.4873189282073053E-2</v>
      </c>
      <c r="N2031" s="1">
        <f t="shared" si="128"/>
        <v>-1.1887120123862862E-2</v>
      </c>
      <c r="O2031" s="1"/>
    </row>
    <row r="2032" spans="1:15" x14ac:dyDescent="0.25">
      <c r="A2032">
        <v>3835</v>
      </c>
      <c r="B2032">
        <v>17363.955529999999</v>
      </c>
      <c r="C2032" s="1">
        <v>9.5499999999999996E-7</v>
      </c>
      <c r="D2032">
        <v>40940.174460000002</v>
      </c>
      <c r="E2032" s="1">
        <v>-1.8899999999999999E-6</v>
      </c>
      <c r="F2032">
        <v>129539.1505</v>
      </c>
      <c r="G2032" s="1">
        <v>9.9699999999999994E-6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2.9747844838817133E-2</v>
      </c>
      <c r="M2032" s="1">
        <f t="shared" si="127"/>
        <v>-1.9744997229946736E-2</v>
      </c>
      <c r="N2032" s="1">
        <f t="shared" si="128"/>
        <v>4.8734230093252839E-2</v>
      </c>
      <c r="O2032" s="1"/>
    </row>
    <row r="2033" spans="1:15" x14ac:dyDescent="0.25">
      <c r="A2033">
        <v>3836</v>
      </c>
      <c r="B2033">
        <v>21184.141159999999</v>
      </c>
      <c r="C2033" s="1">
        <v>-1.22E-6</v>
      </c>
      <c r="D2033">
        <v>31183.466789999999</v>
      </c>
      <c r="E2033" s="1">
        <v>-1.55E-6</v>
      </c>
      <c r="F2033">
        <v>88142.243220000004</v>
      </c>
      <c r="G2033" s="1">
        <v>1.75E-6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-3.9028659498454597E-2</v>
      </c>
      <c r="M2033" s="1">
        <f t="shared" si="127"/>
        <v>-1.6630244696756381E-2</v>
      </c>
      <c r="N2033" s="1">
        <f t="shared" si="128"/>
        <v>8.7851396222876996E-3</v>
      </c>
      <c r="O2033" s="1"/>
    </row>
    <row r="2034" spans="1:15" x14ac:dyDescent="0.25">
      <c r="A2034">
        <v>3837</v>
      </c>
      <c r="B2034">
        <v>30888.133290000002</v>
      </c>
      <c r="C2034" s="1">
        <v>-4.9799999999999998E-6</v>
      </c>
      <c r="D2034">
        <v>93012.505170000004</v>
      </c>
      <c r="E2034" s="1">
        <v>-3.5200000000000002E-6</v>
      </c>
      <c r="F2034">
        <v>309867.95860000001</v>
      </c>
      <c r="G2034" s="1">
        <v>1.5299999999999999E-5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-2.4819583591588503E-2</v>
      </c>
      <c r="M2034" s="1">
        <f t="shared" si="127"/>
        <v>-5.8837057969852802E-3</v>
      </c>
      <c r="N2034" s="1">
        <f t="shared" si="128"/>
        <v>1.1965845583266301E-2</v>
      </c>
      <c r="O2034" s="1"/>
    </row>
    <row r="2035" spans="1:15" x14ac:dyDescent="0.25">
      <c r="A2035">
        <v>3838</v>
      </c>
      <c r="B2035">
        <v>26421.602999999999</v>
      </c>
      <c r="C2035" s="1">
        <v>2.34E-6</v>
      </c>
      <c r="D2035">
        <v>64486.857989999997</v>
      </c>
      <c r="E2035" s="1">
        <v>-4.3699999999999997E-6</v>
      </c>
      <c r="F2035">
        <v>164695.08559999999</v>
      </c>
      <c r="G2035" s="1">
        <v>-4.2799999999999997E-5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2.3578787789721452E-2</v>
      </c>
      <c r="M2035" s="1">
        <f t="shared" si="127"/>
        <v>-1.4768289267426715E-2</v>
      </c>
      <c r="N2035" s="1">
        <f t="shared" si="128"/>
        <v>-6.7676236669827708E-2</v>
      </c>
      <c r="O2035" s="1"/>
    </row>
    <row r="2036" spans="1:15" x14ac:dyDescent="0.25">
      <c r="A2036">
        <v>3839</v>
      </c>
      <c r="B2036">
        <v>28623.94886</v>
      </c>
      <c r="C2036" s="1">
        <v>-1.57E-6</v>
      </c>
      <c r="D2036">
        <v>102368.4874</v>
      </c>
      <c r="E2036" s="1">
        <v>4.2200000000000003E-5</v>
      </c>
      <c r="F2036">
        <v>249974.97099999999</v>
      </c>
      <c r="G2036" s="1">
        <v>2.0599999999999999E-5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-1.4173683900172873E-2</v>
      </c>
      <c r="M2036" s="1">
        <f t="shared" si="127"/>
        <v>0.12777287840081369</v>
      </c>
      <c r="N2036" s="1">
        <f t="shared" si="128"/>
        <v>2.9183483205333899E-2</v>
      </c>
      <c r="O2036" s="1"/>
    </row>
    <row r="2037" spans="1:15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7.1399999999999996E-7</v>
      </c>
      <c r="F2037">
        <v>159424.6827</v>
      </c>
      <c r="G2037" s="1">
        <v>3.1399999999999998E-5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2.003632330984375E-2</v>
      </c>
      <c r="M2037" s="1">
        <f t="shared" si="127"/>
        <v>1.0545033967282498E-2</v>
      </c>
      <c r="N2037" s="1">
        <f t="shared" si="128"/>
        <v>0.21698169500174999</v>
      </c>
      <c r="O2037" s="1"/>
    </row>
    <row r="2038" spans="1:15" x14ac:dyDescent="0.25">
      <c r="A2038">
        <v>3841</v>
      </c>
      <c r="B2038">
        <v>31625.321489999998</v>
      </c>
      <c r="C2038" s="1">
        <v>-6.5E-8</v>
      </c>
      <c r="D2038">
        <v>103586.3803</v>
      </c>
      <c r="E2038" s="1">
        <v>-2.62E-5</v>
      </c>
      <c r="F2038">
        <v>278036.22619999998</v>
      </c>
      <c r="G2038" s="1">
        <v>2.8500000000000002E-5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-2.6674403201403749E-4</v>
      </c>
      <c r="M2038" s="1">
        <f t="shared" si="127"/>
        <v>-3.6060005047369864E-2</v>
      </c>
      <c r="N2038" s="1">
        <f t="shared" si="128"/>
        <v>1.8353252096208455E-2</v>
      </c>
      <c r="O2038" s="1"/>
    </row>
    <row r="2039" spans="1:15" x14ac:dyDescent="0.25">
      <c r="A2039">
        <v>3842</v>
      </c>
      <c r="B2039">
        <v>24190.272099999998</v>
      </c>
      <c r="C2039" s="1">
        <v>-3.32E-6</v>
      </c>
      <c r="D2039">
        <v>53495.309950000003</v>
      </c>
      <c r="E2039" s="1">
        <v>1.9300000000000002E-6</v>
      </c>
      <c r="F2039">
        <v>136563.3314</v>
      </c>
      <c r="G2039" s="1">
        <v>2.3E-5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-0.14428903668126999</v>
      </c>
      <c r="M2039" s="1">
        <f t="shared" si="127"/>
        <v>2.8131681785578101E-2</v>
      </c>
      <c r="N2039" s="1">
        <f t="shared" si="128"/>
        <v>0.15685916591949001</v>
      </c>
      <c r="O2039" s="1"/>
    </row>
    <row r="2040" spans="1:15" x14ac:dyDescent="0.25">
      <c r="A2040">
        <v>3843</v>
      </c>
      <c r="B2040">
        <v>42697.353210000001</v>
      </c>
      <c r="C2040" s="1">
        <v>4.4100000000000001E-6</v>
      </c>
      <c r="D2040">
        <v>132422.77489999999</v>
      </c>
      <c r="E2040" s="1">
        <v>-8.1499999999999999E-6</v>
      </c>
      <c r="F2040">
        <v>323163.52970000001</v>
      </c>
      <c r="G2040">
        <v>0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3.7963450438477202E-2</v>
      </c>
      <c r="M2040" s="1">
        <f t="shared" si="127"/>
        <v>-2.3530320039784561E-2</v>
      </c>
      <c r="N2040" s="1">
        <f t="shared" si="128"/>
        <v>0</v>
      </c>
      <c r="O2040" s="1"/>
    </row>
    <row r="2041" spans="1:15" x14ac:dyDescent="0.25">
      <c r="A2041">
        <v>3844</v>
      </c>
      <c r="B2041">
        <v>21278.181120000001</v>
      </c>
      <c r="C2041" s="1">
        <v>9.95E-7</v>
      </c>
      <c r="D2041">
        <v>50658.0049</v>
      </c>
      <c r="E2041" s="1">
        <v>9.1399999999999995E-7</v>
      </c>
      <c r="F2041">
        <v>125953.5812</v>
      </c>
      <c r="G2041" s="1">
        <v>4.5500000000000001E-5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1.149446301769805E-2</v>
      </c>
      <c r="M2041" s="1">
        <f t="shared" si="127"/>
        <v>3.5412365600345909E-3</v>
      </c>
      <c r="N2041" s="1">
        <f t="shared" si="128"/>
        <v>8.2482880348104595E-2</v>
      </c>
      <c r="O2041" s="1"/>
    </row>
    <row r="2042" spans="1:15" x14ac:dyDescent="0.25">
      <c r="A2042">
        <v>3845</v>
      </c>
      <c r="B2042">
        <v>26239.868310000002</v>
      </c>
      <c r="C2042" s="1">
        <v>-4.4700000000000004E-6</v>
      </c>
      <c r="D2042">
        <v>86587.990940000003</v>
      </c>
      <c r="E2042" s="1">
        <v>-6.6599999999999996E-7</v>
      </c>
      <c r="F2042">
        <v>218913.89139999999</v>
      </c>
      <c r="G2042" s="1">
        <v>-2.9600000000000001E-5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-2.7166470915471228E-2</v>
      </c>
      <c r="M2042" s="1">
        <f t="shared" si="127"/>
        <v>-1.3575100943987045E-3</v>
      </c>
      <c r="N2042" s="1">
        <f t="shared" si="128"/>
        <v>-2.8229567712266642E-2</v>
      </c>
      <c r="O2042" s="1"/>
    </row>
    <row r="2043" spans="1:15" x14ac:dyDescent="0.25">
      <c r="A2043">
        <v>3846</v>
      </c>
      <c r="B2043">
        <v>20964.764090000001</v>
      </c>
      <c r="C2043">
        <v>0</v>
      </c>
      <c r="D2043">
        <v>44939.939259999999</v>
      </c>
      <c r="E2043" s="1">
        <v>1.64E-6</v>
      </c>
      <c r="F2043">
        <v>111723.8995</v>
      </c>
      <c r="G2043" s="1">
        <v>-4.2400000000000001E-5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0</v>
      </c>
      <c r="M2043" s="1">
        <f t="shared" si="127"/>
        <v>6.7187683285609432E-3</v>
      </c>
      <c r="N2043" s="1">
        <f t="shared" si="128"/>
        <v>-8.1274695869770569E-2</v>
      </c>
      <c r="O2043" s="1"/>
    </row>
    <row r="2044" spans="1:15" x14ac:dyDescent="0.25">
      <c r="A2044">
        <v>3847</v>
      </c>
      <c r="B2044">
        <v>23175.794880000001</v>
      </c>
      <c r="C2044" s="1">
        <v>-2.5399999999999998E-6</v>
      </c>
      <c r="D2044">
        <v>50934.717989999997</v>
      </c>
      <c r="E2044" s="1">
        <v>1.8700000000000001E-6</v>
      </c>
      <c r="F2044">
        <v>123796.58</v>
      </c>
      <c r="G2044" s="1">
        <v>2.3099999999999999E-5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-2.4007193250643193E-2</v>
      </c>
      <c r="M2044" s="1">
        <f t="shared" si="127"/>
        <v>5.9277846157221124E-3</v>
      </c>
      <c r="N2044" s="1">
        <f t="shared" si="128"/>
        <v>3.4261507411971835E-2</v>
      </c>
      <c r="O2044" s="1"/>
    </row>
    <row r="2045" spans="1:15" x14ac:dyDescent="0.25">
      <c r="A2045">
        <v>3848</v>
      </c>
      <c r="B2045">
        <v>44131.91805</v>
      </c>
      <c r="C2045" s="1">
        <v>-3.5899999999999999E-6</v>
      </c>
      <c r="D2045">
        <v>151426.54990000001</v>
      </c>
      <c r="E2045" s="1">
        <v>4.0899999999999998E-5</v>
      </c>
      <c r="F2045">
        <v>412950.94880000001</v>
      </c>
      <c r="G2045">
        <v>0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-7.5879736530083518E-3</v>
      </c>
      <c r="M2045" s="1">
        <f t="shared" si="127"/>
        <v>2.8993310771353361E-2</v>
      </c>
      <c r="N2045" s="1">
        <f t="shared" si="128"/>
        <v>0</v>
      </c>
      <c r="O2045" s="1"/>
    </row>
    <row r="2046" spans="1:15" x14ac:dyDescent="0.25">
      <c r="A2046">
        <v>3849</v>
      </c>
      <c r="B2046">
        <v>1681.759323</v>
      </c>
      <c r="C2046">
        <v>0</v>
      </c>
      <c r="D2046">
        <v>28971.653780000001</v>
      </c>
      <c r="E2046" s="1">
        <v>1.33E-6</v>
      </c>
      <c r="F2046">
        <v>66457.830350000004</v>
      </c>
      <c r="G2046" s="1">
        <v>-8.7599999999999996E-7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0</v>
      </c>
      <c r="M2046" s="1">
        <f t="shared" si="127"/>
        <v>2.365438465865251E-3</v>
      </c>
      <c r="N2046" s="1">
        <f t="shared" si="128"/>
        <v>-7.2896688212041073E-4</v>
      </c>
      <c r="O2046" s="1"/>
    </row>
    <row r="2047" spans="1:15" x14ac:dyDescent="0.25">
      <c r="A2047">
        <v>3850</v>
      </c>
      <c r="B2047">
        <v>28308.821240000001</v>
      </c>
      <c r="C2047" s="1">
        <v>-1.72E-6</v>
      </c>
      <c r="D2047">
        <v>42608.915000000001</v>
      </c>
      <c r="E2047" s="1">
        <v>-1.57E-6</v>
      </c>
      <c r="F2047">
        <v>120002.65029999999</v>
      </c>
      <c r="G2047">
        <v>0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-5.3714875197018098E-2</v>
      </c>
      <c r="M2047" s="1">
        <f t="shared" si="127"/>
        <v>-1.6444054727130068E-2</v>
      </c>
      <c r="N2047" s="1">
        <f t="shared" si="128"/>
        <v>0</v>
      </c>
      <c r="O2047" s="1"/>
    </row>
    <row r="2048" spans="1:15" x14ac:dyDescent="0.25">
      <c r="A2048">
        <v>3851</v>
      </c>
      <c r="B2048">
        <v>20234.06479</v>
      </c>
      <c r="C2048" s="1">
        <v>-8.1500000000000003E-7</v>
      </c>
      <c r="D2048">
        <v>46711.648020000001</v>
      </c>
      <c r="E2048" s="1">
        <v>-5.6499999999999999E-7</v>
      </c>
      <c r="F2048">
        <v>138897.90599999999</v>
      </c>
      <c r="G2048">
        <v>0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-1.9178742594961301E-2</v>
      </c>
      <c r="M2048" s="1">
        <f t="shared" si="127"/>
        <v>-4.4591707889030359E-3</v>
      </c>
      <c r="N2048" s="1">
        <f t="shared" si="128"/>
        <v>0</v>
      </c>
      <c r="O2048" s="1"/>
    </row>
    <row r="2049" spans="1:15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-2.2400000000000002E-6</v>
      </c>
      <c r="F2049">
        <v>87710.605490000002</v>
      </c>
      <c r="G2049" s="1">
        <v>2.7E-6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2.6497301449082751E-2</v>
      </c>
      <c r="M2049" s="1">
        <f t="shared" si="127"/>
        <v>-1.8096730410651872E-2</v>
      </c>
      <c r="N2049" s="1">
        <f t="shared" si="128"/>
        <v>1.0206093453255091E-2</v>
      </c>
      <c r="O2049" s="1"/>
    </row>
    <row r="2050" spans="1:15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1.24E-6</v>
      </c>
      <c r="F2050">
        <v>74260.346980000002</v>
      </c>
      <c r="G2050" s="1">
        <v>1.35E-6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-2.3097059912306249E-3</v>
      </c>
      <c r="M2050" s="1">
        <f t="shared" si="127"/>
        <v>1.06728157871703E-2</v>
      </c>
      <c r="N2050" s="1">
        <f t="shared" si="128"/>
        <v>5.4366925639736255E-3</v>
      </c>
      <c r="O2050" s="1"/>
    </row>
    <row r="2051" spans="1:15" x14ac:dyDescent="0.25">
      <c r="A2051">
        <v>3854</v>
      </c>
      <c r="B2051">
        <v>2700.9635830000002</v>
      </c>
      <c r="C2051" s="1">
        <v>9.9999999999999995E-8</v>
      </c>
      <c r="D2051">
        <v>13020.13386</v>
      </c>
      <c r="E2051">
        <v>0</v>
      </c>
      <c r="F2051">
        <v>45130.93808</v>
      </c>
      <c r="G2051" s="1">
        <v>-4.1600000000000002E-7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6.4818211267225001E-3</v>
      </c>
      <c r="M2051" s="1">
        <f t="shared" ref="M2051:M2114" si="131">$U$3*$K2051*E2051</f>
        <v>0</v>
      </c>
      <c r="N2051" s="1">
        <f t="shared" ref="N2051:N2114" si="132">$U$4*$K2051*G2051</f>
        <v>-4.2313328315244491E-3</v>
      </c>
      <c r="O2051" s="1"/>
    </row>
    <row r="2052" spans="1:15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-2.1100000000000001E-6</v>
      </c>
      <c r="F2052">
        <v>63548.783499999998</v>
      </c>
      <c r="G2052" s="1">
        <v>-7.4600000000000004E-7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-2.06406624312525E-2</v>
      </c>
      <c r="M2052" s="1">
        <f t="shared" si="131"/>
        <v>-4.8688676436551413E-2</v>
      </c>
      <c r="N2052" s="1">
        <f t="shared" si="132"/>
        <v>-8.0543040293275161E-3</v>
      </c>
      <c r="O2052" s="1"/>
    </row>
    <row r="2053" spans="1:15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>
        <v>0</v>
      </c>
      <c r="F2053">
        <v>70730.93763</v>
      </c>
      <c r="G2053" s="1">
        <v>-1.3400000000000001E-6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-0.12778696187634195</v>
      </c>
      <c r="M2053" s="1">
        <f t="shared" si="131"/>
        <v>0</v>
      </c>
      <c r="N2053" s="1">
        <f t="shared" si="132"/>
        <v>-6.7344985345125976E-3</v>
      </c>
      <c r="O2053" s="1"/>
    </row>
    <row r="2054" spans="1:15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7.1399999999999996E-7</v>
      </c>
      <c r="F2054">
        <v>68297.78903</v>
      </c>
      <c r="G2054" s="1">
        <v>-2.7599999999999998E-6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-6.1056059106217508E-3</v>
      </c>
      <c r="M2054" s="1">
        <f t="shared" si="131"/>
        <v>4.8735885702569058E-3</v>
      </c>
      <c r="N2054" s="1">
        <f t="shared" si="132"/>
        <v>-8.8146162869653082E-3</v>
      </c>
      <c r="O2054" s="1"/>
    </row>
    <row r="2055" spans="1:15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-9.2600000000000001E-7</v>
      </c>
      <c r="F2055">
        <v>59423.366670000003</v>
      </c>
      <c r="G2055" s="1">
        <v>2.5500000000000001E-6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-2.1780736781537497E-3</v>
      </c>
      <c r="M2055" s="1">
        <f t="shared" si="131"/>
        <v>-6.7643596501775569E-3</v>
      </c>
      <c r="N2055" s="1">
        <f t="shared" si="132"/>
        <v>8.7156455951967766E-3</v>
      </c>
      <c r="O2055" s="1"/>
    </row>
    <row r="2056" spans="1:15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-1.59E-6</v>
      </c>
      <c r="F2056">
        <v>70319.059819999995</v>
      </c>
      <c r="G2056" s="1">
        <v>2.9399999999999998E-6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-4.5275883259431821E-3</v>
      </c>
      <c r="M2056" s="1">
        <f t="shared" si="131"/>
        <v>-1.3339164177972172E-2</v>
      </c>
      <c r="N2056" s="1">
        <f t="shared" si="132"/>
        <v>1.1540443579973154E-2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 s="1">
        <v>-3.2100000000000002E-6</v>
      </c>
      <c r="F2057">
        <v>48368.768790000002</v>
      </c>
      <c r="G2057" s="1">
        <v>4.4400000000000001E-7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-3.4265906279097973E-2</v>
      </c>
      <c r="N2057" s="1">
        <f t="shared" si="132"/>
        <v>2.2176031946723102E-3</v>
      </c>
      <c r="O2057" s="1"/>
    </row>
    <row r="2058" spans="1:15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3.6100000000000002E-6</v>
      </c>
      <c r="F2058">
        <v>66995.771670000002</v>
      </c>
      <c r="G2058" s="1">
        <v>4.8400000000000002E-6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-3.9456572263972496E-4</v>
      </c>
      <c r="M2058" s="1">
        <f t="shared" si="131"/>
        <v>2.2748376000220571E-2</v>
      </c>
      <c r="N2058" s="1">
        <f t="shared" si="132"/>
        <v>1.4270271498372121E-2</v>
      </c>
      <c r="O2058" s="1"/>
    </row>
    <row r="2059" spans="1:15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4.8899999999999998E-6</v>
      </c>
      <c r="F2059">
        <v>48556.532209999998</v>
      </c>
      <c r="G2059" s="1">
        <v>1.75E-6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1.1053444480349702E-2</v>
      </c>
      <c r="M2059" s="1">
        <f t="shared" si="131"/>
        <v>3.9408671855994601E-2</v>
      </c>
      <c r="N2059" s="1">
        <f t="shared" si="132"/>
        <v>6.5987954506435504E-3</v>
      </c>
      <c r="O2059" s="1"/>
    </row>
    <row r="2060" spans="1:15" x14ac:dyDescent="0.25">
      <c r="A2060">
        <v>3863</v>
      </c>
      <c r="B2060">
        <v>1563.154129</v>
      </c>
      <c r="C2060" s="1">
        <v>1.29E-7</v>
      </c>
      <c r="D2060">
        <v>17763.56364</v>
      </c>
      <c r="E2060">
        <v>0</v>
      </c>
      <c r="F2060">
        <v>84277.056890000007</v>
      </c>
      <c r="G2060" s="1">
        <v>-3.8999999999999999E-6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7.5088175887617755E-3</v>
      </c>
      <c r="M2060" s="1">
        <f t="shared" si="131"/>
        <v>0</v>
      </c>
      <c r="N2060" s="1">
        <f t="shared" si="132"/>
        <v>-3.5623227630404701E-2</v>
      </c>
      <c r="O2060" s="1"/>
    </row>
    <row r="2061" spans="1:15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2.0499999999999999E-6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-6.6984641531600006E-3</v>
      </c>
      <c r="M2061" s="1">
        <f t="shared" si="131"/>
        <v>-6.79584951661748E-4</v>
      </c>
      <c r="N2061" s="1">
        <f t="shared" si="132"/>
        <v>5.3871109785605994E-3</v>
      </c>
      <c r="O2061" s="1"/>
    </row>
    <row r="2062" spans="1:15" x14ac:dyDescent="0.25">
      <c r="A2062">
        <v>3865</v>
      </c>
      <c r="B2062">
        <v>256.10979079999998</v>
      </c>
      <c r="C2062">
        <v>0</v>
      </c>
      <c r="D2062">
        <v>6076.6023059999998</v>
      </c>
      <c r="E2062" s="1">
        <v>-1.86E-7</v>
      </c>
      <c r="F2062">
        <v>61280.375220000002</v>
      </c>
      <c r="G2062">
        <v>0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0</v>
      </c>
      <c r="M2062" s="1">
        <f t="shared" si="131"/>
        <v>-1.8957762751393829E-3</v>
      </c>
      <c r="N2062" s="1">
        <f t="shared" si="132"/>
        <v>0</v>
      </c>
      <c r="O2062" s="1"/>
    </row>
    <row r="2063" spans="1:15" x14ac:dyDescent="0.25">
      <c r="A2063">
        <v>3866</v>
      </c>
      <c r="B2063">
        <v>30920.274399999998</v>
      </c>
      <c r="C2063" s="1">
        <v>-4.07E-6</v>
      </c>
      <c r="D2063">
        <v>106959.98239999999</v>
      </c>
      <c r="E2063" s="1">
        <v>-2.8200000000000001E-5</v>
      </c>
      <c r="F2063">
        <v>269180.72409999999</v>
      </c>
      <c r="G2063">
        <v>0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-2.8474781611433304E-2</v>
      </c>
      <c r="M2063" s="1">
        <f t="shared" si="131"/>
        <v>-6.6169558659779762E-2</v>
      </c>
      <c r="N2063" s="1">
        <f t="shared" si="132"/>
        <v>0</v>
      </c>
      <c r="O2063" s="1"/>
    </row>
    <row r="2064" spans="1:15" x14ac:dyDescent="0.25">
      <c r="A2064">
        <v>3867</v>
      </c>
      <c r="B2064">
        <v>28247.463919999998</v>
      </c>
      <c r="C2064" s="1">
        <v>-2.57E-6</v>
      </c>
      <c r="D2064">
        <v>86370.549440000003</v>
      </c>
      <c r="E2064" s="1">
        <v>3.8299999999999998E-6</v>
      </c>
      <c r="F2064">
        <v>227192.18580000001</v>
      </c>
      <c r="G2064" s="1">
        <v>2.8900000000000001E-5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-2.8647703585484748E-2</v>
      </c>
      <c r="M2064" s="1">
        <f t="shared" si="131"/>
        <v>1.4318535547240129E-2</v>
      </c>
      <c r="N2064" s="1">
        <f t="shared" si="132"/>
        <v>5.0552349972638105E-2</v>
      </c>
      <c r="O2064" s="1"/>
    </row>
    <row r="2065" spans="1:15" x14ac:dyDescent="0.25">
      <c r="A2065">
        <v>3868</v>
      </c>
      <c r="B2065">
        <v>23895.590270000001</v>
      </c>
      <c r="C2065" s="1">
        <v>3.3400000000000002E-6</v>
      </c>
      <c r="D2065">
        <v>73799.588640000002</v>
      </c>
      <c r="E2065">
        <v>0</v>
      </c>
      <c r="F2065">
        <v>216172.69200000001</v>
      </c>
      <c r="G2065" s="1">
        <v>2.9899999999999998E-5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1.8715438330256851E-2</v>
      </c>
      <c r="M2065" s="1">
        <f t="shared" si="131"/>
        <v>0</v>
      </c>
      <c r="N2065" s="1">
        <f t="shared" si="132"/>
        <v>2.6291268456756028E-2</v>
      </c>
      <c r="O2065" s="1"/>
    </row>
    <row r="2066" spans="1:15" x14ac:dyDescent="0.25">
      <c r="A2066">
        <v>3869</v>
      </c>
      <c r="B2066">
        <v>23103.88855</v>
      </c>
      <c r="C2066" s="1">
        <v>-4.6399999999999996E-6</v>
      </c>
      <c r="D2066">
        <v>53968.551319999999</v>
      </c>
      <c r="E2066" s="1">
        <v>-5.8599999999999998E-7</v>
      </c>
      <c r="F2066">
        <v>141640.20420000001</v>
      </c>
      <c r="G2066" s="1">
        <v>4.8199999999999999E-5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-0.10338821828267919</v>
      </c>
      <c r="M2066" s="1">
        <f t="shared" si="131"/>
        <v>-4.3791903545012277E-3</v>
      </c>
      <c r="N2066" s="1">
        <f t="shared" si="132"/>
        <v>0.16853376537299869</v>
      </c>
      <c r="O2066" s="1"/>
    </row>
    <row r="2067" spans="1:15" x14ac:dyDescent="0.25">
      <c r="A2067">
        <v>3870</v>
      </c>
      <c r="B2067">
        <v>20255.623909999998</v>
      </c>
      <c r="C2067" s="1">
        <v>-6.3499999999999996E-7</v>
      </c>
      <c r="D2067">
        <v>49067.635979999999</v>
      </c>
      <c r="E2067" s="1">
        <v>-1.59E-6</v>
      </c>
      <c r="F2067">
        <v>135336.7617</v>
      </c>
      <c r="G2067" s="1">
        <v>-1.3200000000000001E-5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-5.3525185238944249E-3</v>
      </c>
      <c r="M2067" s="1">
        <f t="shared" si="131"/>
        <v>-4.4949484451902739E-3</v>
      </c>
      <c r="N2067" s="1">
        <f t="shared" si="132"/>
        <v>-1.7460038620403281E-2</v>
      </c>
      <c r="O2067" s="1"/>
    </row>
    <row r="2068" spans="1:15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-3.7299999999999999E-6</v>
      </c>
      <c r="F2068">
        <v>82990.510250000007</v>
      </c>
      <c r="G2068" s="1">
        <v>-6.9599999999999999E-7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-1.1323563187457626E-2</v>
      </c>
      <c r="M2068" s="1">
        <f t="shared" si="131"/>
        <v>-6.7135560847606954E-2</v>
      </c>
      <c r="N2068" s="1">
        <f t="shared" si="132"/>
        <v>-5.8613372060079601E-3</v>
      </c>
      <c r="O2068" s="1"/>
    </row>
    <row r="2069" spans="1:15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-4.9300000000000002E-6</v>
      </c>
      <c r="F2069">
        <v>241606.24619999999</v>
      </c>
      <c r="G2069" s="1">
        <v>-1.84E-5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-0.15768637187355977</v>
      </c>
      <c r="M2069" s="1">
        <f t="shared" si="131"/>
        <v>-7.9732698803758925E-2</v>
      </c>
      <c r="N2069" s="1">
        <f t="shared" si="132"/>
        <v>-0.13923584226407762</v>
      </c>
      <c r="O2069" s="1"/>
    </row>
    <row r="2070" spans="1:15" x14ac:dyDescent="0.25">
      <c r="A2070">
        <v>3901</v>
      </c>
      <c r="B2070">
        <v>2496.658629</v>
      </c>
      <c r="C2070">
        <v>0</v>
      </c>
      <c r="D2070">
        <v>59376.087359999998</v>
      </c>
      <c r="E2070">
        <v>0</v>
      </c>
      <c r="F2070">
        <v>197720.43220000001</v>
      </c>
      <c r="G2070" s="1">
        <v>-3.8099999999999998E-5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0</v>
      </c>
      <c r="M2070" s="1">
        <f t="shared" si="131"/>
        <v>0</v>
      </c>
      <c r="N2070" s="1">
        <f t="shared" si="132"/>
        <v>-0.23223499780696472</v>
      </c>
      <c r="O2070" s="1"/>
    </row>
    <row r="2071" spans="1:15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1.9300000000000002E-5</v>
      </c>
      <c r="F2071">
        <v>316328.59399999998</v>
      </c>
      <c r="G2071" s="1">
        <v>6.0999999999999998E-7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-0.16929086943706603</v>
      </c>
      <c r="M2071" s="1">
        <f t="shared" si="131"/>
        <v>0.22455056874826973</v>
      </c>
      <c r="N2071" s="1">
        <f t="shared" si="132"/>
        <v>3.3207055158809107E-3</v>
      </c>
      <c r="O2071" s="1"/>
    </row>
    <row r="2072" spans="1:15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>
        <v>0</v>
      </c>
      <c r="F2072">
        <v>356563.04060000001</v>
      </c>
      <c r="G2072" s="1">
        <v>-2.0000000000000002E-5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0.16123659769526399</v>
      </c>
      <c r="M2072" s="1">
        <f t="shared" si="131"/>
        <v>0</v>
      </c>
      <c r="N2072" s="1">
        <f t="shared" si="132"/>
        <v>-0.13902056606016</v>
      </c>
      <c r="O2072" s="1"/>
    </row>
    <row r="2073" spans="1:15" x14ac:dyDescent="0.25">
      <c r="A2073">
        <v>3905</v>
      </c>
      <c r="B2073">
        <v>6119.7901760000004</v>
      </c>
      <c r="C2073" s="1">
        <v>-1.4499999999999999E-7</v>
      </c>
      <c r="D2073">
        <v>36094.427510000001</v>
      </c>
      <c r="E2073" s="1">
        <v>-8.6999999999999998E-8</v>
      </c>
      <c r="F2073">
        <v>134357.71549999999</v>
      </c>
      <c r="G2073" s="1">
        <v>2.9E-5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-1.6423272675143749E-3</v>
      </c>
      <c r="M2073" s="1">
        <f t="shared" si="131"/>
        <v>-3.3048677937058495E-4</v>
      </c>
      <c r="N2073" s="1">
        <f t="shared" si="132"/>
        <v>5.1543809626605E-2</v>
      </c>
      <c r="O2073" s="1"/>
    </row>
    <row r="2074" spans="1:15" x14ac:dyDescent="0.25">
      <c r="A2074">
        <v>3906</v>
      </c>
      <c r="B2074">
        <v>19262.578249999999</v>
      </c>
      <c r="C2074" s="1">
        <v>4.2599999999999999E-6</v>
      </c>
      <c r="D2074">
        <v>86265.814180000001</v>
      </c>
      <c r="E2074" s="1">
        <v>-2.04E-6</v>
      </c>
      <c r="F2074">
        <v>320740.07150000002</v>
      </c>
      <c r="G2074" s="1">
        <v>-1.6500000000000001E-5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8.8697476232133601E-2</v>
      </c>
      <c r="M2074" s="1">
        <f t="shared" si="131"/>
        <v>-1.4245410483912768E-2</v>
      </c>
      <c r="N2074" s="1">
        <f t="shared" si="132"/>
        <v>-5.3910383712055213E-2</v>
      </c>
      <c r="O2074" s="1"/>
    </row>
    <row r="2075" spans="1:15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-4.33E-6</v>
      </c>
      <c r="F2075">
        <v>109840.0919</v>
      </c>
      <c r="G2075" s="1">
        <v>4.5599999999999997E-5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4.7914832680000007E-3</v>
      </c>
      <c r="M2075" s="1">
        <f t="shared" si="131"/>
        <v>-6.3256961062879993E-2</v>
      </c>
      <c r="N2075" s="1">
        <f t="shared" si="132"/>
        <v>0.31169436330240002</v>
      </c>
      <c r="O2075" s="1"/>
    </row>
    <row r="2076" spans="1:15" x14ac:dyDescent="0.25">
      <c r="A2076">
        <v>3908</v>
      </c>
      <c r="B2076">
        <v>2235.5364209999998</v>
      </c>
      <c r="C2076">
        <v>0</v>
      </c>
      <c r="D2076">
        <v>10103.86391</v>
      </c>
      <c r="E2076" s="1">
        <v>2.8500000000000002E-7</v>
      </c>
      <c r="F2076">
        <v>80638.705329999997</v>
      </c>
      <c r="G2076" s="1">
        <v>1.2100000000000001E-6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0</v>
      </c>
      <c r="M2076" s="1">
        <f t="shared" si="131"/>
        <v>2.451660825319535E-3</v>
      </c>
      <c r="N2076" s="1">
        <f t="shared" si="132"/>
        <v>4.8701751015763238E-3</v>
      </c>
      <c r="O2076" s="1"/>
    </row>
    <row r="2077" spans="1:15" x14ac:dyDescent="0.25">
      <c r="A2077">
        <v>3909</v>
      </c>
      <c r="B2077">
        <v>6305.8558810000004</v>
      </c>
      <c r="C2077">
        <v>0</v>
      </c>
      <c r="D2077">
        <v>45849.094720000001</v>
      </c>
      <c r="E2077" s="1">
        <v>-6.2699999999999999E-7</v>
      </c>
      <c r="F2077">
        <v>161747.88860000001</v>
      </c>
      <c r="G2077" s="1">
        <v>-3.8600000000000003E-5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0</v>
      </c>
      <c r="M2077" s="1">
        <f t="shared" si="131"/>
        <v>-4.6273226138713293E-3</v>
      </c>
      <c r="N2077" s="1">
        <f t="shared" si="132"/>
        <v>-0.13328866595945599</v>
      </c>
      <c r="O2077" s="1"/>
    </row>
    <row r="2078" spans="1:15" x14ac:dyDescent="0.25">
      <c r="A2078">
        <v>3910</v>
      </c>
      <c r="B2078">
        <v>3600.873623</v>
      </c>
      <c r="C2078">
        <v>0</v>
      </c>
      <c r="D2078">
        <v>44944.864860000001</v>
      </c>
      <c r="E2078" s="1">
        <v>3.1E-6</v>
      </c>
      <c r="F2078">
        <v>163917.15520000001</v>
      </c>
      <c r="G2078" s="1">
        <v>9.3000000000000007E-6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0</v>
      </c>
      <c r="M2078" s="1">
        <f t="shared" si="131"/>
        <v>2.0512732415406368E-2</v>
      </c>
      <c r="N2078" s="1">
        <f t="shared" si="132"/>
        <v>2.8793101463827294E-2</v>
      </c>
      <c r="O2078" s="1"/>
    </row>
    <row r="2079" spans="1:15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2.1299999999999999E-7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-1.5548559291096E-3</v>
      </c>
      <c r="M2079" s="1">
        <f t="shared" si="131"/>
        <v>2.955023627323168E-3</v>
      </c>
      <c r="N2079" s="1">
        <f t="shared" si="132"/>
        <v>4.3308717840814321E-4</v>
      </c>
      <c r="O2079" s="1"/>
    </row>
    <row r="2080" spans="1:15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2.4600000000000002E-6</v>
      </c>
      <c r="F2080">
        <v>105384.58100000001</v>
      </c>
      <c r="G2080" s="1">
        <v>-1.04E-5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1.1065459412379451E-2</v>
      </c>
      <c r="M2080" s="1">
        <f t="shared" si="131"/>
        <v>2.4025038759801019E-2</v>
      </c>
      <c r="N2080" s="1">
        <f t="shared" si="132"/>
        <v>-4.7523236213166488E-2</v>
      </c>
      <c r="O2080" s="1"/>
    </row>
    <row r="2081" spans="1:15" x14ac:dyDescent="0.25">
      <c r="A2081">
        <v>3913</v>
      </c>
      <c r="B2081">
        <v>16493.051469999999</v>
      </c>
      <c r="C2081" s="1">
        <v>-2.2299999999999998E-6</v>
      </c>
      <c r="D2081">
        <v>92358.822610000003</v>
      </c>
      <c r="E2081" s="1">
        <v>7.0999999999999998E-7</v>
      </c>
      <c r="F2081">
        <v>342134.51059999998</v>
      </c>
      <c r="G2081" s="1">
        <v>2.69E-5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-5.8159583227028397E-2</v>
      </c>
      <c r="M2081" s="1">
        <f t="shared" si="131"/>
        <v>6.2103761930868955E-3</v>
      </c>
      <c r="N2081" s="1">
        <f t="shared" si="132"/>
        <v>0.11009193822581616</v>
      </c>
      <c r="O2081" s="1"/>
    </row>
    <row r="2082" spans="1:15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3.58E-6</v>
      </c>
      <c r="F2082">
        <v>164149.1814</v>
      </c>
      <c r="G2082" s="1">
        <v>-1.31E-5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-2.9975843648149749E-3</v>
      </c>
      <c r="M2082" s="1">
        <f t="shared" si="131"/>
        <v>1.7556733521022133E-2</v>
      </c>
      <c r="N2082" s="1">
        <f t="shared" si="132"/>
        <v>-3.0059078636140862E-2</v>
      </c>
      <c r="O2082" s="1"/>
    </row>
    <row r="2083" spans="1:15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-4.8500000000000002E-6</v>
      </c>
      <c r="F2083">
        <v>136890.73120000001</v>
      </c>
      <c r="G2083" s="1">
        <v>3.7599999999999999E-5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-6.7436772822249995E-3</v>
      </c>
      <c r="M2083" s="1">
        <f t="shared" si="131"/>
        <v>-5.4846846080742251E-2</v>
      </c>
      <c r="N2083" s="1">
        <f t="shared" si="132"/>
        <v>0.198948854713764</v>
      </c>
      <c r="O2083" s="1"/>
    </row>
    <row r="2084" spans="1:15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1.9700000000000002E-6</v>
      </c>
      <c r="F2084">
        <v>198070.1336</v>
      </c>
      <c r="G2084" s="1">
        <v>-9.7499999999999998E-6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-5.9713131345855005E-3</v>
      </c>
      <c r="M2084" s="1">
        <f t="shared" si="131"/>
        <v>1.2935385315405242E-2</v>
      </c>
      <c r="N2084" s="1">
        <f t="shared" si="132"/>
        <v>-2.9954456052183002E-2</v>
      </c>
      <c r="O2084" s="1"/>
    </row>
    <row r="2085" spans="1:15" x14ac:dyDescent="0.25">
      <c r="A2085">
        <v>3917</v>
      </c>
      <c r="B2085">
        <v>5584.3897909999996</v>
      </c>
      <c r="C2085">
        <v>0</v>
      </c>
      <c r="D2085">
        <v>67760.624400000001</v>
      </c>
      <c r="E2085" s="1">
        <v>4.7700000000000001E-6</v>
      </c>
      <c r="F2085">
        <v>198881.29949999999</v>
      </c>
      <c r="G2085" s="1">
        <v>-2.92E-6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0</v>
      </c>
      <c r="M2085" s="1">
        <f t="shared" si="131"/>
        <v>1.8073256109814501E-2</v>
      </c>
      <c r="N2085" s="1">
        <f t="shared" si="132"/>
        <v>-5.1765993496693322E-3</v>
      </c>
      <c r="O2085" s="1"/>
    </row>
    <row r="2086" spans="1:15" x14ac:dyDescent="0.25">
      <c r="A2086">
        <v>3918</v>
      </c>
      <c r="B2086">
        <v>921.90714060000005</v>
      </c>
      <c r="C2086" s="1">
        <v>4.0000000000000001E-8</v>
      </c>
      <c r="D2086">
        <v>19490.323400000001</v>
      </c>
      <c r="E2086" s="1">
        <v>5.2999999999999998E-8</v>
      </c>
      <c r="F2086">
        <v>84760.938030000005</v>
      </c>
      <c r="G2086" s="1">
        <v>-4.1500000000000001E-6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1.0408787311273001E-3</v>
      </c>
      <c r="M2086" s="1">
        <f t="shared" si="131"/>
        <v>4.6255049459403169E-4</v>
      </c>
      <c r="N2086" s="1">
        <f t="shared" si="132"/>
        <v>-1.6946306418699465E-2</v>
      </c>
      <c r="O2086" s="1"/>
    </row>
    <row r="2087" spans="1:15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-4.4000000000000002E-7</v>
      </c>
      <c r="F2087">
        <v>58229.515460000002</v>
      </c>
      <c r="G2087" s="1">
        <v>2.5900000000000002E-6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-6.1333120110262001E-3</v>
      </c>
      <c r="M2087" s="1">
        <f t="shared" si="131"/>
        <v>-4.1140369797037276E-3</v>
      </c>
      <c r="N2087" s="1">
        <f t="shared" si="132"/>
        <v>1.1330757811698613E-2</v>
      </c>
      <c r="O2087" s="1"/>
    </row>
    <row r="2088" spans="1:15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-2.67E-7</v>
      </c>
      <c r="F2088">
        <v>87163.49265</v>
      </c>
      <c r="G2088" s="1">
        <v>-8.5199999999999995E-7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-1.319792125868125E-2</v>
      </c>
      <c r="M2088" s="1">
        <f t="shared" si="131"/>
        <v>-3.3766954056386853E-3</v>
      </c>
      <c r="N2088" s="1">
        <f t="shared" si="132"/>
        <v>-5.0415479079755398E-3</v>
      </c>
      <c r="O2088" s="1"/>
    </row>
    <row r="2089" spans="1:15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1.9E-6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1.0883693648768849E-2</v>
      </c>
      <c r="M2089" s="1">
        <f t="shared" si="131"/>
        <v>-4.3898739411022084E-2</v>
      </c>
      <c r="N2089" s="1">
        <f t="shared" si="132"/>
        <v>8.5395134782647892E-3</v>
      </c>
      <c r="O2089" s="1"/>
    </row>
    <row r="2090" spans="1:15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1.6999999999999999E-7</v>
      </c>
      <c r="F2090">
        <v>126391.33010000001</v>
      </c>
      <c r="G2090" s="1">
        <v>-4.5600000000000004E-6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5.3740449222849998E-3</v>
      </c>
      <c r="M2090" s="1">
        <f t="shared" si="131"/>
        <v>1.53201619092217E-3</v>
      </c>
      <c r="N2090" s="1">
        <f t="shared" si="132"/>
        <v>-1.9227505955793842E-2</v>
      </c>
      <c r="O2090" s="1"/>
    </row>
    <row r="2091" spans="1:15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-3.9900000000000001E-5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1.0361704127345999E-2</v>
      </c>
      <c r="M2091" s="1">
        <f t="shared" si="131"/>
        <v>-1.30318355755467E-3</v>
      </c>
      <c r="N2091" s="1">
        <f t="shared" si="132"/>
        <v>-0.13516045979959215</v>
      </c>
      <c r="O2091" s="1"/>
    </row>
    <row r="2092" spans="1:15" x14ac:dyDescent="0.25">
      <c r="A2092">
        <v>3924</v>
      </c>
      <c r="B2092">
        <v>4212.201153</v>
      </c>
      <c r="C2092" s="1">
        <v>-2E-8</v>
      </c>
      <c r="D2092">
        <v>28934.888770000001</v>
      </c>
      <c r="E2092" s="1">
        <v>-3.8299999999999998E-6</v>
      </c>
      <c r="F2092">
        <v>144570.65410000001</v>
      </c>
      <c r="G2092" s="1">
        <v>4.1600000000000002E-5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-5.3676014261480002E-4</v>
      </c>
      <c r="M2092" s="1">
        <f t="shared" si="131"/>
        <v>-3.4474039498061625E-2</v>
      </c>
      <c r="N2092" s="1">
        <f t="shared" si="132"/>
        <v>0.17519851054947075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 s="1">
        <v>-1.1999999999999999E-7</v>
      </c>
      <c r="F2093">
        <v>59700.430339999999</v>
      </c>
      <c r="G2093" s="1">
        <v>4.0999999999999997E-6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-1.2389094422876759E-3</v>
      </c>
      <c r="N2093" s="1">
        <f t="shared" si="132"/>
        <v>1.9805501864094271E-2</v>
      </c>
      <c r="O2093" s="1"/>
    </row>
    <row r="2094" spans="1:15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-4.9100000000000001E-5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1.2854381598877E-2</v>
      </c>
      <c r="M2094" s="1">
        <f t="shared" si="131"/>
        <v>4.6021652519733246E-2</v>
      </c>
      <c r="N2094" s="1">
        <f t="shared" si="132"/>
        <v>-0.2476050535519069</v>
      </c>
      <c r="O2094" s="1"/>
    </row>
    <row r="2095" spans="1:15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3.7799999999999998E-6</v>
      </c>
      <c r="F2095">
        <v>256729.59640000001</v>
      </c>
      <c r="G2095" s="1">
        <v>-4.5399999999999999E-5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6.6935879115972751E-3</v>
      </c>
      <c r="M2095" s="1">
        <f t="shared" si="131"/>
        <v>2.0697126389015455E-2</v>
      </c>
      <c r="N2095" s="1">
        <f t="shared" si="132"/>
        <v>-0.11631019475056158</v>
      </c>
      <c r="O2095" s="1"/>
    </row>
    <row r="2096" spans="1:15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>
        <v>0</v>
      </c>
      <c r="F2096">
        <v>129244.8848</v>
      </c>
      <c r="G2096" s="1">
        <v>3.29E-5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-7.2295255351474998E-3</v>
      </c>
      <c r="M2096" s="1">
        <f t="shared" si="131"/>
        <v>0</v>
      </c>
      <c r="N2096" s="1">
        <f t="shared" si="132"/>
        <v>7.4648743971839931E-2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 s="1">
        <v>-3.4800000000000001E-6</v>
      </c>
      <c r="F2097">
        <v>104118.9243</v>
      </c>
      <c r="G2097" s="1">
        <v>-2.37E-5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-1.941319897940183E-2</v>
      </c>
      <c r="N2097" s="1">
        <f t="shared" si="132"/>
        <v>-6.1859995798805738E-2</v>
      </c>
      <c r="O2097" s="1"/>
    </row>
    <row r="2098" spans="1:15" x14ac:dyDescent="0.25">
      <c r="A2098">
        <v>3930</v>
      </c>
      <c r="B2098">
        <v>3412.9354899999998</v>
      </c>
      <c r="C2098" s="1">
        <v>-9.9999999999999995E-8</v>
      </c>
      <c r="D2098">
        <v>39676.867729999998</v>
      </c>
      <c r="E2098" s="1">
        <v>-4.25E-6</v>
      </c>
      <c r="F2098">
        <v>147578.92050000001</v>
      </c>
      <c r="G2098" s="1">
        <v>-3.3000000000000003E-5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-3.07091866163875E-3</v>
      </c>
      <c r="M2098" s="1">
        <f t="shared" si="131"/>
        <v>-4.377240215397387E-2</v>
      </c>
      <c r="N2098" s="1">
        <f t="shared" si="132"/>
        <v>-0.15902634177040051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-7.3581006224166011E-4</v>
      </c>
      <c r="N2099" s="1">
        <f t="shared" si="132"/>
        <v>8.2626744604017595E-3</v>
      </c>
      <c r="O2099" s="1"/>
    </row>
    <row r="2100" spans="1:15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-4.9300000000000002E-6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1.1664085686685251E-2</v>
      </c>
      <c r="M2100" s="1">
        <f t="shared" si="131"/>
        <v>-5.8679323377631952E-3</v>
      </c>
      <c r="N2100" s="1">
        <f t="shared" si="132"/>
        <v>-2.9108695426335214E-2</v>
      </c>
      <c r="O2100" s="1"/>
    </row>
    <row r="2101" spans="1:15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-1.5600000000000001E-6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1.1255737499982627E-2</v>
      </c>
      <c r="M2101" s="1">
        <f t="shared" si="131"/>
        <v>2.1686177062159653E-3</v>
      </c>
      <c r="N2101" s="1">
        <f t="shared" si="132"/>
        <v>-1.1725125702109561E-2</v>
      </c>
      <c r="O2101" s="1"/>
    </row>
    <row r="2102" spans="1:15" x14ac:dyDescent="0.25">
      <c r="A2102">
        <v>3935</v>
      </c>
      <c r="B2102">
        <v>2824.6858090000001</v>
      </c>
      <c r="C2102" s="1">
        <v>3.5000000000000002E-8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2.8988150774764999E-3</v>
      </c>
      <c r="M2102" s="1">
        <f t="shared" si="131"/>
        <v>3.7499836364893796E-3</v>
      </c>
      <c r="N2102" s="1">
        <f t="shared" si="132"/>
        <v>3.9640499806722594E-3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-4.5594021885493998E-4</v>
      </c>
      <c r="N2103" s="1">
        <f t="shared" si="132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-1.4499999999999999E-7</v>
      </c>
      <c r="F2104">
        <v>58105.710010000003</v>
      </c>
      <c r="G2104" s="1">
        <v>2.3499999999999999E-6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1.8718541990089502E-2</v>
      </c>
      <c r="M2104" s="1">
        <f t="shared" si="131"/>
        <v>-2.0926370019689797E-3</v>
      </c>
      <c r="N2104" s="1">
        <f t="shared" si="132"/>
        <v>1.5868557082314601E-2</v>
      </c>
      <c r="O2104" s="1"/>
    </row>
    <row r="2105" spans="1:15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2.7500000000000001E-7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2.5010908044232499E-3</v>
      </c>
      <c r="M2105" s="1">
        <f t="shared" si="131"/>
        <v>-1.0485342218543626E-2</v>
      </c>
      <c r="N2105" s="1">
        <f t="shared" si="132"/>
        <v>3.5977229263626752E-3</v>
      </c>
      <c r="O2105" s="1"/>
    </row>
    <row r="2106" spans="1:15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9.1999999999999998E-7</v>
      </c>
      <c r="F2106">
        <v>84560.794250000006</v>
      </c>
      <c r="G2106">
        <v>0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8.4953499397520012E-3</v>
      </c>
      <c r="M2106" s="1">
        <f t="shared" si="131"/>
        <v>1.6382955614583281E-2</v>
      </c>
      <c r="N2106" s="1">
        <f t="shared" si="132"/>
        <v>0</v>
      </c>
      <c r="O2106" s="1"/>
    </row>
    <row r="2107" spans="1:15" x14ac:dyDescent="0.25">
      <c r="A2107">
        <v>3940</v>
      </c>
      <c r="B2107">
        <v>3474.948605</v>
      </c>
      <c r="C2107">
        <v>0</v>
      </c>
      <c r="D2107">
        <v>9218.2043859999994</v>
      </c>
      <c r="E2107" s="1">
        <v>-2.4499999999999998E-7</v>
      </c>
      <c r="F2107">
        <v>52864.705390000003</v>
      </c>
      <c r="G2107" s="1">
        <v>2.0899999999999999E-6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0</v>
      </c>
      <c r="M2107" s="1">
        <f t="shared" si="131"/>
        <v>-2.9111855318251644E-3</v>
      </c>
      <c r="N2107" s="1">
        <f t="shared" si="132"/>
        <v>1.1619669194429669E-2</v>
      </c>
      <c r="O2107" s="1"/>
    </row>
    <row r="2108" spans="1:15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3.65E-7</v>
      </c>
      <c r="F2108">
        <v>30725.83884</v>
      </c>
      <c r="G2108" s="1">
        <v>-4.34E-6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-7.0376002609574984E-3</v>
      </c>
      <c r="M2108" s="1">
        <f t="shared" si="131"/>
        <v>5.9414520187202995E-3</v>
      </c>
      <c r="N2108" s="1">
        <f t="shared" si="132"/>
        <v>-3.3054693724357202E-2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 s="1">
        <v>2.9999999999999997E-8</v>
      </c>
      <c r="F2109">
        <v>1768.6283450000001</v>
      </c>
      <c r="G2109" s="1">
        <v>3.5000000000000002E-8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1.0343910838958399E-3</v>
      </c>
      <c r="N2109" s="1">
        <f t="shared" si="132"/>
        <v>5.6464467423672005E-4</v>
      </c>
      <c r="O2109" s="1"/>
    </row>
    <row r="2110" spans="1:15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2.48E-7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-1.12295958739965E-3</v>
      </c>
      <c r="M2110" s="1">
        <f t="shared" si="131"/>
        <v>7.241440237235758E-3</v>
      </c>
      <c r="N2110" s="1">
        <f t="shared" si="132"/>
        <v>1.986460540060248E-3</v>
      </c>
      <c r="O2110" s="1"/>
    </row>
    <row r="2111" spans="1:15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3.6300000000000001E-7</v>
      </c>
      <c r="F2111">
        <v>79683.345409999994</v>
      </c>
      <c r="G2111" s="1">
        <v>3.5700000000000001E-6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-1.0139026821083714E-2</v>
      </c>
      <c r="M2111" s="1">
        <f t="shared" si="131"/>
        <v>3.684692300618317E-3</v>
      </c>
      <c r="N2111" s="1">
        <f t="shared" si="132"/>
        <v>1.6955339731937649E-2</v>
      </c>
      <c r="O2111" s="1"/>
    </row>
    <row r="2112" spans="1:15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>
        <v>0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1.1355845189519999E-3</v>
      </c>
      <c r="M2112" s="1">
        <f t="shared" si="131"/>
        <v>3.8720520341086395E-3</v>
      </c>
      <c r="N2112" s="1">
        <f t="shared" si="132"/>
        <v>0</v>
      </c>
      <c r="O2112" s="1"/>
    </row>
    <row r="2113" spans="1:15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1.61E-6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1.5936535529720002E-2</v>
      </c>
      <c r="M2113" s="1">
        <f t="shared" si="131"/>
        <v>6.4305453221605753E-3</v>
      </c>
      <c r="N2113" s="1">
        <f t="shared" si="132"/>
        <v>1.2582201272551052E-2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1.1368687803885E-4</v>
      </c>
      <c r="O2114" s="1"/>
    </row>
    <row r="2115" spans="1:15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2.7999999999999999E-6</v>
      </c>
      <c r="F2115">
        <v>201792.12049999999</v>
      </c>
      <c r="G2115" s="1">
        <v>-4.0399999999999999E-5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-9.0484574016434331E-3</v>
      </c>
      <c r="M2115" s="1">
        <f t="shared" ref="M2115:M2178" si="135">$U$3*$K2115*E2115</f>
        <v>2.3801673768425562E-2</v>
      </c>
      <c r="N2115" s="1">
        <f t="shared" ref="N2115:N2178" si="136">$U$4*$K2115*G2115</f>
        <v>-0.16068469407753613</v>
      </c>
      <c r="O2115" s="1"/>
    </row>
    <row r="2116" spans="1:15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1.1300000000000001E-7</v>
      </c>
      <c r="F2116">
        <v>82052.020860000004</v>
      </c>
      <c r="G2116">
        <v>0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-3.0697665668641401E-3</v>
      </c>
      <c r="M2116" s="1">
        <f t="shared" si="135"/>
        <v>9.5360188660947322E-4</v>
      </c>
      <c r="N2116" s="1">
        <f t="shared" si="136"/>
        <v>0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-6.4046997027646004E-4</v>
      </c>
      <c r="N2117" s="1">
        <f t="shared" si="136"/>
        <v>-1.79801661380364E-3</v>
      </c>
      <c r="O2117" s="1"/>
    </row>
    <row r="2118" spans="1:15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3.5499999999999999E-7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-2.2362049341710004E-3</v>
      </c>
      <c r="M2118" s="1">
        <f t="shared" si="135"/>
        <v>4.4061837991377049E-3</v>
      </c>
      <c r="N2118" s="1">
        <f t="shared" si="136"/>
        <v>3.114345410243535E-3</v>
      </c>
      <c r="O2118" s="1"/>
    </row>
    <row r="2119" spans="1:15" x14ac:dyDescent="0.25">
      <c r="A2119">
        <v>3952</v>
      </c>
      <c r="B2119">
        <v>1550.737224</v>
      </c>
      <c r="C2119">
        <v>0</v>
      </c>
      <c r="D2119">
        <v>20491.808000000001</v>
      </c>
      <c r="E2119" s="1">
        <v>1.2699999999999999E-6</v>
      </c>
      <c r="F2119">
        <v>118583.8839</v>
      </c>
      <c r="G2119" s="1">
        <v>2.2900000000000001E-5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0</v>
      </c>
      <c r="M2119" s="1">
        <f t="shared" si="135"/>
        <v>8.9398988432360226E-3</v>
      </c>
      <c r="N2119" s="1">
        <f t="shared" si="136"/>
        <v>7.5423736610672198E-2</v>
      </c>
      <c r="O2119" s="1"/>
    </row>
    <row r="2120" spans="1:15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-2.3E-6</v>
      </c>
      <c r="F2120">
        <v>96245.828030000004</v>
      </c>
      <c r="G2120" s="1">
        <v>-3.0199999999999998E-7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-1.1546653331148E-2</v>
      </c>
      <c r="M2120" s="1">
        <f t="shared" si="135"/>
        <v>-3.7112128078446202E-2</v>
      </c>
      <c r="N2120" s="1">
        <f t="shared" si="136"/>
        <v>-2.280019930850532E-3</v>
      </c>
      <c r="O2120" s="1"/>
    </row>
    <row r="2121" spans="1:15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-8.7563909079269996E-4</v>
      </c>
      <c r="M2121" s="1">
        <f t="shared" si="135"/>
        <v>0</v>
      </c>
      <c r="N2121" s="1">
        <f t="shared" si="136"/>
        <v>2.038218375952854E-3</v>
      </c>
      <c r="O2121" s="1"/>
    </row>
    <row r="2122" spans="1:15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-4.4100000000000001E-6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1.14764734865625E-3</v>
      </c>
      <c r="M2122" s="1">
        <f t="shared" si="135"/>
        <v>-3.72073155805375E-3</v>
      </c>
      <c r="N2122" s="1">
        <f t="shared" si="136"/>
        <v>-2.6473575916541255E-2</v>
      </c>
      <c r="O2122" s="1"/>
    </row>
    <row r="2123" spans="1:15" x14ac:dyDescent="0.25">
      <c r="A2123">
        <v>3956</v>
      </c>
      <c r="B2123">
        <v>1363.0520979999999</v>
      </c>
      <c r="C2123" s="1">
        <v>-2E-8</v>
      </c>
      <c r="D2123">
        <v>2100.7613670000001</v>
      </c>
      <c r="E2123" s="1">
        <v>4.4000000000000002E-7</v>
      </c>
      <c r="F2123">
        <v>15822.67222</v>
      </c>
      <c r="G2123" s="1">
        <v>-2.43E-6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-2.7083643285855E-3</v>
      </c>
      <c r="M2123" s="1">
        <f t="shared" si="135"/>
        <v>1.9983562030609317E-2</v>
      </c>
      <c r="N2123" s="1">
        <f t="shared" si="136"/>
        <v>-5.1638090960246311E-2</v>
      </c>
      <c r="O2123" s="1"/>
    </row>
    <row r="2124" spans="1:15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-3.27E-6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8.0133440388950009E-4</v>
      </c>
      <c r="M2124" s="1">
        <f t="shared" si="135"/>
        <v>-6.18137030938762E-3</v>
      </c>
      <c r="N2124" s="1">
        <f t="shared" si="136"/>
        <v>-2.055977515948491E-2</v>
      </c>
      <c r="O2124" s="1"/>
    </row>
    <row r="2125" spans="1:15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-3.8999999999999999E-6</v>
      </c>
      <c r="F2125">
        <v>155045.432</v>
      </c>
      <c r="G2125" s="1">
        <v>-2.4899999999999999E-5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8.2259421362819996E-3</v>
      </c>
      <c r="M2125" s="1">
        <f t="shared" si="135"/>
        <v>-5.9775179523649198E-2</v>
      </c>
      <c r="N2125" s="1">
        <f t="shared" si="136"/>
        <v>-0.17856622083529078</v>
      </c>
      <c r="O2125" s="1"/>
    </row>
    <row r="2126" spans="1:15" x14ac:dyDescent="0.25">
      <c r="A2126">
        <v>3959</v>
      </c>
      <c r="B2126">
        <v>651.69277009999996</v>
      </c>
      <c r="C2126" s="1">
        <v>-4.9999999999999998E-8</v>
      </c>
      <c r="D2126">
        <v>5860.2436719999996</v>
      </c>
      <c r="E2126" s="1">
        <v>-2.4699999999999998E-7</v>
      </c>
      <c r="F2126">
        <v>75548.823239999998</v>
      </c>
      <c r="G2126" s="1">
        <v>3.72E-6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-1.8417169748900003E-3</v>
      </c>
      <c r="M2126" s="1">
        <f t="shared" si="135"/>
        <v>-3.051356683997752E-3</v>
      </c>
      <c r="N2126" s="1">
        <f t="shared" si="136"/>
        <v>2.1502187352377283E-2</v>
      </c>
      <c r="O2126" s="1"/>
    </row>
    <row r="2127" spans="1:15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-7.5199999999999996E-7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-4.4264812045025006E-4</v>
      </c>
      <c r="M2127" s="1">
        <f t="shared" si="135"/>
        <v>2.52377528367481E-3</v>
      </c>
      <c r="N2127" s="1">
        <f t="shared" si="136"/>
        <v>-2.6117601100781522E-3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 s="1">
        <v>-4.9999999999999998E-8</v>
      </c>
      <c r="F2128">
        <v>6242.1517670000003</v>
      </c>
      <c r="G2128" s="1">
        <v>1.8E-7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-1.1035199767669001E-3</v>
      </c>
      <c r="N2128" s="1">
        <f t="shared" si="136"/>
        <v>1.8587730984807602E-3</v>
      </c>
      <c r="O2128" s="1"/>
    </row>
    <row r="2129" spans="1:15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-1E-8</v>
      </c>
      <c r="F2129">
        <v>74335.334359999993</v>
      </c>
      <c r="G2129" s="1">
        <v>-2.79E-6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-1.2041429681905001E-3</v>
      </c>
      <c r="M2129" s="1">
        <f t="shared" si="135"/>
        <v>-2.0192551312732998E-4</v>
      </c>
      <c r="N2129" s="1">
        <f t="shared" si="136"/>
        <v>-2.635961583751173E-2</v>
      </c>
      <c r="O2129" s="1"/>
    </row>
    <row r="2130" spans="1:15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-4.6499999999999999E-5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-9.3277450161967487E-4</v>
      </c>
      <c r="M2130" s="1">
        <f t="shared" si="135"/>
        <v>-3.7644865501777015E-2</v>
      </c>
      <c r="N2130" s="1">
        <f t="shared" si="136"/>
        <v>-0.22687945954780095</v>
      </c>
      <c r="O2130" s="1"/>
    </row>
    <row r="2131" spans="1:15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1.99E-6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2.2980193983142502E-3</v>
      </c>
      <c r="M2131" s="1">
        <f t="shared" si="135"/>
        <v>-1.5414407041000201E-3</v>
      </c>
      <c r="N2131" s="1">
        <f t="shared" si="136"/>
        <v>2.3920614229221874E-2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6.1214761186264809E-3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4.1961175943913004E-4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-2.1901612378998861E-2</v>
      </c>
      <c r="N2135" s="1">
        <f t="shared" si="136"/>
        <v>-0.10522477498086477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2.8483594350407998E-4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1.0782101444850239E-2</v>
      </c>
      <c r="N2137" s="1">
        <f t="shared" si="136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 s="1">
        <v>-1.5699999999999999E-7</v>
      </c>
      <c r="F2138">
        <v>52977.594340000003</v>
      </c>
      <c r="G2138">
        <v>0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-1.2236323078789533E-3</v>
      </c>
      <c r="N2138" s="1">
        <f t="shared" si="136"/>
        <v>0</v>
      </c>
      <c r="O2138" s="1"/>
    </row>
    <row r="2139" spans="1:15" x14ac:dyDescent="0.25">
      <c r="A2139">
        <v>3972</v>
      </c>
      <c r="B2139">
        <v>1805.2592910000001</v>
      </c>
      <c r="C2139">
        <v>0</v>
      </c>
      <c r="D2139">
        <v>38759.070879999999</v>
      </c>
      <c r="E2139" s="1">
        <v>-1.9599999999999999E-6</v>
      </c>
      <c r="F2139">
        <v>132692.69630000001</v>
      </c>
      <c r="G2139" s="1">
        <v>3.4199999999999998E-5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0</v>
      </c>
      <c r="M2139" s="1">
        <f t="shared" si="135"/>
        <v>-1.4528946992143358E-2</v>
      </c>
      <c r="N2139" s="1">
        <f t="shared" si="136"/>
        <v>0.11861725025134079</v>
      </c>
      <c r="O2139" s="1"/>
    </row>
    <row r="2140" spans="1:15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2.1299999999999999E-7</v>
      </c>
      <c r="F2140">
        <v>142251.177</v>
      </c>
      <c r="G2140" s="1">
        <v>-1.2999999999999999E-5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4.4592306528250655E-3</v>
      </c>
      <c r="M2140" s="1">
        <f t="shared" si="135"/>
        <v>7.1908288290772372E-4</v>
      </c>
      <c r="N2140" s="1">
        <f t="shared" si="136"/>
        <v>-2.05346061665082E-2</v>
      </c>
      <c r="O2140" s="1"/>
    </row>
    <row r="2141" spans="1:15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>
        <v>0</v>
      </c>
      <c r="F2141">
        <v>42440.181470000003</v>
      </c>
      <c r="G2141" s="1">
        <v>4.5399999999999997E-6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4.3269080312510007E-4</v>
      </c>
      <c r="M2141" s="1">
        <f t="shared" si="135"/>
        <v>0</v>
      </c>
      <c r="N2141" s="1">
        <f t="shared" si="136"/>
        <v>1.5413112085474717E-2</v>
      </c>
      <c r="O2141" s="1"/>
    </row>
    <row r="2142" spans="1:15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1.2759806955038E-2</v>
      </c>
      <c r="M2142" s="1">
        <f t="shared" si="135"/>
        <v>-3.1931228150441839E-2</v>
      </c>
      <c r="N2142" s="1">
        <f t="shared" si="136"/>
        <v>9.7034934311330413E-3</v>
      </c>
      <c r="O2142" s="1"/>
    </row>
    <row r="2143" spans="1:15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6.6000000000000003E-7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-1.1726858189761E-2</v>
      </c>
      <c r="M2143" s="1">
        <f t="shared" si="135"/>
        <v>-2.128451292794992E-2</v>
      </c>
      <c r="N2143" s="1">
        <f t="shared" si="136"/>
        <v>3.5721814178041205E-3</v>
      </c>
      <c r="O2143" s="1"/>
    </row>
    <row r="2144" spans="1:15" x14ac:dyDescent="0.25">
      <c r="A2144">
        <v>4002</v>
      </c>
      <c r="B2144">
        <v>4419.7432209999997</v>
      </c>
      <c r="C2144" s="1">
        <v>-4.0000000000000001E-8</v>
      </c>
      <c r="D2144">
        <v>17134.485929999999</v>
      </c>
      <c r="E2144" s="1">
        <v>-2.9399999999999998E-6</v>
      </c>
      <c r="F2144">
        <v>53416.424249999996</v>
      </c>
      <c r="G2144" s="1">
        <v>7.6000000000000003E-7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-8.7198451529540012E-4</v>
      </c>
      <c r="M2144" s="1">
        <f t="shared" si="135"/>
        <v>-2.1495089059351068E-2</v>
      </c>
      <c r="N2144" s="1">
        <f t="shared" si="136"/>
        <v>2.599855370219208E-3</v>
      </c>
      <c r="O2144" s="1"/>
    </row>
    <row r="2145" spans="1:15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4.3699999999999997E-6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-8.7171180868979986E-3</v>
      </c>
      <c r="M2145" s="1">
        <f t="shared" si="135"/>
        <v>-3.0600213706889326E-2</v>
      </c>
      <c r="N2145" s="1">
        <f t="shared" si="136"/>
        <v>1.9925990851558537E-2</v>
      </c>
      <c r="O2145" s="1"/>
    </row>
    <row r="2146" spans="1:15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4.5999999999999999E-7</v>
      </c>
      <c r="F2146">
        <v>52397.607389999997</v>
      </c>
      <c r="G2146" s="1">
        <v>1.86E-6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-1.3440630460471501E-2</v>
      </c>
      <c r="M2146" s="1">
        <f t="shared" si="135"/>
        <v>4.7126797992170701E-3</v>
      </c>
      <c r="N2146" s="1">
        <f t="shared" si="136"/>
        <v>8.9159315068554311E-3</v>
      </c>
      <c r="O2146" s="1"/>
    </row>
    <row r="2147" spans="1:15" x14ac:dyDescent="0.25">
      <c r="A2147">
        <v>4005</v>
      </c>
      <c r="B2147">
        <v>5888.0947809999998</v>
      </c>
      <c r="C2147">
        <v>0</v>
      </c>
      <c r="D2147">
        <v>14341.67396</v>
      </c>
      <c r="E2147">
        <v>0</v>
      </c>
      <c r="F2147">
        <v>75051.411389999994</v>
      </c>
      <c r="G2147" s="1">
        <v>3.5599999999999998E-6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0</v>
      </c>
      <c r="M2147" s="1">
        <f t="shared" si="135"/>
        <v>0</v>
      </c>
      <c r="N2147" s="1">
        <f t="shared" si="136"/>
        <v>1.828723558519656E-2</v>
      </c>
      <c r="O2147" s="1"/>
    </row>
    <row r="2148" spans="1:15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-2.0999999999999998E-6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-1.0192574632435E-2</v>
      </c>
      <c r="M2148" s="1">
        <f t="shared" si="135"/>
        <v>-6.5633908279261438E-2</v>
      </c>
      <c r="N2148" s="1">
        <f t="shared" si="136"/>
        <v>-1.67942268174429E-2</v>
      </c>
      <c r="O2148" s="1"/>
    </row>
    <row r="2149" spans="1:15" x14ac:dyDescent="0.25">
      <c r="A2149">
        <v>4009</v>
      </c>
      <c r="B2149">
        <v>4018.7303590000001</v>
      </c>
      <c r="C2149">
        <v>0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0</v>
      </c>
      <c r="M2149" s="1">
        <f t="shared" si="135"/>
        <v>1.9097606480462315E-2</v>
      </c>
      <c r="N2149" s="1">
        <f t="shared" si="136"/>
        <v>1.6672479678568747E-2</v>
      </c>
      <c r="O2149" s="1"/>
    </row>
    <row r="2150" spans="1:15" x14ac:dyDescent="0.25">
      <c r="A2150">
        <v>4010</v>
      </c>
      <c r="B2150">
        <v>4018.7303590000001</v>
      </c>
      <c r="C2150">
        <v>0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0</v>
      </c>
      <c r="M2150" s="1">
        <f t="shared" si="135"/>
        <v>3.7962369687371982E-2</v>
      </c>
      <c r="N2150" s="1">
        <f t="shared" si="136"/>
        <v>5.5918067480379722E-3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 s="1">
        <v>-4.2400000000000001E-6</v>
      </c>
      <c r="F2151">
        <v>39646.805220000002</v>
      </c>
      <c r="G2151" s="1">
        <v>4.3000000000000001E-7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-5.7489296593222237E-2</v>
      </c>
      <c r="N2151" s="1">
        <f t="shared" si="136"/>
        <v>2.7279303148030204E-3</v>
      </c>
      <c r="O2151" s="1"/>
    </row>
    <row r="2152" spans="1:15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-1.4504550640742499E-2</v>
      </c>
      <c r="M2152" s="1">
        <f t="shared" si="135"/>
        <v>-2.821469820023818E-2</v>
      </c>
      <c r="N2152" s="1">
        <f t="shared" si="136"/>
        <v>2.1987113595902157E-2</v>
      </c>
      <c r="O2152" s="1"/>
    </row>
    <row r="2153" spans="1:15" x14ac:dyDescent="0.25">
      <c r="A2153">
        <v>4015</v>
      </c>
      <c r="B2153">
        <v>1432.9631099999999</v>
      </c>
      <c r="C2153">
        <v>0</v>
      </c>
      <c r="D2153">
        <v>10821.65403</v>
      </c>
      <c r="E2153" s="1">
        <v>-2.6400000000000001E-6</v>
      </c>
      <c r="F2153">
        <v>47212.271760000003</v>
      </c>
      <c r="G2153" s="1">
        <v>4.4599999999999996E-6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0</v>
      </c>
      <c r="M2153" s="1">
        <f t="shared" si="135"/>
        <v>-3.5057628207594962E-2</v>
      </c>
      <c r="N2153" s="1">
        <f t="shared" si="136"/>
        <v>2.7711315374268661E-2</v>
      </c>
      <c r="O2153" s="1"/>
    </row>
    <row r="2154" spans="1:15" x14ac:dyDescent="0.25">
      <c r="A2154">
        <v>4016</v>
      </c>
      <c r="B2154">
        <v>1788.7954649999999</v>
      </c>
      <c r="C2154">
        <v>0</v>
      </c>
      <c r="D2154">
        <v>14649.63089</v>
      </c>
      <c r="E2154">
        <v>0</v>
      </c>
      <c r="F2154">
        <v>47912.633150000001</v>
      </c>
      <c r="G2154" s="1">
        <v>3.6600000000000001E-6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0</v>
      </c>
      <c r="M2154" s="1">
        <f t="shared" si="135"/>
        <v>0</v>
      </c>
      <c r="N2154" s="1">
        <f t="shared" si="136"/>
        <v>1.5618872638554644E-2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3.3000773464588858E-2</v>
      </c>
      <c r="N2155" s="1">
        <f t="shared" si="136"/>
        <v>1.9136648012868896E-2</v>
      </c>
      <c r="O2155" s="1"/>
    </row>
    <row r="2156" spans="1:15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8.6000000000000002E-7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5.6976356759926494E-3</v>
      </c>
      <c r="M2156" s="1">
        <f t="shared" si="135"/>
        <v>1.1880809000895977E-2</v>
      </c>
      <c r="N2156" s="1">
        <f t="shared" si="136"/>
        <v>1.671560540127342E-3</v>
      </c>
      <c r="O2156" s="1"/>
    </row>
    <row r="2157" spans="1:15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1.6901782373840001E-2</v>
      </c>
      <c r="M2157" s="1">
        <f t="shared" si="135"/>
        <v>-3.8829894798238881E-2</v>
      </c>
      <c r="N2157" s="1">
        <f t="shared" si="136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-1.6999999999999999E-7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-5.73015659983E-3</v>
      </c>
      <c r="M2158" s="1">
        <f t="shared" si="135"/>
        <v>-2.8250553599715716E-2</v>
      </c>
      <c r="N2158" s="1">
        <f t="shared" si="136"/>
        <v>-7.6431473416194E-4</v>
      </c>
      <c r="O2158" s="1"/>
    </row>
    <row r="2159" spans="1:15" x14ac:dyDescent="0.25">
      <c r="A2159">
        <v>4021</v>
      </c>
      <c r="B2159">
        <v>3524.9282929999999</v>
      </c>
      <c r="C2159">
        <v>0</v>
      </c>
      <c r="D2159">
        <v>16047.30141</v>
      </c>
      <c r="E2159" s="1">
        <v>4.1999999999999996E-6</v>
      </c>
      <c r="F2159">
        <v>62970.393519999998</v>
      </c>
      <c r="G2159" s="1">
        <v>-4.4000000000000002E-7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0</v>
      </c>
      <c r="M2159" s="1">
        <f t="shared" si="135"/>
        <v>3.5293972836005931E-2</v>
      </c>
      <c r="N2159" s="1">
        <f t="shared" si="136"/>
        <v>-1.7300060079510121E-3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 s="1">
        <v>-8.9999999999999999E-8</v>
      </c>
      <c r="F2160">
        <v>23334.744790000001</v>
      </c>
      <c r="G2160" s="1">
        <v>7.5000000000000002E-7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-1.2435428343846599E-3</v>
      </c>
      <c r="N2160" s="1">
        <f t="shared" si="136"/>
        <v>4.8486761891144998E-3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3.7298477837956998E-4</v>
      </c>
      <c r="N2161" s="1">
        <f t="shared" si="136"/>
        <v>-1.57064232363507E-3</v>
      </c>
      <c r="O2161" s="1"/>
    </row>
    <row r="2162" spans="1:15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4.5999999999999999E-7</v>
      </c>
      <c r="F2162">
        <v>31285.08483</v>
      </c>
      <c r="G2162" s="1">
        <v>-3.8399999999999997E-6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-1.5945326883070002E-2</v>
      </c>
      <c r="M2162" s="1">
        <f t="shared" si="135"/>
        <v>6.1499899224394597E-3</v>
      </c>
      <c r="N2162" s="1">
        <f t="shared" si="136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-0.11265533653286934</v>
      </c>
      <c r="N2163" s="1">
        <f t="shared" si="136"/>
        <v>3.866125851193284E-2</v>
      </c>
      <c r="O2163" s="1"/>
    </row>
    <row r="2164" spans="1:15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-4.9100000000000004E-6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1.053411799401E-2</v>
      </c>
      <c r="M2164" s="1">
        <f t="shared" si="135"/>
        <v>-3.6036407340739436E-2</v>
      </c>
      <c r="N2164" s="1">
        <f t="shared" si="136"/>
        <v>-4.0582284413539144E-2</v>
      </c>
      <c r="O2164" s="1"/>
    </row>
    <row r="2165" spans="1:15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1.5976173573359998E-2</v>
      </c>
      <c r="M2165" s="1">
        <f t="shared" si="135"/>
        <v>-1.5002855921813761E-2</v>
      </c>
      <c r="N2165" s="1">
        <f t="shared" si="136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6.7999999999999995E-7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-1.83235549953625E-2</v>
      </c>
      <c r="M2166" s="1">
        <f t="shared" si="135"/>
        <v>4.0068258658782219E-2</v>
      </c>
      <c r="N2166" s="1">
        <f t="shared" si="136"/>
        <v>3.9105285368564403E-3</v>
      </c>
      <c r="O2166" s="1"/>
    </row>
    <row r="2167" spans="1:15" x14ac:dyDescent="0.25">
      <c r="A2167">
        <v>4033</v>
      </c>
      <c r="B2167">
        <v>1998.2119319999999</v>
      </c>
      <c r="C2167">
        <v>0</v>
      </c>
      <c r="D2167">
        <v>9553.7123049999991</v>
      </c>
      <c r="E2167" s="1">
        <v>3.5999999999999999E-7</v>
      </c>
      <c r="F2167">
        <v>48491.004950000002</v>
      </c>
      <c r="G2167" s="1">
        <v>-1.7400000000000001E-6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0</v>
      </c>
      <c r="M2167" s="1">
        <f t="shared" si="135"/>
        <v>6.67820136788712E-3</v>
      </c>
      <c r="N2167" s="1">
        <f t="shared" si="136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 s="1">
        <v>9.9999999999999995E-8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2.1511775041672498E-3</v>
      </c>
      <c r="M2168" s="1">
        <f t="shared" si="135"/>
        <v>1.7026735420676412E-2</v>
      </c>
      <c r="N2168" s="1">
        <f t="shared" si="136"/>
        <v>5.8399504982361988E-3</v>
      </c>
      <c r="O2168" s="1"/>
    </row>
    <row r="2169" spans="1:15" x14ac:dyDescent="0.25">
      <c r="A2169">
        <v>4035</v>
      </c>
      <c r="B2169">
        <v>6821.3271379999996</v>
      </c>
      <c r="C2169" s="1">
        <v>1.9999999999999999E-7</v>
      </c>
      <c r="D2169">
        <v>40643.588349999998</v>
      </c>
      <c r="E2169" s="1">
        <v>-1.4000000000000001E-7</v>
      </c>
      <c r="F2169">
        <v>181367.79749999999</v>
      </c>
      <c r="G2169" s="1">
        <v>-3.26E-5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3.8518774170890006E-3</v>
      </c>
      <c r="M2169" s="1">
        <f t="shared" si="135"/>
        <v>-9.0430229822735617E-4</v>
      </c>
      <c r="N2169" s="1">
        <f t="shared" si="136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 s="1">
        <v>3.9999999999999998E-7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7.7477776129390007E-3</v>
      </c>
      <c r="M2170" s="1">
        <f t="shared" si="135"/>
        <v>1.5980685301026643E-2</v>
      </c>
      <c r="N2170" s="1">
        <f t="shared" si="136"/>
        <v>-1.3890573294213024E-2</v>
      </c>
      <c r="O2170" s="1"/>
    </row>
    <row r="2171" spans="1:15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-7.0000000000000005E-8</v>
      </c>
      <c r="F2171">
        <v>258184.7438</v>
      </c>
      <c r="G2171" s="1">
        <v>7.7100000000000007E-6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-3.1328409271756993E-2</v>
      </c>
      <c r="M2171" s="1">
        <f t="shared" si="135"/>
        <v>-4.3264391446788398E-4</v>
      </c>
      <c r="N2171" s="1">
        <f t="shared" si="136"/>
        <v>2.229618789094583E-2</v>
      </c>
      <c r="O2171" s="1"/>
    </row>
    <row r="2172" spans="1:15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-1.4000000000000001E-7</v>
      </c>
      <c r="F2172">
        <v>176683.0626</v>
      </c>
      <c r="G2172">
        <v>0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-4.5671084019794994E-3</v>
      </c>
      <c r="M2172" s="1">
        <f t="shared" si="135"/>
        <v>-7.1481101758161193E-4</v>
      </c>
      <c r="N2172" s="1">
        <f t="shared" si="136"/>
        <v>0</v>
      </c>
      <c r="O2172" s="1"/>
    </row>
    <row r="2173" spans="1:15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0.11219669166130751</v>
      </c>
      <c r="M2173" s="1">
        <f t="shared" si="135"/>
        <v>6.7241466083410223E-2</v>
      </c>
      <c r="N2173" s="1">
        <f t="shared" si="136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-3.6200000000000001E-6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0.19352790813729751</v>
      </c>
      <c r="M2174" s="1">
        <f t="shared" si="135"/>
        <v>-3.1503293473967131E-2</v>
      </c>
      <c r="N2174" s="1">
        <f t="shared" si="136"/>
        <v>-2.6813600300418662E-2</v>
      </c>
      <c r="O2174" s="1"/>
    </row>
    <row r="2175" spans="1:15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2.5685648210299998E-2</v>
      </c>
      <c r="M2175" s="1">
        <f t="shared" si="135"/>
        <v>-9.9713662171477688E-2</v>
      </c>
      <c r="N2175" s="1">
        <f t="shared" si="136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6.1999999999999999E-7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0.26221039486771675</v>
      </c>
      <c r="M2176" s="1">
        <f t="shared" si="135"/>
        <v>-3.2438913669152268E-2</v>
      </c>
      <c r="N2176" s="1">
        <f t="shared" si="136"/>
        <v>5.4394572318958211E-3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>
        <v>0</v>
      </c>
      <c r="F2177">
        <v>44217.120190000001</v>
      </c>
      <c r="G2177" s="1">
        <v>2.1900000000000002E-6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0</v>
      </c>
      <c r="N2177" s="1">
        <f t="shared" si="136"/>
        <v>0.12556538607199863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0.13973124549756449</v>
      </c>
      <c r="O2178" s="1"/>
    </row>
    <row r="2179" spans="1:15" x14ac:dyDescent="0.25">
      <c r="A2179">
        <v>4047</v>
      </c>
      <c r="B2179" s="1">
        <v>1.39E-6</v>
      </c>
      <c r="C2179">
        <v>0</v>
      </c>
      <c r="D2179">
        <v>10885.928739999999</v>
      </c>
      <c r="E2179">
        <v>0</v>
      </c>
      <c r="F2179">
        <v>10885.928819999999</v>
      </c>
      <c r="G2179">
        <v>0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0</v>
      </c>
      <c r="M2179" s="1">
        <f t="shared" ref="M2179:M2242" si="139">$U$3*$K2179*E2179</f>
        <v>0</v>
      </c>
      <c r="N2179" s="1">
        <f t="shared" ref="N2179:N2242" si="140">$U$4*$K2179*G2179</f>
        <v>0</v>
      </c>
      <c r="O2179" s="1"/>
    </row>
    <row r="2180" spans="1:15" x14ac:dyDescent="0.25">
      <c r="A2180">
        <v>4048</v>
      </c>
      <c r="B2180">
        <v>1497.644644</v>
      </c>
      <c r="C2180">
        <v>0</v>
      </c>
      <c r="D2180">
        <v>22461.737669999999</v>
      </c>
      <c r="E2180" s="1">
        <v>2.2500000000000001E-6</v>
      </c>
      <c r="F2180">
        <v>134901.70110000001</v>
      </c>
      <c r="G2180" s="1">
        <v>3.0899999999999999E-5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0</v>
      </c>
      <c r="M2180" s="1">
        <f t="shared" si="139"/>
        <v>1.6545305383802552E-2</v>
      </c>
      <c r="N2180" s="1">
        <f t="shared" si="140"/>
        <v>0.10631497147536978</v>
      </c>
      <c r="O2180" s="1"/>
    </row>
    <row r="2181" spans="1:15" x14ac:dyDescent="0.25">
      <c r="A2181">
        <v>4049</v>
      </c>
      <c r="B2181">
        <v>5306.5552209999996</v>
      </c>
      <c r="C2181" s="1">
        <v>-4.9999999999999998E-7</v>
      </c>
      <c r="D2181">
        <v>28197.606769999999</v>
      </c>
      <c r="E2181" s="1">
        <v>-7.4000000000000001E-7</v>
      </c>
      <c r="F2181">
        <v>156891.3419</v>
      </c>
      <c r="G2181" s="1">
        <v>-3.2199999999999997E-5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-1.4367382331526251E-2</v>
      </c>
      <c r="M2181" s="1">
        <f t="shared" si="139"/>
        <v>-7.1315265160671222E-3</v>
      </c>
      <c r="N2181" s="1">
        <f t="shared" si="140"/>
        <v>-0.14519455547589175</v>
      </c>
      <c r="O2181" s="1"/>
    </row>
    <row r="2182" spans="1:15" x14ac:dyDescent="0.25">
      <c r="A2182">
        <v>4050</v>
      </c>
      <c r="B2182">
        <v>3472.5662390000002</v>
      </c>
      <c r="C2182">
        <v>0</v>
      </c>
      <c r="D2182">
        <v>9110.7428060000002</v>
      </c>
      <c r="E2182" s="1">
        <v>-3.9999999999999998E-7</v>
      </c>
      <c r="F2182">
        <v>21154.542409999998</v>
      </c>
      <c r="G2182" s="1">
        <v>-4.8999999999999997E-6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0</v>
      </c>
      <c r="M2182" s="1">
        <f t="shared" si="139"/>
        <v>-4.05470834350884E-3</v>
      </c>
      <c r="N2182" s="1">
        <f t="shared" si="140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 s="1">
        <v>9.9999999999999995E-8</v>
      </c>
      <c r="D2183">
        <v>65432.556060000003</v>
      </c>
      <c r="E2183" s="1">
        <v>-1.4000000000000001E-7</v>
      </c>
      <c r="F2183">
        <v>234270.0987</v>
      </c>
      <c r="G2183" s="1">
        <v>3.8000000000000002E-5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3.6822785235925003E-3</v>
      </c>
      <c r="M2183" s="1">
        <f t="shared" si="139"/>
        <v>-1.7289713929237401E-3</v>
      </c>
      <c r="N2183" s="1">
        <f t="shared" si="140"/>
        <v>0.21957710088376206</v>
      </c>
      <c r="O2183" s="1"/>
    </row>
    <row r="2184" spans="1:15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4.8300000000000002E-5</v>
      </c>
      <c r="F2184">
        <v>282722.91649999999</v>
      </c>
      <c r="G2184" s="1">
        <v>-3.6600000000000002E-5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-8.1218314371089995E-3</v>
      </c>
      <c r="M2184" s="1">
        <f t="shared" si="139"/>
        <v>0.43855390735331035</v>
      </c>
      <c r="N2184" s="1">
        <f t="shared" si="140"/>
        <v>-0.15548933908212983</v>
      </c>
      <c r="O2184" s="1"/>
    </row>
    <row r="2185" spans="1:15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2.4999999999999999E-7</v>
      </c>
      <c r="F2185">
        <v>105501.9526</v>
      </c>
      <c r="G2185" s="1">
        <v>-2.3900000000000002E-5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-9.5936355453607493E-3</v>
      </c>
      <c r="M2185" s="1">
        <f t="shared" si="139"/>
        <v>2.6812981396008248E-3</v>
      </c>
      <c r="N2185" s="1">
        <f t="shared" si="140"/>
        <v>-0.11993520375630995</v>
      </c>
      <c r="O2185" s="1"/>
    </row>
    <row r="2186" spans="1:15" x14ac:dyDescent="0.25">
      <c r="A2186">
        <v>4054</v>
      </c>
      <c r="B2186">
        <v>3912.3889549999999</v>
      </c>
      <c r="C2186">
        <v>0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0</v>
      </c>
      <c r="M2186" s="1">
        <f t="shared" si="139"/>
        <v>5.9611197059914009E-2</v>
      </c>
      <c r="N2186" s="1">
        <f t="shared" si="140"/>
        <v>0.1420997381194512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7.3814578019210991E-3</v>
      </c>
      <c r="N2187" s="1">
        <f t="shared" si="140"/>
        <v>3.8221053058754763E-2</v>
      </c>
      <c r="O2187" s="1"/>
    </row>
    <row r="2188" spans="1:15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3.1099999999999999E-6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1.5713295099742501E-2</v>
      </c>
      <c r="M2188" s="1">
        <f t="shared" si="139"/>
        <v>6.4118302107000549E-2</v>
      </c>
      <c r="N2188" s="1">
        <f t="shared" si="140"/>
        <v>2.5561904982258032E-2</v>
      </c>
      <c r="O2188" s="1"/>
    </row>
    <row r="2189" spans="1:15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-4.1373446068012501E-3</v>
      </c>
      <c r="M2189" s="1">
        <f t="shared" si="139"/>
        <v>3.7465246700972551E-2</v>
      </c>
      <c r="N2189" s="1">
        <f t="shared" si="140"/>
        <v>7.747655162151511E-3</v>
      </c>
      <c r="O2189" s="1"/>
    </row>
    <row r="2190" spans="1:15" x14ac:dyDescent="0.25">
      <c r="A2190">
        <v>4058</v>
      </c>
      <c r="B2190">
        <v>387.62863529999998</v>
      </c>
      <c r="C2190">
        <v>0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0</v>
      </c>
      <c r="M2190" s="1">
        <f t="shared" si="139"/>
        <v>-3.0806686950224848E-3</v>
      </c>
      <c r="N2190" s="1">
        <f t="shared" si="140"/>
        <v>9.4309645318919021E-3</v>
      </c>
      <c r="O2190" s="1"/>
    </row>
    <row r="2191" spans="1:15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4.78E-6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-5.9154997941780006E-3</v>
      </c>
      <c r="M2191" s="1">
        <f t="shared" si="139"/>
        <v>1.5772542605061373E-2</v>
      </c>
      <c r="N2191" s="1">
        <f t="shared" si="140"/>
        <v>2.2185854458841737E-2</v>
      </c>
      <c r="O2191" s="1"/>
    </row>
    <row r="2192" spans="1:15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-6.6000000000000003E-7</v>
      </c>
      <c r="F2192">
        <v>51900.787940000002</v>
      </c>
      <c r="G2192" s="1">
        <v>1.22E-6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2.0439218596549999E-2</v>
      </c>
      <c r="M2192" s="1">
        <f t="shared" si="139"/>
        <v>-1.1310749121813899E-2</v>
      </c>
      <c r="N2192" s="1">
        <f t="shared" si="140"/>
        <v>9.7825244698257E-3</v>
      </c>
      <c r="O2192" s="1"/>
    </row>
    <row r="2193" spans="1:15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3.5200000000000002E-5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-1.8395847395379999E-2</v>
      </c>
      <c r="M2193" s="1">
        <f t="shared" si="139"/>
        <v>4.93574736269888E-2</v>
      </c>
      <c r="N2193" s="1">
        <f t="shared" si="140"/>
        <v>0.25403250187835524</v>
      </c>
      <c r="O2193" s="1"/>
    </row>
    <row r="2194" spans="1:15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-2.4600000000000002E-5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8.5002449466349984E-3</v>
      </c>
      <c r="M2194" s="1">
        <f t="shared" si="139"/>
        <v>-2.2379183349502268E-2</v>
      </c>
      <c r="N2194" s="1">
        <f t="shared" si="140"/>
        <v>-0.1640678047699734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 s="1">
        <v>4.75E-7</v>
      </c>
      <c r="F2195">
        <v>207156.66029999999</v>
      </c>
      <c r="G2195" s="1">
        <v>4.7700000000000001E-5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3.6531996072917778E-3</v>
      </c>
      <c r="N2195" s="1">
        <f t="shared" si="140"/>
        <v>0.17164922616434009</v>
      </c>
      <c r="O2195" s="1"/>
    </row>
    <row r="2196" spans="1:15" x14ac:dyDescent="0.25">
      <c r="A2196">
        <v>4103</v>
      </c>
      <c r="B2196">
        <v>15557.94175</v>
      </c>
      <c r="C2196">
        <v>0</v>
      </c>
      <c r="D2196">
        <v>45366.70966</v>
      </c>
      <c r="E2196" s="1">
        <v>3.5700000000000001E-6</v>
      </c>
      <c r="F2196">
        <v>241806.56210000001</v>
      </c>
      <c r="G2196" s="1">
        <v>1.6699999999999999E-5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</v>
      </c>
      <c r="M2196" s="1">
        <f t="shared" si="139"/>
        <v>5.5406822992513864E-2</v>
      </c>
      <c r="N2196" s="1">
        <f t="shared" si="140"/>
        <v>0.12127050379750741</v>
      </c>
      <c r="O2196" s="1"/>
    </row>
    <row r="2197" spans="1:15" x14ac:dyDescent="0.25">
      <c r="A2197">
        <v>4104</v>
      </c>
      <c r="B2197">
        <v>16183.98918</v>
      </c>
      <c r="C2197">
        <v>0</v>
      </c>
      <c r="D2197">
        <v>79959.813389999996</v>
      </c>
      <c r="E2197" s="1">
        <v>3.41E-6</v>
      </c>
      <c r="F2197">
        <v>275340.54009999998</v>
      </c>
      <c r="G2197" s="1">
        <v>-2.65E-5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</v>
      </c>
      <c r="M2197" s="1">
        <f t="shared" si="139"/>
        <v>3.4397283021749346E-2</v>
      </c>
      <c r="N2197" s="1">
        <f t="shared" si="140"/>
        <v>-0.12507177487662902</v>
      </c>
      <c r="O2197" s="1"/>
    </row>
    <row r="2198" spans="1:15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-3.8800000000000001E-5</v>
      </c>
      <c r="F2198">
        <v>1002021.515</v>
      </c>
      <c r="G2198">
        <v>17300.799050000001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-1.0929155370301352E-2</v>
      </c>
      <c r="M2198" s="1">
        <f t="shared" si="139"/>
        <v>-5.2095332648158327E-2</v>
      </c>
      <c r="N2198" s="1">
        <f t="shared" si="140"/>
        <v>10868683.193280827</v>
      </c>
      <c r="O2198" s="1"/>
    </row>
    <row r="2199" spans="1:15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-3.9899999999999999E-6</v>
      </c>
      <c r="F2199">
        <v>321663.07520000002</v>
      </c>
      <c r="G2199">
        <v>0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-3.8756153783821509E-2</v>
      </c>
      <c r="M2199" s="1">
        <f t="shared" si="139"/>
        <v>-1.5253790807350053E-2</v>
      </c>
      <c r="N2199" s="1">
        <f t="shared" si="140"/>
        <v>0</v>
      </c>
      <c r="O2199" s="1"/>
    </row>
    <row r="2200" spans="1:15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>
        <v>0</v>
      </c>
      <c r="F2200">
        <v>982515.70929999999</v>
      </c>
      <c r="G2200">
        <v>20624.640380000001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-3.1306283608837575E-2</v>
      </c>
      <c r="M2200" s="1">
        <f t="shared" si="139"/>
        <v>0</v>
      </c>
      <c r="N2200" s="1">
        <f t="shared" si="140"/>
        <v>21883849.7387571</v>
      </c>
      <c r="O2200" s="1"/>
    </row>
    <row r="2201" spans="1:15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-3.7599999999999999E-5</v>
      </c>
      <c r="F2201">
        <v>378580.24660000001</v>
      </c>
      <c r="G2201">
        <v>0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-5.0707125083283511E-2</v>
      </c>
      <c r="M2201" s="1">
        <f t="shared" si="139"/>
        <v>-0.2547570719476912</v>
      </c>
      <c r="N2201" s="1">
        <f t="shared" si="140"/>
        <v>0</v>
      </c>
      <c r="O2201" s="1"/>
    </row>
    <row r="2202" spans="1:15" x14ac:dyDescent="0.25">
      <c r="A2202">
        <v>4109</v>
      </c>
      <c r="B2202">
        <v>23743.06594</v>
      </c>
      <c r="C2202" s="1">
        <v>-3.1E-6</v>
      </c>
      <c r="D2202">
        <v>188215.12400000001</v>
      </c>
      <c r="E2202">
        <v>0</v>
      </c>
      <c r="F2202">
        <v>548600.78489999997</v>
      </c>
      <c r="G2202">
        <v>2526.6907580000002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-4.386403343758475E-2</v>
      </c>
      <c r="M2202" s="1">
        <f t="shared" si="139"/>
        <v>0</v>
      </c>
      <c r="N2202" s="1">
        <f t="shared" si="140"/>
        <v>5610296.0224940619</v>
      </c>
      <c r="O2202" s="1"/>
    </row>
    <row r="2203" spans="1:15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-4.7199999999999997E-6</v>
      </c>
      <c r="F2203">
        <v>260579.30840000001</v>
      </c>
      <c r="G2203">
        <v>0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5.8364256925260002E-3</v>
      </c>
      <c r="M2203" s="1">
        <f t="shared" si="139"/>
        <v>-4.619575831216579E-3</v>
      </c>
      <c r="N2203" s="1">
        <f t="shared" si="140"/>
        <v>0</v>
      </c>
      <c r="O2203" s="1"/>
    </row>
    <row r="2204" spans="1:15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-1.6399999999999999E-5</v>
      </c>
      <c r="F2204">
        <v>677297.27980000002</v>
      </c>
      <c r="G2204">
        <v>46915.363400000002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-1.5101207231213677E-2</v>
      </c>
      <c r="M2204" s="1">
        <f t="shared" si="139"/>
        <v>-2.4358148474186839E-2</v>
      </c>
      <c r="N2204" s="1">
        <f t="shared" si="140"/>
        <v>32603121.927891701</v>
      </c>
      <c r="O2204" s="1"/>
    </row>
    <row r="2205" spans="1:15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>
        <v>0</v>
      </c>
      <c r="F2205">
        <v>601157.3909</v>
      </c>
      <c r="G2205">
        <v>15361.28534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2.7541047300578502E-2</v>
      </c>
      <c r="M2205" s="1">
        <f t="shared" si="139"/>
        <v>0</v>
      </c>
      <c r="N2205" s="1">
        <f t="shared" si="140"/>
        <v>17066529.716019597</v>
      </c>
      <c r="O2205" s="1"/>
    </row>
    <row r="2206" spans="1:15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-2.70195437409625E-2</v>
      </c>
      <c r="M2206" s="1">
        <f t="shared" si="139"/>
        <v>-6.8870738569271811E-2</v>
      </c>
      <c r="N2206" s="1">
        <f t="shared" si="140"/>
        <v>2.0351951716269603E-2</v>
      </c>
      <c r="O2206" s="1"/>
    </row>
    <row r="2207" spans="1:15" x14ac:dyDescent="0.25">
      <c r="A2207">
        <v>4114</v>
      </c>
      <c r="B2207">
        <v>2029.652231</v>
      </c>
      <c r="C2207">
        <v>0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0</v>
      </c>
      <c r="M2207" s="1">
        <f t="shared" si="139"/>
        <v>2.55484291656E-2</v>
      </c>
      <c r="N2207" s="1">
        <f t="shared" si="140"/>
        <v>2.0375884395000002E-2</v>
      </c>
      <c r="O2207" s="1"/>
    </row>
    <row r="2208" spans="1:15" x14ac:dyDescent="0.25">
      <c r="A2208">
        <v>4115</v>
      </c>
      <c r="B2208">
        <v>13085.873530000001</v>
      </c>
      <c r="C2208">
        <v>0</v>
      </c>
      <c r="D2208">
        <v>48145.283170000002</v>
      </c>
      <c r="E2208" s="1">
        <v>-3.1499999999999999E-6</v>
      </c>
      <c r="F2208">
        <v>225985.8143</v>
      </c>
      <c r="G2208" s="1">
        <v>-1.49E-5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0</v>
      </c>
      <c r="M2208" s="1">
        <f t="shared" si="139"/>
        <v>-3.8937468300979494E-2</v>
      </c>
      <c r="N2208" s="1">
        <f t="shared" si="140"/>
        <v>-8.6176153085522997E-2</v>
      </c>
      <c r="O2208" s="1"/>
    </row>
    <row r="2209" spans="1:15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-2.2890873634037499E-2</v>
      </c>
      <c r="M2209" s="1">
        <f t="shared" si="139"/>
        <v>-5.0669829207158706E-2</v>
      </c>
      <c r="N2209" s="1">
        <f t="shared" si="140"/>
        <v>8.9802658102762514E-2</v>
      </c>
      <c r="O2209" s="1"/>
    </row>
    <row r="2210" spans="1:15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1.1600000000000001E-5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5.6226293010160008E-3</v>
      </c>
      <c r="M2210" s="1">
        <f t="shared" si="139"/>
        <v>-1.9140295160550932E-2</v>
      </c>
      <c r="N2210" s="1">
        <f t="shared" si="140"/>
        <v>5.1174576838170248E-2</v>
      </c>
      <c r="O2210" s="1"/>
    </row>
    <row r="2211" spans="1:15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-2.7500000000000001E-5</v>
      </c>
      <c r="F2211">
        <v>293192.45449999999</v>
      </c>
      <c r="G2211" s="1">
        <v>6.63E-6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-8.8219371865625007E-2</v>
      </c>
      <c r="M2211" s="1">
        <f t="shared" si="139"/>
        <v>-0.36984275128281247</v>
      </c>
      <c r="N2211" s="1">
        <f t="shared" si="140"/>
        <v>4.1719742949543746E-2</v>
      </c>
      <c r="O2211" s="1"/>
    </row>
    <row r="2212" spans="1:15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>
        <v>0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-7.8591835150715258E-3</v>
      </c>
      <c r="M2212" s="1">
        <f t="shared" si="139"/>
        <v>1.7446811639098708E-2</v>
      </c>
      <c r="N2212" s="1">
        <f t="shared" si="140"/>
        <v>0</v>
      </c>
      <c r="O2212" s="1"/>
    </row>
    <row r="2213" spans="1:15" x14ac:dyDescent="0.25">
      <c r="A2213">
        <v>4120</v>
      </c>
      <c r="B2213">
        <v>17877.405910000001</v>
      </c>
      <c r="C2213">
        <v>0</v>
      </c>
      <c r="D2213">
        <v>44456.575519999999</v>
      </c>
      <c r="E2213" s="1">
        <v>3.5700000000000001E-6</v>
      </c>
      <c r="F2213">
        <v>203885.09520000001</v>
      </c>
      <c r="G2213" s="1">
        <v>1.5400000000000002E-5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0</v>
      </c>
      <c r="M2213" s="1">
        <f t="shared" si="139"/>
        <v>8.8289106839436506E-3</v>
      </c>
      <c r="N2213" s="1">
        <f t="shared" si="140"/>
        <v>1.7819819729060583E-2</v>
      </c>
      <c r="O2213" s="1"/>
    </row>
    <row r="2214" spans="1:15" x14ac:dyDescent="0.25">
      <c r="A2214">
        <v>4121</v>
      </c>
      <c r="B2214">
        <v>5882.4095859999998</v>
      </c>
      <c r="C2214" s="1">
        <v>-2E-8</v>
      </c>
      <c r="D2214">
        <v>34015.436609999997</v>
      </c>
      <c r="E2214" s="1">
        <v>2.9699999999999999E-6</v>
      </c>
      <c r="F2214">
        <v>187280.3273</v>
      </c>
      <c r="G2214" s="1">
        <v>-1.38E-5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-5.1520304353115003E-4</v>
      </c>
      <c r="M2214" s="1">
        <f t="shared" si="139"/>
        <v>2.5659489428052185E-2</v>
      </c>
      <c r="N2214" s="1">
        <f t="shared" si="140"/>
        <v>-5.5784600313418989E-2</v>
      </c>
      <c r="O2214" s="1"/>
    </row>
    <row r="2215" spans="1:15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1.13E-5</v>
      </c>
      <c r="F2215">
        <v>317940.49359999999</v>
      </c>
      <c r="G2215">
        <v>0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-5.8965466472762851E-2</v>
      </c>
      <c r="M2215" s="1">
        <f t="shared" si="139"/>
        <v>8.1857159824741621E-2</v>
      </c>
      <c r="N2215" s="1">
        <f t="shared" si="140"/>
        <v>0</v>
      </c>
      <c r="O2215" s="1"/>
    </row>
    <row r="2216" spans="1:15" x14ac:dyDescent="0.25">
      <c r="A2216">
        <v>4123</v>
      </c>
      <c r="B2216">
        <v>11760.593129999999</v>
      </c>
      <c r="C2216" s="1">
        <v>1.6999999999999999E-7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3.4718576470447998E-3</v>
      </c>
      <c r="M2216" s="1">
        <f t="shared" si="139"/>
        <v>-7.7398860884435837E-3</v>
      </c>
      <c r="N2216" s="1">
        <f t="shared" si="140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 s="1">
        <v>-2.2999999999999999E-7</v>
      </c>
      <c r="D2217">
        <v>25975.26269</v>
      </c>
      <c r="E2217" s="1">
        <v>-4.4299999999999999E-6</v>
      </c>
      <c r="F2217">
        <v>100542.7953</v>
      </c>
      <c r="G2217" s="1">
        <v>4.07E-5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-9.8842022298337492E-3</v>
      </c>
      <c r="M2217" s="1">
        <f t="shared" si="139"/>
        <v>-6.3849962952773551E-2</v>
      </c>
      <c r="N2217" s="1">
        <f t="shared" si="140"/>
        <v>0.27447008118349053</v>
      </c>
      <c r="O2217" s="1"/>
    </row>
    <row r="2218" spans="1:15" x14ac:dyDescent="0.25">
      <c r="A2218">
        <v>4125</v>
      </c>
      <c r="B2218">
        <v>13022.2997</v>
      </c>
      <c r="C2218" s="1">
        <v>-5.0999999999999999E-7</v>
      </c>
      <c r="D2218">
        <v>35191.872130000003</v>
      </c>
      <c r="E2218" s="1">
        <v>2.6699999999999998E-6</v>
      </c>
      <c r="F2218">
        <v>190399.22080000001</v>
      </c>
      <c r="G2218">
        <v>0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-1.4375346641394376E-2</v>
      </c>
      <c r="M2218" s="1">
        <f t="shared" si="139"/>
        <v>2.5240767016862776E-2</v>
      </c>
      <c r="N2218" s="1">
        <f t="shared" si="140"/>
        <v>0</v>
      </c>
      <c r="O2218" s="1"/>
    </row>
    <row r="2219" spans="1:15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-1.1358017182334224E-2</v>
      </c>
      <c r="M2219" s="1">
        <f t="shared" si="139"/>
        <v>1.6445045065574048E-2</v>
      </c>
      <c r="N2219" s="1">
        <f t="shared" si="140"/>
        <v>1.3780492591879731E-2</v>
      </c>
      <c r="O2219" s="1"/>
    </row>
    <row r="2220" spans="1:15" x14ac:dyDescent="0.25">
      <c r="A2220">
        <v>4127</v>
      </c>
      <c r="B2220">
        <v>7614.8886279999997</v>
      </c>
      <c r="C2220">
        <v>0</v>
      </c>
      <c r="D2220">
        <v>27375.685549999998</v>
      </c>
      <c r="E2220">
        <v>0</v>
      </c>
      <c r="F2220">
        <v>69249.322440000004</v>
      </c>
      <c r="G2220" s="1">
        <v>-2.3300000000000001E-6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0</v>
      </c>
      <c r="M2220" s="1">
        <f t="shared" si="139"/>
        <v>0</v>
      </c>
      <c r="N2220" s="1">
        <f t="shared" si="140"/>
        <v>-7.7051414854537341E-3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 s="1">
        <v>2.6699999999999998E-6</v>
      </c>
      <c r="F2221">
        <v>128480.4909</v>
      </c>
      <c r="G2221">
        <v>0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2.7621073991772327E-2</v>
      </c>
      <c r="N2221" s="1">
        <f t="shared" si="140"/>
        <v>0</v>
      </c>
      <c r="O2221" s="1"/>
    </row>
    <row r="2222" spans="1:15" x14ac:dyDescent="0.25">
      <c r="A2222">
        <v>4129</v>
      </c>
      <c r="B2222">
        <v>12271.61757</v>
      </c>
      <c r="C2222" s="1">
        <v>-2.61E-6</v>
      </c>
      <c r="D2222">
        <v>32246.33567</v>
      </c>
      <c r="E2222">
        <v>0</v>
      </c>
      <c r="F2222">
        <v>89565.662519999998</v>
      </c>
      <c r="G2222" s="1">
        <v>2.0700000000000001E-6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-5.8080863925729455E-2</v>
      </c>
      <c r="M2222" s="1">
        <f t="shared" si="139"/>
        <v>0</v>
      </c>
      <c r="N2222" s="1">
        <f t="shared" si="140"/>
        <v>7.228525558077523E-3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 s="1">
        <v>-4.8999999999999997E-6</v>
      </c>
      <c r="F2223">
        <v>62261.113640000003</v>
      </c>
      <c r="G2223" s="1">
        <v>-2.8999999999999998E-7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-9.7306954321369807E-2</v>
      </c>
      <c r="N2223" s="1">
        <f t="shared" si="140"/>
        <v>-2.6945700326026201E-3</v>
      </c>
      <c r="O2223" s="1"/>
    </row>
    <row r="2224" spans="1:15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-3.8199999999999998E-6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8.0050108646527503E-3</v>
      </c>
      <c r="M2224" s="1">
        <f t="shared" si="139"/>
        <v>3.2217089879894752E-2</v>
      </c>
      <c r="N2224" s="1">
        <f t="shared" si="140"/>
        <v>-1.5995243247709217E-2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 s="1">
        <v>4.0999999999999997E-6</v>
      </c>
      <c r="F2225">
        <v>260501.69149999999</v>
      </c>
      <c r="G2225" s="1">
        <v>4.2799999999999997E-5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7.334826084484139E-2</v>
      </c>
      <c r="N2225" s="1">
        <f t="shared" si="140"/>
        <v>0.35825594936701682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 s="1">
        <v>-9.9999999999999995E-7</v>
      </c>
      <c r="F2226">
        <v>43716.102870000002</v>
      </c>
      <c r="G2226" s="1">
        <v>4.2300000000000002E-6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-9.4680429714731999E-3</v>
      </c>
      <c r="N2226" s="1">
        <f t="shared" si="140"/>
        <v>1.8738907433357009E-2</v>
      </c>
      <c r="O2226" s="1"/>
    </row>
    <row r="2227" spans="1:15" x14ac:dyDescent="0.25">
      <c r="A2227">
        <v>4136</v>
      </c>
      <c r="B2227">
        <v>5800.2757339999998</v>
      </c>
      <c r="C2227">
        <v>0</v>
      </c>
      <c r="D2227">
        <v>31823.183430000001</v>
      </c>
      <c r="E2227" s="1">
        <v>7.7000000000000004E-7</v>
      </c>
      <c r="F2227">
        <v>202678.1997</v>
      </c>
      <c r="G2227" s="1">
        <v>-2.1100000000000001E-5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0</v>
      </c>
      <c r="M2227" s="1">
        <f t="shared" si="139"/>
        <v>1.398669937329434E-2</v>
      </c>
      <c r="N2227" s="1">
        <f t="shared" si="140"/>
        <v>-0.17932905034674182</v>
      </c>
      <c r="O2227" s="1"/>
    </row>
    <row r="2228" spans="1:15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-3.4800000000000001E-6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-7.9768887164752503E-3</v>
      </c>
      <c r="M2228" s="1">
        <f t="shared" si="139"/>
        <v>3.4511702228417998E-2</v>
      </c>
      <c r="N2228" s="1">
        <f t="shared" si="140"/>
        <v>-1.4520391891282335E-2</v>
      </c>
      <c r="O2228" s="1"/>
    </row>
    <row r="2229" spans="1:15" x14ac:dyDescent="0.25">
      <c r="A2229">
        <v>4138</v>
      </c>
      <c r="B2229">
        <v>1017.287811</v>
      </c>
      <c r="C2229">
        <v>0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0</v>
      </c>
      <c r="M2229" s="1">
        <f t="shared" si="139"/>
        <v>-4.9661142212810566E-2</v>
      </c>
      <c r="N2229" s="1">
        <f t="shared" si="140"/>
        <v>5.4293896600362247E-2</v>
      </c>
      <c r="O2229" s="1"/>
    </row>
    <row r="2230" spans="1:15" x14ac:dyDescent="0.25">
      <c r="A2230">
        <v>4140</v>
      </c>
      <c r="B2230">
        <v>1148.5653600000001</v>
      </c>
      <c r="C2230">
        <v>0</v>
      </c>
      <c r="D2230">
        <v>42038.822410000001</v>
      </c>
      <c r="E2230" s="1">
        <v>-3.8600000000000003E-6</v>
      </c>
      <c r="F2230">
        <v>189507.88709999999</v>
      </c>
      <c r="G2230" s="1">
        <v>1.5699999999999999E-5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0</v>
      </c>
      <c r="M2230" s="1">
        <f t="shared" si="139"/>
        <v>-6.6161820721585829E-2</v>
      </c>
      <c r="N2230" s="1">
        <f t="shared" si="140"/>
        <v>0.12591094227260011</v>
      </c>
      <c r="O2230" s="1"/>
    </row>
    <row r="2231" spans="1:15" x14ac:dyDescent="0.25">
      <c r="A2231">
        <v>4141</v>
      </c>
      <c r="B2231">
        <v>1828.078692</v>
      </c>
      <c r="C2231" s="1">
        <v>9.9999999999999995E-8</v>
      </c>
      <c r="D2231">
        <v>66450.907099999997</v>
      </c>
      <c r="E2231">
        <v>0</v>
      </c>
      <c r="F2231">
        <v>188279.79749999999</v>
      </c>
      <c r="G2231" s="1">
        <v>3.9299999999999996E-6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4.1873727591800001E-3</v>
      </c>
      <c r="M2231" s="1">
        <f t="shared" si="139"/>
        <v>0</v>
      </c>
      <c r="N2231" s="1">
        <f t="shared" si="140"/>
        <v>2.5823849911459917E-2</v>
      </c>
      <c r="O2231" s="1"/>
    </row>
    <row r="2232" spans="1:15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1.3200000000000001E-6</v>
      </c>
      <c r="F2232">
        <v>235350.31299999999</v>
      </c>
      <c r="G2232" s="1">
        <v>3.4900000000000001E-5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7.7997129072914992E-3</v>
      </c>
      <c r="M2232" s="1">
        <f t="shared" si="139"/>
        <v>1.1509976339498471E-2</v>
      </c>
      <c r="N2232" s="1">
        <f t="shared" si="140"/>
        <v>0.14238675901218606</v>
      </c>
      <c r="O2232" s="1"/>
    </row>
    <row r="2233" spans="1:15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-3.3800000000000002E-5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0.15743286488234501</v>
      </c>
      <c r="M2233" s="1">
        <f t="shared" si="139"/>
        <v>-5.7459433852533701E-2</v>
      </c>
      <c r="N2233" s="1">
        <f t="shared" si="140"/>
        <v>-0.24559526921645825</v>
      </c>
      <c r="O2233" s="1"/>
    </row>
    <row r="2234" spans="1:15" x14ac:dyDescent="0.25">
      <c r="A2234">
        <v>4144</v>
      </c>
      <c r="B2234">
        <v>4702.0123180000001</v>
      </c>
      <c r="C2234">
        <v>0</v>
      </c>
      <c r="D2234">
        <v>34144.54941</v>
      </c>
      <c r="E2234" s="1">
        <v>-4.5000000000000001E-6</v>
      </c>
      <c r="F2234">
        <v>189363.98569999999</v>
      </c>
      <c r="G2234" s="1">
        <v>3.1999999999999999E-6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0</v>
      </c>
      <c r="M2234" s="1">
        <f t="shared" si="139"/>
        <v>-4.9609078410406501E-2</v>
      </c>
      <c r="N2234" s="1">
        <f t="shared" si="140"/>
        <v>1.6506017526153601E-2</v>
      </c>
      <c r="O2234" s="1"/>
    </row>
    <row r="2235" spans="1:15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1.6500000000000001E-5</v>
      </c>
      <c r="F2235">
        <v>394365.09779999999</v>
      </c>
      <c r="G2235">
        <v>819.61369679999996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4.5841027274769998E-2</v>
      </c>
      <c r="M2235" s="1">
        <f t="shared" si="139"/>
        <v>0.18119799462345901</v>
      </c>
      <c r="N2235" s="1">
        <f t="shared" si="140"/>
        <v>4211359.6160856644</v>
      </c>
      <c r="O2235" s="1"/>
    </row>
    <row r="2236" spans="1:15" x14ac:dyDescent="0.25">
      <c r="A2236">
        <v>4146</v>
      </c>
      <c r="B2236">
        <v>12095.773639999999</v>
      </c>
      <c r="C2236">
        <v>0</v>
      </c>
      <c r="D2236">
        <v>106762.0043</v>
      </c>
      <c r="E2236" s="1">
        <v>-2.9300000000000001E-5</v>
      </c>
      <c r="F2236">
        <v>444618.1642</v>
      </c>
      <c r="G2236" s="1">
        <v>-3.3500000000000001E-5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0</v>
      </c>
      <c r="M2236" s="1">
        <f t="shared" si="139"/>
        <v>-0.2632806442268194</v>
      </c>
      <c r="N2236" s="1">
        <f t="shared" si="140"/>
        <v>-0.14084446900507905</v>
      </c>
      <c r="O2236" s="1"/>
    </row>
    <row r="2237" spans="1:15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7.5299999999999999E-6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6.5706841088070012E-2</v>
      </c>
      <c r="M2237" s="1">
        <f t="shared" si="139"/>
        <v>2.4975338776655122E-2</v>
      </c>
      <c r="N2237" s="1">
        <f t="shared" si="140"/>
        <v>2.5880408392873359E-2</v>
      </c>
      <c r="O2237" s="1"/>
    </row>
    <row r="2238" spans="1:15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-4.7299999999999996E-6</v>
      </c>
      <c r="F2238">
        <v>621074.14430000004</v>
      </c>
      <c r="G2238">
        <v>24244.779729999998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-4.0687187906508E-2</v>
      </c>
      <c r="M2238" s="1">
        <f t="shared" si="139"/>
        <v>-2.9338592264277378E-2</v>
      </c>
      <c r="N2238" s="1">
        <f t="shared" si="140"/>
        <v>70362303.971953452</v>
      </c>
      <c r="O2238" s="1"/>
    </row>
    <row r="2239" spans="1:15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-4.3800000000000004E-6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-0.12343652615840324</v>
      </c>
      <c r="M2239" s="1">
        <f t="shared" si="139"/>
        <v>-2.7262566340276229E-2</v>
      </c>
      <c r="N2239" s="1">
        <f t="shared" si="140"/>
        <v>-2.0692871454607221E-2</v>
      </c>
      <c r="O2239" s="1"/>
    </row>
    <row r="2240" spans="1:15" x14ac:dyDescent="0.25">
      <c r="A2240">
        <v>4150</v>
      </c>
      <c r="B2240">
        <v>29053.215929999998</v>
      </c>
      <c r="C2240" s="1">
        <v>6.9999999999999997E-7</v>
      </c>
      <c r="D2240">
        <v>194804.3345</v>
      </c>
      <c r="E2240" s="1">
        <v>-1.7099999999999999E-5</v>
      </c>
      <c r="F2240">
        <v>685919.27910000004</v>
      </c>
      <c r="G2240">
        <v>4934.4460689999996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1.0090689160006E-2</v>
      </c>
      <c r="M2240" s="1">
        <f t="shared" si="139"/>
        <v>-8.2672683627846952E-2</v>
      </c>
      <c r="N2240" s="1">
        <f t="shared" si="140"/>
        <v>11162153.997422937</v>
      </c>
      <c r="O2240" s="1"/>
    </row>
    <row r="2241" spans="1:15" x14ac:dyDescent="0.25">
      <c r="A2241">
        <v>4151</v>
      </c>
      <c r="B2241">
        <v>22645.828420000002</v>
      </c>
      <c r="C2241" s="1">
        <v>-7.9999999999999996E-7</v>
      </c>
      <c r="D2241">
        <v>142823.0865</v>
      </c>
      <c r="E2241" s="1">
        <v>-2.8399999999999999E-5</v>
      </c>
      <c r="F2241">
        <v>321929.03649999999</v>
      </c>
      <c r="G2241">
        <v>10855.722830000001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-3.2156781352019999E-2</v>
      </c>
      <c r="M2241" s="1">
        <f t="shared" si="139"/>
        <v>-0.38286358597428116</v>
      </c>
      <c r="N2241" s="1">
        <f t="shared" si="140"/>
        <v>68474386.071478963</v>
      </c>
      <c r="O2241" s="1"/>
    </row>
    <row r="2242" spans="1:15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1.9700000000000002E-6</v>
      </c>
      <c r="F2242">
        <v>344049.98440000002</v>
      </c>
      <c r="G2242">
        <v>0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6.7630413198679504E-2</v>
      </c>
      <c r="M2242" s="1">
        <f t="shared" si="139"/>
        <v>1.7186128551659706E-2</v>
      </c>
      <c r="N2242" s="1">
        <f t="shared" si="140"/>
        <v>0</v>
      </c>
      <c r="O2242" s="1"/>
    </row>
    <row r="2243" spans="1:15" x14ac:dyDescent="0.25">
      <c r="A2243">
        <v>4155</v>
      </c>
      <c r="B2243">
        <v>25539.437959999999</v>
      </c>
      <c r="C2243" s="1">
        <v>1.9999999999999999E-7</v>
      </c>
      <c r="D2243">
        <v>152141.33180000001</v>
      </c>
      <c r="E2243" s="1">
        <v>4.9599999999999999E-5</v>
      </c>
      <c r="F2243">
        <v>519848.6741</v>
      </c>
      <c r="G2243">
        <v>3897.9479889999998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6.8413756372000005E-3</v>
      </c>
      <c r="M2243" s="1">
        <f t="shared" ref="M2243:M2306" si="143">$U$3*$K2243*E2243</f>
        <v>0.56903404992243201</v>
      </c>
      <c r="N2243" s="1">
        <f t="shared" ref="N2243:N2306" si="144">$U$4*$K2243*G2243</f>
        <v>20923594.565505907</v>
      </c>
      <c r="O2243" s="1"/>
    </row>
    <row r="2244" spans="1:15" x14ac:dyDescent="0.25">
      <c r="A2244">
        <v>4156</v>
      </c>
      <c r="B2244">
        <v>3140.6219289999999</v>
      </c>
      <c r="C2244">
        <v>0</v>
      </c>
      <c r="D2244">
        <v>27369.947029999999</v>
      </c>
      <c r="E2244" s="1">
        <v>4.3000000000000003E-6</v>
      </c>
      <c r="F2244">
        <v>157289.2273</v>
      </c>
      <c r="G2244">
        <v>0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0</v>
      </c>
      <c r="M2244" s="1">
        <f t="shared" si="143"/>
        <v>3.8383497644204539E-2</v>
      </c>
      <c r="N2244" s="1">
        <f t="shared" si="144"/>
        <v>0</v>
      </c>
      <c r="O2244" s="1"/>
    </row>
    <row r="2245" spans="1:15" x14ac:dyDescent="0.25">
      <c r="A2245">
        <v>4157</v>
      </c>
      <c r="B2245">
        <v>12725.497009999999</v>
      </c>
      <c r="C2245" s="1">
        <v>3.9999999999999998E-7</v>
      </c>
      <c r="D2245">
        <v>128030.52009999999</v>
      </c>
      <c r="E2245" s="1">
        <v>4.5899999999999998E-5</v>
      </c>
      <c r="F2245">
        <v>383846.09769999998</v>
      </c>
      <c r="G2245">
        <v>4713.6068269999996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1.1510189314E-2</v>
      </c>
      <c r="M2245" s="1">
        <f t="shared" si="143"/>
        <v>0.44297406274517992</v>
      </c>
      <c r="N2245" s="1">
        <f t="shared" si="144"/>
        <v>21284460.411209039</v>
      </c>
      <c r="O2245" s="1"/>
    </row>
    <row r="2246" spans="1:15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-4.2599999999999999E-6</v>
      </c>
      <c r="F2246">
        <v>213963.4841</v>
      </c>
      <c r="G2246">
        <v>0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2.4027681094062749E-2</v>
      </c>
      <c r="M2246" s="1">
        <f t="shared" si="143"/>
        <v>-3.8143635689631104E-2</v>
      </c>
      <c r="N2246" s="1">
        <f t="shared" si="144"/>
        <v>0</v>
      </c>
      <c r="O2246" s="1"/>
    </row>
    <row r="2247" spans="1:15" x14ac:dyDescent="0.25">
      <c r="A2247">
        <v>4159</v>
      </c>
      <c r="B2247">
        <v>2719.0611960000001</v>
      </c>
      <c r="C2247">
        <v>0</v>
      </c>
      <c r="D2247">
        <v>30181.518100000001</v>
      </c>
      <c r="E2247" s="1">
        <v>9.9999999999999995E-7</v>
      </c>
      <c r="F2247">
        <v>158926.40479999999</v>
      </c>
      <c r="G2247">
        <v>0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0</v>
      </c>
      <c r="M2247" s="1">
        <f t="shared" si="143"/>
        <v>8.1801204709929E-3</v>
      </c>
      <c r="N2247" s="1">
        <f t="shared" si="144"/>
        <v>0</v>
      </c>
      <c r="O2247" s="1"/>
    </row>
    <row r="2248" spans="1:15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-2.1923082524525E-2</v>
      </c>
      <c r="M2248" s="1">
        <f t="shared" si="143"/>
        <v>8.6761442286289406E-3</v>
      </c>
      <c r="N2248" s="1">
        <f t="shared" si="144"/>
        <v>2.1811106164553583E-2</v>
      </c>
      <c r="O2248" s="1"/>
    </row>
    <row r="2249" spans="1:15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-1.55E-6</v>
      </c>
      <c r="F2249">
        <v>177438.0301</v>
      </c>
      <c r="G2249">
        <v>0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0.23379002858835002</v>
      </c>
      <c r="M2249" s="1">
        <f t="shared" si="143"/>
        <v>-2.7007743815385801E-2</v>
      </c>
      <c r="N2249" s="1">
        <f t="shared" si="144"/>
        <v>0</v>
      </c>
      <c r="O2249" s="1"/>
    </row>
    <row r="2250" spans="1:15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-2.4900000000000002E-7</v>
      </c>
      <c r="F2250">
        <v>175134.34160000001</v>
      </c>
      <c r="G2250">
        <v>0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-5.9997522470990007E-3</v>
      </c>
      <c r="M2250" s="1">
        <f t="shared" si="143"/>
        <v>-2.5052196267463687E-3</v>
      </c>
      <c r="N2250" s="1">
        <f t="shared" si="144"/>
        <v>0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>
        <v>0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0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-7.0072498694063998E-2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-0.13747328999272998</v>
      </c>
      <c r="N2263" s="1">
        <f t="shared" si="144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-2.64165984929478E-2</v>
      </c>
      <c r="N2272" s="1">
        <f t="shared" si="144"/>
        <v>-4.2436205468946416E-3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2.4600000000000002E-6</v>
      </c>
      <c r="F2274">
        <v>175614.83410000001</v>
      </c>
      <c r="G2274" s="1">
        <v>-3.4499999999999998E-5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-6.3786547080602773E-2</v>
      </c>
      <c r="M2274" s="1">
        <f t="shared" si="143"/>
        <v>0.11126182946295547</v>
      </c>
      <c r="N2274" s="1">
        <f t="shared" si="144"/>
        <v>-0.73008573484027062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 s="1">
        <v>3.9999999999999998E-7</v>
      </c>
      <c r="F2275">
        <v>10682.9264</v>
      </c>
      <c r="G2275">
        <v>0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2.8451152322458397E-2</v>
      </c>
      <c r="N2275" s="1">
        <f t="shared" si="144"/>
        <v>0</v>
      </c>
      <c r="O2275" s="1"/>
    </row>
    <row r="2276" spans="1:15" x14ac:dyDescent="0.25">
      <c r="A2276">
        <v>4312</v>
      </c>
      <c r="B2276">
        <v>2552.8662829999998</v>
      </c>
      <c r="C2276" s="1">
        <v>7.7000000000000001E-8</v>
      </c>
      <c r="D2276">
        <v>16200.206910000001</v>
      </c>
      <c r="E2276">
        <v>0</v>
      </c>
      <c r="F2276">
        <v>156221.2659</v>
      </c>
      <c r="G2276" s="1">
        <v>-4.0300000000000004E-6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2.0629242638829826E-3</v>
      </c>
      <c r="M2276" s="1">
        <f t="shared" si="143"/>
        <v>0</v>
      </c>
      <c r="N2276" s="1">
        <f t="shared" si="144"/>
        <v>-1.694277018804673E-2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1.2450367577561999E-2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>
        <v>0</v>
      </c>
      <c r="F2283">
        <v>486.12950310000002</v>
      </c>
      <c r="G2283">
        <v>0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0</v>
      </c>
      <c r="N2283" s="1">
        <f t="shared" si="144"/>
        <v>0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5.9396091670723572E-2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-3.0888542448100798E-2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 s="1">
        <v>7.4499999999999996E-7</v>
      </c>
      <c r="F2286">
        <v>57324.630010000001</v>
      </c>
      <c r="G2286" s="1">
        <v>-5.4499999999999997E-7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3.5446928100555046E-2</v>
      </c>
      <c r="N2286" s="1">
        <f t="shared" si="144"/>
        <v>-1.2132841161934952E-2</v>
      </c>
      <c r="O2286" s="1"/>
    </row>
    <row r="2287" spans="1:15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>
        <v>0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1.7094371352662501E-3</v>
      </c>
      <c r="M2287" s="1">
        <f t="shared" si="143"/>
        <v>1.7772886400198952E-2</v>
      </c>
      <c r="N2287" s="1">
        <f t="shared" si="144"/>
        <v>0</v>
      </c>
      <c r="O2287" s="1"/>
    </row>
    <row r="2288" spans="1:15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>
        <v>0</v>
      </c>
      <c r="F2288">
        <v>9927.7451400000009</v>
      </c>
      <c r="G2288" s="1">
        <v>-2.7999999999999999E-8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-3.9028632180037499E-3</v>
      </c>
      <c r="M2288" s="1">
        <f t="shared" si="143"/>
        <v>0</v>
      </c>
      <c r="N2288" s="1">
        <f t="shared" si="144"/>
        <v>-3.4297161078826802E-4</v>
      </c>
      <c r="O2288" s="1"/>
    </row>
    <row r="2289" spans="1:15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6.9999999999999998E-9</v>
      </c>
      <c r="F2289">
        <v>4438.7964309999998</v>
      </c>
      <c r="G2289" s="1">
        <v>-4.9800000000000004E-7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-8.2873143549104994E-5</v>
      </c>
      <c r="M2289" s="1">
        <f t="shared" si="143"/>
        <v>6.4853547208171391E-5</v>
      </c>
      <c r="N2289" s="1">
        <f t="shared" si="144"/>
        <v>-2.1587816408822247E-3</v>
      </c>
      <c r="O2289" s="1"/>
    </row>
    <row r="2290" spans="1:15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>
        <v>0</v>
      </c>
      <c r="F2290">
        <v>20635.39834</v>
      </c>
      <c r="G2290" s="1">
        <v>9.6500000000000008E-7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-4.9215099937770001E-3</v>
      </c>
      <c r="M2290" s="1">
        <f t="shared" si="143"/>
        <v>0</v>
      </c>
      <c r="N2290" s="1">
        <f t="shared" si="144"/>
        <v>2.4842268137818983E-2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>
        <v>0</v>
      </c>
      <c r="F2291">
        <v>2183.0153220000002</v>
      </c>
      <c r="G2291" s="1">
        <v>3.6699999999999999E-7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0</v>
      </c>
      <c r="N2291" s="1">
        <f t="shared" si="144"/>
        <v>2.2385819585769152E-3</v>
      </c>
      <c r="O2291" s="1"/>
    </row>
    <row r="2292" spans="1:15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-2.53E-7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-2.57539894208545E-3</v>
      </c>
      <c r="M2292" s="1">
        <f t="shared" si="143"/>
        <v>7.3719988465291049E-3</v>
      </c>
      <c r="N2292" s="1">
        <f t="shared" si="144"/>
        <v>-2.377844189604906E-3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-1E-8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-2.5036898612742001E-4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3.3134677922344799E-3</v>
      </c>
      <c r="N2294" s="1">
        <f t="shared" si="144"/>
        <v>2.7906086543772964E-2</v>
      </c>
      <c r="O2294" s="1"/>
    </row>
    <row r="2295" spans="1:15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4.82E-7</v>
      </c>
      <c r="F2295">
        <v>35394.36479</v>
      </c>
      <c r="G2295" s="1">
        <v>-4.16E-6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-7.8223738571549998E-4</v>
      </c>
      <c r="M2295" s="1">
        <f t="shared" si="143"/>
        <v>6.3226442724186056E-3</v>
      </c>
      <c r="N2295" s="1">
        <f t="shared" si="144"/>
        <v>-2.5532228269753921E-2</v>
      </c>
      <c r="O2295" s="1"/>
    </row>
    <row r="2296" spans="1:15" x14ac:dyDescent="0.25">
      <c r="A2296">
        <v>4430</v>
      </c>
      <c r="B2296">
        <v>164.36965420000001</v>
      </c>
      <c r="C2296">
        <v>0</v>
      </c>
      <c r="D2296">
        <v>3508.764091</v>
      </c>
      <c r="E2296">
        <v>0</v>
      </c>
      <c r="F2296">
        <v>35490.099540000003</v>
      </c>
      <c r="G2296" s="1">
        <v>7.3499999999999995E-7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0</v>
      </c>
      <c r="M2296" s="1">
        <f t="shared" si="143"/>
        <v>0</v>
      </c>
      <c r="N2296" s="1">
        <f t="shared" si="144"/>
        <v>6.6307475317056754E-3</v>
      </c>
      <c r="O2296" s="1"/>
    </row>
    <row r="2297" spans="1:15" x14ac:dyDescent="0.25">
      <c r="A2297">
        <v>4431</v>
      </c>
      <c r="B2297">
        <v>164.36965420000001</v>
      </c>
      <c r="C2297">
        <v>0</v>
      </c>
      <c r="D2297">
        <v>3358.7745920000002</v>
      </c>
      <c r="E2297" s="1">
        <v>-7.0000000000000005E-8</v>
      </c>
      <c r="F2297">
        <v>19192.478419999999</v>
      </c>
      <c r="G2297" s="1">
        <v>3.2000000000000001E-7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0</v>
      </c>
      <c r="M2297" s="1">
        <f t="shared" si="143"/>
        <v>-1.4499837282109902E-3</v>
      </c>
      <c r="N2297" s="1">
        <f t="shared" si="144"/>
        <v>3.1014068734473601E-3</v>
      </c>
      <c r="O2297" s="1"/>
    </row>
    <row r="2298" spans="1:15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-7.7000000000000001E-8</v>
      </c>
      <c r="F2298">
        <v>61266.534110000001</v>
      </c>
      <c r="G2298" s="1">
        <v>-1.6500000000000001E-6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2.5046173610542496E-2</v>
      </c>
      <c r="M2298" s="1">
        <f t="shared" si="143"/>
        <v>-2.1560260011618789E-3</v>
      </c>
      <c r="N2298" s="1">
        <f t="shared" si="144"/>
        <v>-2.1616774454637451E-2</v>
      </c>
      <c r="O2298" s="1"/>
    </row>
    <row r="2299" spans="1:15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4.9899999999999997E-6</v>
      </c>
      <c r="F2299">
        <v>115094.80039999999</v>
      </c>
      <c r="G2299" s="1">
        <v>-2.5999999999999998E-5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2.0896928011896302E-2</v>
      </c>
      <c r="M2299" s="1">
        <f t="shared" si="143"/>
        <v>9.2519724175421383E-2</v>
      </c>
      <c r="N2299" s="1">
        <f t="shared" si="144"/>
        <v>-0.225554143620468</v>
      </c>
      <c r="O2299" s="1"/>
    </row>
    <row r="2300" spans="1:15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1.9500000000000001E-7</v>
      </c>
      <c r="F2300">
        <v>56936.499620000002</v>
      </c>
      <c r="G2300" s="1">
        <v>9.2299999999999999E-7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2.9596081635899999E-3</v>
      </c>
      <c r="M2300" s="1">
        <f t="shared" si="143"/>
        <v>4.8389593474696497E-3</v>
      </c>
      <c r="N2300" s="1">
        <f t="shared" si="144"/>
        <v>1.0716741160359389E-2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 s="1">
        <v>1.1200000000000001E-6</v>
      </c>
      <c r="F2301">
        <v>104499.6581</v>
      </c>
      <c r="G2301" s="1">
        <v>-6.8600000000000004E-6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1.0832285824210705E-2</v>
      </c>
      <c r="N2301" s="1">
        <f t="shared" si="144"/>
        <v>-3.1043442975576322E-2</v>
      </c>
      <c r="O2301" s="1"/>
    </row>
    <row r="2302" spans="1:15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1.1799999999999999E-6</v>
      </c>
      <c r="F2302">
        <v>163853.30369999999</v>
      </c>
      <c r="G2302" s="1">
        <v>3.1999999999999999E-5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1.377771460312325E-3</v>
      </c>
      <c r="M2302" s="1">
        <f t="shared" si="143"/>
        <v>3.7604024451007162E-3</v>
      </c>
      <c r="N2302" s="1">
        <f t="shared" si="144"/>
        <v>4.7714016408057607E-2</v>
      </c>
      <c r="O2302" s="1"/>
    </row>
    <row r="2303" spans="1:15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8.5300000000000003E-7</v>
      </c>
      <c r="F2303">
        <v>98454.796470000001</v>
      </c>
      <c r="G2303" s="1">
        <v>-1.2300000000000001E-6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8.9679596438639996E-3</v>
      </c>
      <c r="M2303" s="1">
        <f t="shared" si="143"/>
        <v>6.4139537215964857E-3</v>
      </c>
      <c r="N2303" s="1">
        <f t="shared" si="144"/>
        <v>-4.327385449689144E-3</v>
      </c>
      <c r="O2303" s="1"/>
    </row>
    <row r="2304" spans="1:15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4.8899999999999998E-6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1.1204544965930064E-2</v>
      </c>
      <c r="M2304" s="1">
        <f t="shared" si="143"/>
        <v>8.6232355459248625E-3</v>
      </c>
      <c r="N2304" s="1">
        <f t="shared" si="144"/>
        <v>1.8100738261073997E-2</v>
      </c>
      <c r="O2304" s="1"/>
    </row>
    <row r="2305" spans="1:15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-3.49E-6</v>
      </c>
      <c r="F2305">
        <v>74026.081219999993</v>
      </c>
      <c r="G2305" s="1">
        <v>-3.3000000000000002E-7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9.9271746387449983E-3</v>
      </c>
      <c r="M2305" s="1">
        <f t="shared" si="143"/>
        <v>-5.8098407758845928E-2</v>
      </c>
      <c r="N2305" s="1">
        <f t="shared" si="144"/>
        <v>-2.5703746026165901E-3</v>
      </c>
      <c r="O2305" s="1"/>
    </row>
    <row r="2306" spans="1:15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2.8700000000000001E-6</v>
      </c>
      <c r="F2306">
        <v>93641.406560000003</v>
      </c>
      <c r="G2306">
        <v>0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-3.6397168706887623E-3</v>
      </c>
      <c r="M2306" s="1">
        <f t="shared" si="143"/>
        <v>2.4161541191672478E-2</v>
      </c>
      <c r="N2306" s="1">
        <f t="shared" si="144"/>
        <v>0</v>
      </c>
      <c r="O2306" s="1"/>
    </row>
    <row r="2307" spans="1:15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-9.6700000000000002E-7</v>
      </c>
      <c r="F2307">
        <v>147049.80910000001</v>
      </c>
      <c r="G2307" s="1">
        <v>-4.2700000000000001E-5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7.3881569691647258E-3</v>
      </c>
      <c r="M2307" s="1">
        <f t="shared" ref="M2307:M2370" si="147">$U$3*$K2307*E2307</f>
        <v>-6.749589677320646E-3</v>
      </c>
      <c r="N2307" s="1">
        <f t="shared" ref="N2307:N2370" si="148">$U$4*$K2307*G2307</f>
        <v>-0.13945126268039024</v>
      </c>
      <c r="O2307" s="1"/>
    </row>
    <row r="2308" spans="1:15" x14ac:dyDescent="0.25">
      <c r="A2308">
        <v>4442</v>
      </c>
      <c r="B2308">
        <v>3835.3324590000002</v>
      </c>
      <c r="C2308">
        <v>0</v>
      </c>
      <c r="D2308">
        <v>39503.1371</v>
      </c>
      <c r="E2308">
        <v>0</v>
      </c>
      <c r="F2308">
        <v>111951.5977</v>
      </c>
      <c r="G2308" s="1">
        <v>4.35E-5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0</v>
      </c>
      <c r="M2308" s="1">
        <f t="shared" si="147"/>
        <v>0</v>
      </c>
      <c r="N2308" s="1">
        <f t="shared" si="148"/>
        <v>0.18728493441794825</v>
      </c>
      <c r="O2308" s="1"/>
    </row>
    <row r="2309" spans="1:15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>
        <v>0</v>
      </c>
      <c r="F2309">
        <v>52314.406389999996</v>
      </c>
      <c r="G2309">
        <v>0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2.7372702703580003E-3</v>
      </c>
      <c r="M2309" s="1">
        <f t="shared" si="147"/>
        <v>0</v>
      </c>
      <c r="N2309" s="1">
        <f t="shared" si="148"/>
        <v>0</v>
      </c>
      <c r="O2309" s="1"/>
    </row>
    <row r="2310" spans="1:15" x14ac:dyDescent="0.25">
      <c r="A2310">
        <v>4444</v>
      </c>
      <c r="B2310">
        <v>29441.7333</v>
      </c>
      <c r="C2310" s="1">
        <v>-3.0599999999999999E-6</v>
      </c>
      <c r="D2310">
        <v>97767.102790000004</v>
      </c>
      <c r="E2310" s="1">
        <v>4.5700000000000003E-6</v>
      </c>
      <c r="F2310">
        <v>377418.45110000001</v>
      </c>
      <c r="G2310" s="1">
        <v>-7.5900000000000002E-6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-3.2664142325751294E-2</v>
      </c>
      <c r="M2310" s="1">
        <f t="shared" si="147"/>
        <v>1.6360974576899445E-2</v>
      </c>
      <c r="N2310" s="1">
        <f t="shared" si="148"/>
        <v>-1.2713889243715507E-2</v>
      </c>
      <c r="O2310" s="1"/>
    </row>
    <row r="2311" spans="1:15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-2.43E-6</v>
      </c>
      <c r="F2311">
        <v>237167.7</v>
      </c>
      <c r="G2311" s="1">
        <v>7.8099999999999998E-6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-1.0258100307802425E-2</v>
      </c>
      <c r="M2311" s="1">
        <f t="shared" si="147"/>
        <v>-6.4807704914195078E-3</v>
      </c>
      <c r="N2311" s="1">
        <f t="shared" si="148"/>
        <v>9.7457458165790909E-3</v>
      </c>
      <c r="O2311" s="1"/>
    </row>
    <row r="2312" spans="1:15" x14ac:dyDescent="0.25">
      <c r="A2312">
        <v>4446</v>
      </c>
      <c r="B2312">
        <v>36473.144289999997</v>
      </c>
      <c r="C2312" s="1">
        <v>1.37E-6</v>
      </c>
      <c r="D2312">
        <v>100133.6112</v>
      </c>
      <c r="E2312" s="1">
        <v>1.5500000000000001E-5</v>
      </c>
      <c r="F2312">
        <v>377377.19890000002</v>
      </c>
      <c r="G2312" s="1">
        <v>-2.87E-5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7.783393078598151E-3</v>
      </c>
      <c r="M2312" s="1">
        <f t="shared" si="147"/>
        <v>2.9534065370671703E-2</v>
      </c>
      <c r="N2312" s="1">
        <f t="shared" si="148"/>
        <v>-2.5586866814473024E-2</v>
      </c>
      <c r="O2312" s="1"/>
    </row>
    <row r="2313" spans="1:15" x14ac:dyDescent="0.25">
      <c r="A2313">
        <v>4447</v>
      </c>
      <c r="B2313">
        <v>27789.54567</v>
      </c>
      <c r="C2313" s="1">
        <v>-1.31E-6</v>
      </c>
      <c r="D2313">
        <v>98709.577560000005</v>
      </c>
      <c r="E2313" s="1">
        <v>4.6600000000000003E-6</v>
      </c>
      <c r="F2313">
        <v>339372.55349999998</v>
      </c>
      <c r="G2313" s="1">
        <v>3.9900000000000001E-5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-7.5886746286191751E-3</v>
      </c>
      <c r="M2313" s="1">
        <f t="shared" si="147"/>
        <v>9.0536497730142676E-3</v>
      </c>
      <c r="N2313" s="1">
        <f t="shared" si="148"/>
        <v>3.6270567238466611E-2</v>
      </c>
      <c r="O2313" s="1"/>
    </row>
    <row r="2314" spans="1:15" x14ac:dyDescent="0.25">
      <c r="A2314">
        <v>4448</v>
      </c>
      <c r="B2314">
        <v>46756.038330000003</v>
      </c>
      <c r="C2314" s="1">
        <v>1.35E-6</v>
      </c>
      <c r="D2314">
        <v>139141.05910000001</v>
      </c>
      <c r="E2314" s="1">
        <v>-1.8E-5</v>
      </c>
      <c r="F2314">
        <v>495290.50079999998</v>
      </c>
      <c r="G2314" s="1">
        <v>2.94E-5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2.4396423490047371E-2</v>
      </c>
      <c r="M2314" s="1">
        <f t="shared" si="147"/>
        <v>-0.10909580145292978</v>
      </c>
      <c r="N2314" s="1">
        <f t="shared" si="148"/>
        <v>8.3373213403936261E-2</v>
      </c>
      <c r="O2314" s="1"/>
    </row>
    <row r="2315" spans="1:15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9.3500000000000005E-7</v>
      </c>
      <c r="F2315">
        <v>62110.293850000002</v>
      </c>
      <c r="G2315" s="1">
        <v>-2.8700000000000002E-7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-1.2282629148952499E-2</v>
      </c>
      <c r="M2315" s="1">
        <f t="shared" si="147"/>
        <v>1.2838811791953784E-2</v>
      </c>
      <c r="N2315" s="1">
        <f t="shared" si="148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 s="1">
        <v>-3.3299999999999999E-6</v>
      </c>
      <c r="D2316">
        <v>246951.84289999999</v>
      </c>
      <c r="E2316" s="1">
        <v>3.79E-5</v>
      </c>
      <c r="F2316">
        <v>871014.41899999999</v>
      </c>
      <c r="G2316" s="1">
        <v>-1.31E-5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-1.320695583437295E-2</v>
      </c>
      <c r="M2316" s="1">
        <f t="shared" si="147"/>
        <v>5.0412802261379619E-2</v>
      </c>
      <c r="N2316" s="1">
        <f t="shared" si="148"/>
        <v>-8.1529842392650213E-3</v>
      </c>
      <c r="O2316" s="1"/>
    </row>
    <row r="2317" spans="1:15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4.1099999999999996E-6</v>
      </c>
      <c r="F2317">
        <v>548496.55090000003</v>
      </c>
      <c r="G2317" s="1">
        <v>4.35E-5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-9.7304034549930002E-3</v>
      </c>
      <c r="M2317" s="1">
        <f t="shared" si="147"/>
        <v>4.4708958397972447E-2</v>
      </c>
      <c r="N2317" s="1">
        <f t="shared" si="148"/>
        <v>0.22140410322976378</v>
      </c>
      <c r="O2317" s="1"/>
    </row>
    <row r="2318" spans="1:15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>
        <v>0</v>
      </c>
      <c r="F2318">
        <v>340323.99290000001</v>
      </c>
      <c r="G2318" s="1">
        <v>-2.7900000000000001E-5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4.7377630728223253E-3</v>
      </c>
      <c r="M2318" s="1">
        <f t="shared" si="147"/>
        <v>0</v>
      </c>
      <c r="N2318" s="1">
        <f t="shared" si="148"/>
        <v>-0.10917187168127751</v>
      </c>
      <c r="O2318" s="1"/>
    </row>
    <row r="2319" spans="1:15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2.3300000000000001E-5</v>
      </c>
      <c r="F2319">
        <v>761416.55550000002</v>
      </c>
      <c r="G2319" s="1">
        <v>-2.4499999999999999E-5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-5.0018198244064054E-2</v>
      </c>
      <c r="M2319" s="1">
        <f t="shared" si="147"/>
        <v>0.11462325114410059</v>
      </c>
      <c r="N2319" s="1">
        <f t="shared" si="148"/>
        <v>-5.6393177266824294E-2</v>
      </c>
      <c r="O2319" s="1"/>
    </row>
    <row r="2320" spans="1:15" x14ac:dyDescent="0.25">
      <c r="A2320">
        <v>4503</v>
      </c>
      <c r="B2320">
        <v>4295.8318149999996</v>
      </c>
      <c r="C2320" s="1">
        <v>-9.9999999999999995E-8</v>
      </c>
      <c r="D2320">
        <v>64153.604050000002</v>
      </c>
      <c r="E2320" s="1">
        <v>3.7900000000000001E-6</v>
      </c>
      <c r="F2320">
        <v>389830.13959999999</v>
      </c>
      <c r="G2320" s="1">
        <v>3.01E-5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-3.2817293740075E-3</v>
      </c>
      <c r="M2320" s="1">
        <f t="shared" si="147"/>
        <v>4.1714314513730415E-2</v>
      </c>
      <c r="N2320" s="1">
        <f t="shared" si="148"/>
        <v>0.1550087003704281</v>
      </c>
      <c r="O2320" s="1"/>
    </row>
    <row r="2321" spans="1:15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5.9999999999999995E-8</v>
      </c>
      <c r="F2321">
        <v>252421.3314</v>
      </c>
      <c r="G2321" s="1">
        <v>-2.4600000000000002E-5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5.6057025828589499E-2</v>
      </c>
      <c r="M2321" s="1">
        <f t="shared" si="147"/>
        <v>3.4183025540230797E-4</v>
      </c>
      <c r="N2321" s="1">
        <f t="shared" si="148"/>
        <v>-6.5574960004240929E-2</v>
      </c>
      <c r="O2321" s="1"/>
    </row>
    <row r="2322" spans="1:15" x14ac:dyDescent="0.25">
      <c r="A2322">
        <v>4505</v>
      </c>
      <c r="B2322">
        <v>21757.494170000002</v>
      </c>
      <c r="C2322" s="1">
        <v>1.46E-6</v>
      </c>
      <c r="D2322">
        <v>211492.3107</v>
      </c>
      <c r="E2322">
        <v>0</v>
      </c>
      <c r="F2322">
        <v>841541.48869999999</v>
      </c>
      <c r="G2322">
        <v>128.77782819999999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7.9950584722112E-3</v>
      </c>
      <c r="M2322" s="1">
        <f t="shared" si="147"/>
        <v>0</v>
      </c>
      <c r="N2322" s="1">
        <f t="shared" si="148"/>
        <v>110661.53758809649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 s="1">
        <v>-3.8399999999999997E-6</v>
      </c>
      <c r="F2323">
        <v>477022.07630000002</v>
      </c>
      <c r="G2323" s="1">
        <v>2.0400000000000001E-5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-5.8557795763952633E-2</v>
      </c>
      <c r="N2323" s="1">
        <f t="shared" si="148"/>
        <v>0.14555507146601762</v>
      </c>
      <c r="O2323" s="1"/>
    </row>
    <row r="2324" spans="1:15" x14ac:dyDescent="0.25">
      <c r="A2324">
        <v>4507</v>
      </c>
      <c r="B2324">
        <v>10661.122300000001</v>
      </c>
      <c r="C2324" s="1">
        <v>9.9999999999999995E-8</v>
      </c>
      <c r="D2324">
        <v>48172.554029999999</v>
      </c>
      <c r="E2324" s="1">
        <v>9.9999999999999995E-7</v>
      </c>
      <c r="F2324">
        <v>281137.31780000002</v>
      </c>
      <c r="G2324" s="1">
        <v>-3.8300000000000003E-5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2.9570791751474998E-3</v>
      </c>
      <c r="M2324" s="1">
        <f t="shared" si="147"/>
        <v>9.9175886181870013E-3</v>
      </c>
      <c r="N2324" s="1">
        <f t="shared" si="148"/>
        <v>-0.17772500777894193</v>
      </c>
      <c r="O2324" s="1"/>
    </row>
    <row r="2325" spans="1:15" x14ac:dyDescent="0.25">
      <c r="A2325">
        <v>4508</v>
      </c>
      <c r="B2325">
        <v>4666.0012880000004</v>
      </c>
      <c r="C2325">
        <v>0</v>
      </c>
      <c r="D2325">
        <v>81900.5144</v>
      </c>
      <c r="E2325" s="1">
        <v>4.4599999999999996E-6</v>
      </c>
      <c r="F2325">
        <v>409454.11339999997</v>
      </c>
      <c r="G2325" s="1">
        <v>-2.7500000000000001E-5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0</v>
      </c>
      <c r="M2325" s="1">
        <f t="shared" si="147"/>
        <v>5.182134765447062E-2</v>
      </c>
      <c r="N2325" s="1">
        <f t="shared" si="148"/>
        <v>-0.14950310627678254</v>
      </c>
      <c r="O2325" s="1"/>
    </row>
    <row r="2326" spans="1:15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>
        <v>0</v>
      </c>
      <c r="F2326">
        <v>361102.18</v>
      </c>
      <c r="G2326" s="1">
        <v>2.55E-5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5.8568158230074996E-2</v>
      </c>
      <c r="M2326" s="1">
        <f t="shared" si="147"/>
        <v>0</v>
      </c>
      <c r="N2326" s="1">
        <f t="shared" si="148"/>
        <v>0.13020152098839749</v>
      </c>
      <c r="O2326" s="1"/>
    </row>
    <row r="2327" spans="1:15" x14ac:dyDescent="0.25">
      <c r="A2327">
        <v>4511</v>
      </c>
      <c r="B2327">
        <v>22760.313300000002</v>
      </c>
      <c r="C2327" s="1">
        <v>3.67E-6</v>
      </c>
      <c r="D2327">
        <v>99689.742499999993</v>
      </c>
      <c r="E2327" s="1">
        <v>-2.7499999999999999E-6</v>
      </c>
      <c r="F2327">
        <v>343236.61330000003</v>
      </c>
      <c r="G2327" s="1">
        <v>1.98E-5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5.993946982821298E-2</v>
      </c>
      <c r="M2327" s="1">
        <f t="shared" si="147"/>
        <v>-1.5063388036895274E-2</v>
      </c>
      <c r="N2327" s="1">
        <f t="shared" si="148"/>
        <v>5.0745652175669224E-2</v>
      </c>
      <c r="O2327" s="1"/>
    </row>
    <row r="2328" spans="1:15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-2.0600000000000002E-6</v>
      </c>
      <c r="F2328">
        <v>93475.642909999995</v>
      </c>
      <c r="G2328" s="1">
        <v>4.3599999999999998E-6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0.1193174700073005</v>
      </c>
      <c r="M2328" s="1">
        <f t="shared" si="147"/>
        <v>-2.1693558474039885E-2</v>
      </c>
      <c r="N2328" s="1">
        <f t="shared" si="148"/>
        <v>2.1482941401476389E-2</v>
      </c>
      <c r="O2328" s="1"/>
    </row>
    <row r="2329" spans="1:15" x14ac:dyDescent="0.25">
      <c r="A2329">
        <v>4513</v>
      </c>
      <c r="B2329">
        <v>25892.663980000001</v>
      </c>
      <c r="C2329">
        <v>0</v>
      </c>
      <c r="D2329">
        <v>60292.860529999998</v>
      </c>
      <c r="E2329" s="1">
        <v>-4.3699999999999997E-6</v>
      </c>
      <c r="F2329">
        <v>201644.10079999999</v>
      </c>
      <c r="G2329" s="1">
        <v>-3.5899999999999998E-5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0</v>
      </c>
      <c r="M2329" s="1">
        <f t="shared" si="147"/>
        <v>-2.2954255787256309E-2</v>
      </c>
      <c r="N2329" s="1">
        <f t="shared" si="148"/>
        <v>-8.8230736927944031E-2</v>
      </c>
      <c r="O2329" s="1"/>
    </row>
    <row r="2330" spans="1:15" x14ac:dyDescent="0.25">
      <c r="A2330">
        <v>4514</v>
      </c>
      <c r="B2330">
        <v>56990.196550000001</v>
      </c>
      <c r="C2330" s="1">
        <v>1.5200000000000001E-7</v>
      </c>
      <c r="D2330">
        <v>205755.09400000001</v>
      </c>
      <c r="E2330" s="1">
        <v>1.98E-5</v>
      </c>
      <c r="F2330">
        <v>678562.89229999995</v>
      </c>
      <c r="G2330" s="1">
        <v>-3.4900000000000001E-5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1.2856407607908802E-3</v>
      </c>
      <c r="M2330" s="1">
        <f t="shared" si="147"/>
        <v>5.6167406678924642E-2</v>
      </c>
      <c r="N2330" s="1">
        <f t="shared" si="148"/>
        <v>-4.6322105063394479E-2</v>
      </c>
      <c r="O2330" s="1"/>
    </row>
    <row r="2331" spans="1:15" x14ac:dyDescent="0.25">
      <c r="A2331">
        <v>4515</v>
      </c>
      <c r="B2331">
        <v>54665.912179999999</v>
      </c>
      <c r="C2331" s="1">
        <v>2.0499999999999999E-6</v>
      </c>
      <c r="D2331">
        <v>164289.61290000001</v>
      </c>
      <c r="E2331" s="1">
        <v>-4.6699999999999997E-5</v>
      </c>
      <c r="F2331">
        <v>574889.54700000002</v>
      </c>
      <c r="G2331" s="1">
        <v>4.9100000000000001E-5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2.5796024421462747E-2</v>
      </c>
      <c r="M2331" s="1">
        <f t="shared" si="147"/>
        <v>-0.19708743431530482</v>
      </c>
      <c r="N2331" s="1">
        <f t="shared" si="148"/>
        <v>9.6954333589170549E-2</v>
      </c>
      <c r="O2331" s="1"/>
    </row>
    <row r="2332" spans="1:15" x14ac:dyDescent="0.25">
      <c r="A2332">
        <v>4516</v>
      </c>
      <c r="B2332">
        <v>39225.024299999997</v>
      </c>
      <c r="C2332" s="1">
        <v>-2.5000000000000002E-6</v>
      </c>
      <c r="D2332">
        <v>149977.30110000001</v>
      </c>
      <c r="E2332" s="1">
        <v>4.8600000000000002E-5</v>
      </c>
      <c r="F2332">
        <v>495843.9865</v>
      </c>
      <c r="G2332" s="1">
        <v>-1.42E-5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-2.8404037608943753E-2</v>
      </c>
      <c r="M2332" s="1">
        <f t="shared" si="147"/>
        <v>0.18519082932876138</v>
      </c>
      <c r="N2332" s="1">
        <f t="shared" si="148"/>
        <v>-2.5317174198642541E-2</v>
      </c>
      <c r="O2332" s="1"/>
    </row>
    <row r="2333" spans="1:15" x14ac:dyDescent="0.25">
      <c r="A2333">
        <v>4517</v>
      </c>
      <c r="B2333">
        <v>41646.515630000002</v>
      </c>
      <c r="C2333">
        <v>0</v>
      </c>
      <c r="D2333">
        <v>126326.5105</v>
      </c>
      <c r="E2333">
        <v>0</v>
      </c>
      <c r="F2333">
        <v>459713.48090000002</v>
      </c>
      <c r="G2333" s="1">
        <v>-4.7500000000000003E-5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0</v>
      </c>
      <c r="M2333" s="1">
        <f t="shared" si="147"/>
        <v>0</v>
      </c>
      <c r="N2333" s="1">
        <f t="shared" si="148"/>
        <v>-3.8894661879854256E-2</v>
      </c>
      <c r="O2333" s="1"/>
    </row>
    <row r="2334" spans="1:15" x14ac:dyDescent="0.25">
      <c r="A2334">
        <v>4518</v>
      </c>
      <c r="B2334">
        <v>12234.49417</v>
      </c>
      <c r="C2334" s="1">
        <v>-9.9999999999999995E-8</v>
      </c>
      <c r="D2334">
        <v>76910.80601</v>
      </c>
      <c r="E2334" s="1">
        <v>4.4000000000000002E-6</v>
      </c>
      <c r="F2334">
        <v>262480.10700000002</v>
      </c>
      <c r="G2334" s="1">
        <v>2.4600000000000002E-5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-2.8691922979752504E-3</v>
      </c>
      <c r="M2334" s="1">
        <f t="shared" si="147"/>
        <v>4.2340450034120923E-2</v>
      </c>
      <c r="N2334" s="1">
        <f t="shared" si="148"/>
        <v>0.11075965098583845</v>
      </c>
      <c r="O2334" s="1"/>
    </row>
    <row r="2335" spans="1:15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-3.5099999999999999E-6</v>
      </c>
      <c r="F2335">
        <v>226169.87700000001</v>
      </c>
      <c r="G2335" s="1">
        <v>-1.31E-5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8.8226323896438003E-2</v>
      </c>
      <c r="M2335" s="1">
        <f t="shared" si="147"/>
        <v>-3.7092867318173857E-2</v>
      </c>
      <c r="N2335" s="1">
        <f t="shared" si="148"/>
        <v>-6.477363406067059E-2</v>
      </c>
      <c r="O2335" s="1"/>
    </row>
    <row r="2336" spans="1:15" x14ac:dyDescent="0.25">
      <c r="A2336">
        <v>4520</v>
      </c>
      <c r="B2336">
        <v>17230.685150000001</v>
      </c>
      <c r="C2336">
        <v>0</v>
      </c>
      <c r="D2336">
        <v>89334.885869999998</v>
      </c>
      <c r="E2336" s="1">
        <v>-2.17E-6</v>
      </c>
      <c r="F2336">
        <v>341987.46659999999</v>
      </c>
      <c r="G2336" s="1">
        <v>-1.22E-5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0</v>
      </c>
      <c r="M2336" s="1">
        <f t="shared" si="147"/>
        <v>-9.4585165263722289E-3</v>
      </c>
      <c r="N2336" s="1">
        <f t="shared" si="148"/>
        <v>-2.4880941033732725E-2</v>
      </c>
      <c r="O2336" s="1"/>
    </row>
    <row r="2337" spans="1:15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1.7999999999999999E-6</v>
      </c>
      <c r="F2337">
        <v>217921.77420000001</v>
      </c>
      <c r="G2337" s="1">
        <v>-1.5800000000000001E-5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-0.11008061291608097</v>
      </c>
      <c r="M2337" s="1">
        <f t="shared" si="147"/>
        <v>1.517233316061474E-2</v>
      </c>
      <c r="N2337" s="1">
        <f t="shared" si="148"/>
        <v>-6.231328267494067E-2</v>
      </c>
      <c r="O2337" s="1"/>
    </row>
    <row r="2338" spans="1:15" x14ac:dyDescent="0.25">
      <c r="A2338">
        <v>4522</v>
      </c>
      <c r="B2338">
        <v>9795.8042089999999</v>
      </c>
      <c r="C2338" s="1">
        <v>3.9999999999999998E-7</v>
      </c>
      <c r="D2338">
        <v>69137.930970000001</v>
      </c>
      <c r="E2338" s="1">
        <v>4.8400000000000002E-6</v>
      </c>
      <c r="F2338">
        <v>261862.42300000001</v>
      </c>
      <c r="G2338" s="1">
        <v>-4.1199999999999999E-5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1.3598636999219999E-2</v>
      </c>
      <c r="M2338" s="1">
        <f t="shared" si="147"/>
        <v>5.518536104083465E-2</v>
      </c>
      <c r="N2338" s="1">
        <f t="shared" si="148"/>
        <v>-0.21979581586739283</v>
      </c>
      <c r="O2338" s="1"/>
    </row>
    <row r="2339" spans="1:15" x14ac:dyDescent="0.25">
      <c r="A2339">
        <v>4523</v>
      </c>
      <c r="B2339">
        <v>7138.6205799999998</v>
      </c>
      <c r="C2339">
        <v>0</v>
      </c>
      <c r="D2339">
        <v>71855.620330000005</v>
      </c>
      <c r="E2339" s="1">
        <v>-3.2399999999999999E-6</v>
      </c>
      <c r="F2339">
        <v>255528.22990000001</v>
      </c>
      <c r="G2339" s="1">
        <v>-4.3900000000000003E-5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0</v>
      </c>
      <c r="M2339" s="1">
        <f t="shared" si="147"/>
        <v>-5.05647587589102E-2</v>
      </c>
      <c r="N2339" s="1">
        <f t="shared" si="148"/>
        <v>-0.32056132740209553</v>
      </c>
      <c r="O2339" s="1"/>
    </row>
    <row r="2340" spans="1:15" x14ac:dyDescent="0.25">
      <c r="A2340">
        <v>4524</v>
      </c>
      <c r="B2340">
        <v>1410.3430639999999</v>
      </c>
      <c r="C2340" s="1">
        <v>-9.9999999999999995E-8</v>
      </c>
      <c r="D2340">
        <v>45053.881350000003</v>
      </c>
      <c r="E2340" s="1">
        <v>4.7999999999999996E-7</v>
      </c>
      <c r="F2340">
        <v>202581.71429999999</v>
      </c>
      <c r="G2340" s="1">
        <v>-1.0900000000000001E-5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-2.3604057665305E-3</v>
      </c>
      <c r="M2340" s="1">
        <f t="shared" si="147"/>
        <v>3.7998901447654078E-3</v>
      </c>
      <c r="N2340" s="1">
        <f t="shared" si="148"/>
        <v>-4.0373832788132467E-2</v>
      </c>
      <c r="O2340" s="1"/>
    </row>
    <row r="2341" spans="1:15" x14ac:dyDescent="0.25">
      <c r="A2341">
        <v>4525</v>
      </c>
      <c r="B2341">
        <v>7624.4114650000001</v>
      </c>
      <c r="C2341">
        <v>0</v>
      </c>
      <c r="D2341">
        <v>87918.257150000005</v>
      </c>
      <c r="E2341" s="1">
        <v>-1.9700000000000002E-6</v>
      </c>
      <c r="F2341">
        <v>278938.54019999999</v>
      </c>
      <c r="G2341" s="1">
        <v>5.4299999999999997E-6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0</v>
      </c>
      <c r="M2341" s="1">
        <f t="shared" si="147"/>
        <v>-2.0473438116723267E-2</v>
      </c>
      <c r="N2341" s="1">
        <f t="shared" si="148"/>
        <v>2.6403898931980509E-2</v>
      </c>
      <c r="O2341" s="1"/>
    </row>
    <row r="2342" spans="1:15" x14ac:dyDescent="0.25">
      <c r="A2342">
        <v>4526</v>
      </c>
      <c r="B2342">
        <v>27228.245080000001</v>
      </c>
      <c r="C2342" s="1">
        <v>4.5299999999999998E-6</v>
      </c>
      <c r="D2342">
        <v>180857.4731</v>
      </c>
      <c r="E2342" s="1">
        <v>2.9200000000000002E-5</v>
      </c>
      <c r="F2342">
        <v>611537.76009999996</v>
      </c>
      <c r="G2342" s="1">
        <v>1.63E-5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2.1738327255223802E-2</v>
      </c>
      <c r="M2342" s="1">
        <f t="shared" si="147"/>
        <v>4.6995244006063044E-2</v>
      </c>
      <c r="N2342" s="1">
        <f t="shared" si="148"/>
        <v>1.2274458446097839E-2</v>
      </c>
      <c r="O2342" s="1"/>
    </row>
    <row r="2343" spans="1:15" x14ac:dyDescent="0.25">
      <c r="A2343">
        <v>4527</v>
      </c>
      <c r="B2343">
        <v>25865.234479999999</v>
      </c>
      <c r="C2343" s="1">
        <v>4.6099999999999999E-6</v>
      </c>
      <c r="D2343">
        <v>123889.6863</v>
      </c>
      <c r="E2343" s="1">
        <v>-4.74E-5</v>
      </c>
      <c r="F2343">
        <v>561801.61699999997</v>
      </c>
      <c r="G2343" s="1">
        <v>3.4199999999999998E-5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1.9070270542857946E-2</v>
      </c>
      <c r="M2343" s="1">
        <f t="shared" si="147"/>
        <v>-6.5762362614203151E-2</v>
      </c>
      <c r="N2343" s="1">
        <f t="shared" si="148"/>
        <v>2.2200811534024919E-2</v>
      </c>
      <c r="O2343" s="1"/>
    </row>
    <row r="2344" spans="1:15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6.9699999999999995E-7</v>
      </c>
      <c r="F2344">
        <v>84806.469379999995</v>
      </c>
      <c r="G2344" s="1">
        <v>-4.16E-6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-3.9492936294499995E-3</v>
      </c>
      <c r="M2344" s="1">
        <f t="shared" si="147"/>
        <v>9.2319903049293793E-3</v>
      </c>
      <c r="N2344" s="1">
        <f t="shared" si="148"/>
        <v>-2.5780988813049601E-2</v>
      </c>
      <c r="O2344" s="1"/>
    </row>
    <row r="2345" spans="1:15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3.1E-6</v>
      </c>
      <c r="F2345">
        <v>109919.6004</v>
      </c>
      <c r="G2345" s="1">
        <v>1.5E-5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2.154787879608E-2</v>
      </c>
      <c r="M2345" s="1">
        <f t="shared" si="147"/>
        <v>5.6007909578426406E-2</v>
      </c>
      <c r="N2345" s="1">
        <f t="shared" si="148"/>
        <v>0.12680097906924001</v>
      </c>
      <c r="O2345" s="1"/>
    </row>
    <row r="2346" spans="1:15" x14ac:dyDescent="0.25">
      <c r="A2346">
        <v>4530</v>
      </c>
      <c r="B2346">
        <v>31328.79565</v>
      </c>
      <c r="C2346">
        <v>0</v>
      </c>
      <c r="D2346">
        <v>108755.86079999999</v>
      </c>
      <c r="E2346">
        <v>0</v>
      </c>
      <c r="F2346">
        <v>398156.39659999998</v>
      </c>
      <c r="G2346" s="1">
        <v>-3.8699999999999999E-5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</v>
      </c>
      <c r="M2346" s="1">
        <f t="shared" si="147"/>
        <v>0</v>
      </c>
      <c r="N2346" s="1">
        <f t="shared" si="148"/>
        <v>-0.41743545438455104</v>
      </c>
      <c r="O2346" s="1"/>
    </row>
    <row r="2347" spans="1:15" x14ac:dyDescent="0.25">
      <c r="A2347">
        <v>4531</v>
      </c>
      <c r="B2347">
        <v>11714.363240000001</v>
      </c>
      <c r="C2347" s="1">
        <v>-3.7000000000000002E-6</v>
      </c>
      <c r="D2347">
        <v>75291.321060000002</v>
      </c>
      <c r="E2347" s="1">
        <v>3.2000000000000002E-8</v>
      </c>
      <c r="F2347">
        <v>322649.3296</v>
      </c>
      <c r="G2347" s="1">
        <v>-2.3200000000000001E-5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-8.7061139012126504E-2</v>
      </c>
      <c r="M2347" s="1">
        <f t="shared" si="147"/>
        <v>2.5253160322186884E-4</v>
      </c>
      <c r="N2347" s="1">
        <f t="shared" si="148"/>
        <v>-8.5663816780996341E-2</v>
      </c>
      <c r="O2347" s="1"/>
    </row>
    <row r="2348" spans="1:15" x14ac:dyDescent="0.25">
      <c r="A2348">
        <v>4532</v>
      </c>
      <c r="B2348">
        <v>44420.512300000002</v>
      </c>
      <c r="C2348" s="1">
        <v>3.1E-6</v>
      </c>
      <c r="D2348">
        <v>163397.57449999999</v>
      </c>
      <c r="E2348" s="1">
        <v>4.5899999999999998E-5</v>
      </c>
      <c r="F2348">
        <v>567653.8824</v>
      </c>
      <c r="G2348" s="1">
        <v>1.9700000000000001E-5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7.0232528975443242E-2</v>
      </c>
      <c r="M2348" s="1">
        <f t="shared" si="147"/>
        <v>0.34876463098465516</v>
      </c>
      <c r="N2348" s="1">
        <f t="shared" si="148"/>
        <v>7.0037341798141778E-2</v>
      </c>
      <c r="O2348" s="1"/>
    </row>
    <row r="2349" spans="1:15" x14ac:dyDescent="0.25">
      <c r="A2349">
        <v>4533</v>
      </c>
      <c r="B2349">
        <v>51025.22178</v>
      </c>
      <c r="C2349" s="1">
        <v>2.4700000000000001E-6</v>
      </c>
      <c r="D2349">
        <v>278756.02899999998</v>
      </c>
      <c r="E2349" s="1">
        <v>4.6100000000000002E-5</v>
      </c>
      <c r="F2349">
        <v>963045.36600000004</v>
      </c>
      <c r="G2349" s="1">
        <v>5.8000000000000004E-6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1.0039817129393676E-2</v>
      </c>
      <c r="M2349" s="1">
        <f t="shared" si="147"/>
        <v>6.2845315594506734E-2</v>
      </c>
      <c r="N2349" s="1">
        <f t="shared" si="148"/>
        <v>3.699505334007661E-3</v>
      </c>
      <c r="O2349" s="1"/>
    </row>
    <row r="2350" spans="1:15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5.2000000000000002E-8</v>
      </c>
      <c r="F2350">
        <v>256362.42170000001</v>
      </c>
      <c r="G2350" s="1">
        <v>4.8900000000000003E-5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-5.9015913019888504E-2</v>
      </c>
      <c r="M2350" s="1">
        <f t="shared" si="147"/>
        <v>3.9586058579494439E-4</v>
      </c>
      <c r="N2350" s="1">
        <f t="shared" si="148"/>
        <v>0.17417726092343189</v>
      </c>
      <c r="O2350" s="1"/>
    </row>
    <row r="2351" spans="1:15" x14ac:dyDescent="0.25">
      <c r="A2351">
        <v>4535</v>
      </c>
      <c r="B2351">
        <v>41829.46632</v>
      </c>
      <c r="C2351">
        <v>0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0</v>
      </c>
      <c r="M2351" s="1">
        <f t="shared" si="147"/>
        <v>3.1499902931261051E-2</v>
      </c>
      <c r="N2351" s="1">
        <f t="shared" si="148"/>
        <v>1.6418240690663017E-2</v>
      </c>
      <c r="O2351" s="1"/>
    </row>
    <row r="2352" spans="1:15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-4.9299999999999999E-5</v>
      </c>
      <c r="F2352">
        <v>754472.41859999998</v>
      </c>
      <c r="G2352" s="1">
        <v>-4.0899999999999998E-6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-3.468232706556345E-3</v>
      </c>
      <c r="M2352" s="1">
        <f t="shared" si="147"/>
        <v>-0.11872745402275413</v>
      </c>
      <c r="N2352" s="1">
        <f t="shared" si="148"/>
        <v>-4.6086234130312976E-3</v>
      </c>
      <c r="O2352" s="1"/>
    </row>
    <row r="2353" spans="1:15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-9.6700000000000006E-6</v>
      </c>
      <c r="F2353">
        <v>404433.05810000002</v>
      </c>
      <c r="G2353" s="1">
        <v>-1.0900000000000001E-5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-2.83425803152778E-3</v>
      </c>
      <c r="M2353" s="1">
        <f t="shared" si="147"/>
        <v>-8.924250912535403E-2</v>
      </c>
      <c r="N2353" s="1">
        <f t="shared" si="148"/>
        <v>-4.7066886922368725E-2</v>
      </c>
      <c r="O2353" s="1"/>
    </row>
    <row r="2354" spans="1:15" x14ac:dyDescent="0.25">
      <c r="A2354">
        <v>4538</v>
      </c>
      <c r="B2354">
        <v>12303.95666</v>
      </c>
      <c r="C2354" s="1">
        <v>5.6700000000000003E-7</v>
      </c>
      <c r="D2354">
        <v>103080.5626</v>
      </c>
      <c r="E2354" s="1">
        <v>4.4400000000000002E-5</v>
      </c>
      <c r="F2354">
        <v>456701.31099999999</v>
      </c>
      <c r="G2354" s="1">
        <v>9.5799999999999998E-6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7.3479592637164352E-3</v>
      </c>
      <c r="M2354" s="1">
        <f t="shared" si="147"/>
        <v>0.19297888293410423</v>
      </c>
      <c r="N2354" s="1">
        <f t="shared" si="148"/>
        <v>1.9482110633925253E-2</v>
      </c>
      <c r="O2354" s="1"/>
    </row>
    <row r="2355" spans="1:15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4.9100000000000004E-6</v>
      </c>
      <c r="F2355">
        <v>292520.56949999998</v>
      </c>
      <c r="G2355" s="1">
        <v>4.2799999999999997E-5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0.2377186664609835</v>
      </c>
      <c r="M2355" s="1">
        <f t="shared" si="147"/>
        <v>8.0053266070947787E-2</v>
      </c>
      <c r="N2355" s="1">
        <f t="shared" si="148"/>
        <v>0.3265013718112536</v>
      </c>
      <c r="O2355" s="1"/>
    </row>
    <row r="2356" spans="1:15" x14ac:dyDescent="0.25">
      <c r="A2356">
        <v>4540</v>
      </c>
      <c r="B2356">
        <v>9063.8867699999992</v>
      </c>
      <c r="C2356">
        <v>0</v>
      </c>
      <c r="D2356">
        <v>63520.000269999997</v>
      </c>
      <c r="E2356" s="1">
        <v>4.4700000000000004E-6</v>
      </c>
      <c r="F2356">
        <v>453534.56559999997</v>
      </c>
      <c r="G2356" s="1">
        <v>4.1499999999999999E-5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0</v>
      </c>
      <c r="M2356" s="1">
        <f t="shared" si="147"/>
        <v>3.5256011966720367E-2</v>
      </c>
      <c r="N2356" s="1">
        <f t="shared" si="148"/>
        <v>0.15315015357749656</v>
      </c>
      <c r="O2356" s="1"/>
    </row>
    <row r="2357" spans="1:15" x14ac:dyDescent="0.25">
      <c r="A2357">
        <v>4541</v>
      </c>
      <c r="B2357">
        <v>5419.3356329999997</v>
      </c>
      <c r="C2357" s="1">
        <v>2.8999999999999998E-7</v>
      </c>
      <c r="D2357">
        <v>30114.018919999999</v>
      </c>
      <c r="E2357" s="1">
        <v>-9.6299999999999993E-7</v>
      </c>
      <c r="F2357">
        <v>155689.25889999999</v>
      </c>
      <c r="G2357" s="1">
        <v>3.9799999999999998E-5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9.2382098138398244E-3</v>
      </c>
      <c r="M2357" s="1">
        <f t="shared" si="147"/>
        <v>-1.028867023373289E-2</v>
      </c>
      <c r="N2357" s="1">
        <f t="shared" si="148"/>
        <v>0.19895722313137484</v>
      </c>
      <c r="O2357" s="1"/>
    </row>
    <row r="2358" spans="1:15" x14ac:dyDescent="0.25">
      <c r="A2358">
        <v>4542</v>
      </c>
      <c r="B2358">
        <v>8735.7975449999994</v>
      </c>
      <c r="C2358" s="1">
        <v>-1E-8</v>
      </c>
      <c r="D2358">
        <v>37635.500079999998</v>
      </c>
      <c r="E2358" s="1">
        <v>-3.7799999999999998E-6</v>
      </c>
      <c r="F2358">
        <v>293300.69520000002</v>
      </c>
      <c r="G2358" s="1">
        <v>4.5000000000000003E-5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-3.0896777693535004E-4</v>
      </c>
      <c r="M2358" s="1">
        <f t="shared" si="147"/>
        <v>-3.916950875473936E-2</v>
      </c>
      <c r="N2358" s="1">
        <f t="shared" si="148"/>
        <v>0.21817878402050103</v>
      </c>
      <c r="O2358" s="1"/>
    </row>
    <row r="2359" spans="1:15" x14ac:dyDescent="0.25">
      <c r="A2359">
        <v>4543</v>
      </c>
      <c r="B2359">
        <v>61450.955540000003</v>
      </c>
      <c r="C2359">
        <v>0</v>
      </c>
      <c r="D2359">
        <v>257829.67850000001</v>
      </c>
      <c r="E2359" s="1">
        <v>-1.0499999999999999E-5</v>
      </c>
      <c r="F2359">
        <v>881600.13970000006</v>
      </c>
      <c r="G2359" s="1">
        <v>-2.1500000000000001E-5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0</v>
      </c>
      <c r="M2359" s="1">
        <f t="shared" si="147"/>
        <v>-3.18797448191208E-2</v>
      </c>
      <c r="N2359" s="1">
        <f t="shared" si="148"/>
        <v>-3.0542717513469601E-2</v>
      </c>
      <c r="O2359" s="1"/>
    </row>
    <row r="2360" spans="1:15" x14ac:dyDescent="0.25">
      <c r="A2360">
        <v>4544</v>
      </c>
      <c r="B2360">
        <v>27078.796979999999</v>
      </c>
      <c r="C2360" s="1">
        <v>-1.0699999999999999E-6</v>
      </c>
      <c r="D2360">
        <v>162081.1795</v>
      </c>
      <c r="E2360" s="1">
        <v>7.6699999999999994E-6</v>
      </c>
      <c r="F2360">
        <v>555593.36380000005</v>
      </c>
      <c r="G2360" s="1">
        <v>-1.0300000000000001E-6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-6.7278722096836248E-3</v>
      </c>
      <c r="M2360" s="1">
        <f t="shared" si="147"/>
        <v>1.6174559319803886E-2</v>
      </c>
      <c r="N2360" s="1">
        <f t="shared" si="148"/>
        <v>-1.0162908042406352E-3</v>
      </c>
      <c r="O2360" s="1"/>
    </row>
    <row r="2361" spans="1:15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3.3500000000000001E-6</v>
      </c>
      <c r="F2361">
        <v>259903.8707</v>
      </c>
      <c r="G2361" s="1">
        <v>2.19E-5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1.3899587305689149E-2</v>
      </c>
      <c r="M2361" s="1">
        <f t="shared" si="147"/>
        <v>9.9469560111168906E-2</v>
      </c>
      <c r="N2361" s="1">
        <f t="shared" si="148"/>
        <v>0.30425181894608938</v>
      </c>
      <c r="O2361" s="1"/>
    </row>
    <row r="2362" spans="1:15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4.0999999999999997E-6</v>
      </c>
      <c r="F2362">
        <v>339965.32410000003</v>
      </c>
      <c r="G2362" s="1">
        <v>-4.2500000000000003E-5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-6.2887391935877923E-3</v>
      </c>
      <c r="M2362" s="1">
        <f t="shared" si="147"/>
        <v>3.5586420330666467E-2</v>
      </c>
      <c r="N2362" s="1">
        <f t="shared" si="148"/>
        <v>-0.17259692563598028</v>
      </c>
      <c r="O2362" s="1"/>
    </row>
    <row r="2363" spans="1:15" x14ac:dyDescent="0.25">
      <c r="A2363">
        <v>4547</v>
      </c>
      <c r="B2363">
        <v>5178.9698500000004</v>
      </c>
      <c r="C2363" s="1">
        <v>-2.4299999999999999E-7</v>
      </c>
      <c r="D2363">
        <v>92782.31263</v>
      </c>
      <c r="E2363" s="1">
        <v>8.0200000000000001E-7</v>
      </c>
      <c r="F2363">
        <v>369113.77340000001</v>
      </c>
      <c r="G2363" s="1">
        <v>4.3099999999999997E-5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-8.2459624549506751E-3</v>
      </c>
      <c r="M2363" s="1">
        <f t="shared" si="147"/>
        <v>9.1275156174343546E-3</v>
      </c>
      <c r="N2363" s="1">
        <f t="shared" si="148"/>
        <v>0.2295087062010393</v>
      </c>
      <c r="O2363" s="1"/>
    </row>
    <row r="2364" spans="1:15" x14ac:dyDescent="0.25">
      <c r="A2364">
        <v>4548</v>
      </c>
      <c r="B2364">
        <v>9782.8340219999991</v>
      </c>
      <c r="C2364" s="1">
        <v>2.5699999999999999E-7</v>
      </c>
      <c r="D2364">
        <v>108681.34480000001</v>
      </c>
      <c r="E2364" s="1">
        <v>-2.4899999999999999E-5</v>
      </c>
      <c r="F2364">
        <v>419703.06310000003</v>
      </c>
      <c r="G2364" s="1">
        <v>1.5500000000000001E-5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6.6400704147106873E-3</v>
      </c>
      <c r="M2364" s="1">
        <f t="shared" si="147"/>
        <v>-0.21576552065329274</v>
      </c>
      <c r="N2364" s="1">
        <f t="shared" si="148"/>
        <v>6.2843168666013749E-2</v>
      </c>
      <c r="O2364" s="1"/>
    </row>
    <row r="2365" spans="1:15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-4.78E-6</v>
      </c>
      <c r="F2365">
        <v>278568.65299999999</v>
      </c>
      <c r="G2365" s="1">
        <v>1.52E-5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-1.7327990847399048E-2</v>
      </c>
      <c r="M2365" s="1">
        <f t="shared" si="147"/>
        <v>-8.0988829704524354E-2</v>
      </c>
      <c r="N2365" s="1">
        <f t="shared" si="148"/>
        <v>0.12049929136491359</v>
      </c>
      <c r="O2365" s="1"/>
    </row>
    <row r="2366" spans="1:15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-4.4299999999999999E-5</v>
      </c>
      <c r="F2366">
        <v>547994.06310000003</v>
      </c>
      <c r="G2366" s="1">
        <v>-4.2899999999999999E-5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9.6958843128447311E-3</v>
      </c>
      <c r="M2366" s="1">
        <f t="shared" si="147"/>
        <v>-0.40352093584514848</v>
      </c>
      <c r="N2366" s="1">
        <f t="shared" si="148"/>
        <v>-0.1828366756136435</v>
      </c>
      <c r="O2366" s="1"/>
    </row>
    <row r="2367" spans="1:15" x14ac:dyDescent="0.25">
      <c r="A2367">
        <v>4551</v>
      </c>
      <c r="B2367">
        <v>17443.756819999999</v>
      </c>
      <c r="C2367" s="1">
        <v>-3.2499999999999998E-6</v>
      </c>
      <c r="D2367">
        <v>118883.31230000001</v>
      </c>
      <c r="E2367" s="1">
        <v>-6.6699999999999997E-6</v>
      </c>
      <c r="F2367">
        <v>487674.6936</v>
      </c>
      <c r="G2367" s="1">
        <v>4.6900000000000002E-5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-5.0360144455627504E-2</v>
      </c>
      <c r="M2367" s="1">
        <f t="shared" si="147"/>
        <v>-3.4663513205751346E-2</v>
      </c>
      <c r="N2367" s="1">
        <f t="shared" si="148"/>
        <v>0.11404159008134006</v>
      </c>
      <c r="O2367" s="1"/>
    </row>
    <row r="2368" spans="1:15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2.9699999999999999E-6</v>
      </c>
      <c r="F2368">
        <v>242553.94560000001</v>
      </c>
      <c r="G2368" s="1">
        <v>-1.8E-5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7.4601827068269157E-3</v>
      </c>
      <c r="M2368" s="1">
        <f t="shared" si="147"/>
        <v>2.4205311427522698E-2</v>
      </c>
      <c r="N2368" s="1">
        <f t="shared" si="148"/>
        <v>-6.8638914806986806E-2</v>
      </c>
      <c r="O2368" s="1"/>
    </row>
    <row r="2369" spans="1:15" x14ac:dyDescent="0.25">
      <c r="A2369">
        <v>4553</v>
      </c>
      <c r="B2369">
        <v>16672.708320000002</v>
      </c>
      <c r="C2369" s="1">
        <v>4.2599999999999999E-6</v>
      </c>
      <c r="D2369">
        <v>179244.41089999999</v>
      </c>
      <c r="E2369" s="1">
        <v>3.8800000000000001E-5</v>
      </c>
      <c r="F2369">
        <v>739862.11380000005</v>
      </c>
      <c r="G2369" s="1">
        <v>-8.7700000000000007E-6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7.8244516970160452E-2</v>
      </c>
      <c r="M2369" s="1">
        <f t="shared" si="147"/>
        <v>0.23901170904312216</v>
      </c>
      <c r="N2369" s="1">
        <f t="shared" si="148"/>
        <v>-2.5277302351205254E-2</v>
      </c>
      <c r="O2369" s="1"/>
    </row>
    <row r="2370" spans="1:15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3.41E-6</v>
      </c>
      <c r="F2370">
        <v>364183.55810000002</v>
      </c>
      <c r="G2370" s="1">
        <v>-1.0900000000000001E-5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3.0437906294302649E-2</v>
      </c>
      <c r="M2370" s="1">
        <f t="shared" si="147"/>
        <v>1.1720761865350274E-2</v>
      </c>
      <c r="N2370" s="1">
        <f t="shared" si="148"/>
        <v>-1.7529585194512143E-2</v>
      </c>
      <c r="O2370" s="1"/>
    </row>
    <row r="2371" spans="1:15" x14ac:dyDescent="0.25">
      <c r="A2371">
        <v>4555</v>
      </c>
      <c r="B2371">
        <v>17327.19169</v>
      </c>
      <c r="C2371" s="1">
        <v>4.0500000000000002E-6</v>
      </c>
      <c r="D2371">
        <v>143715.2237</v>
      </c>
      <c r="E2371" s="1">
        <v>2.2900000000000001E-5</v>
      </c>
      <c r="F2371">
        <v>534184.29350000003</v>
      </c>
      <c r="G2371" s="1">
        <v>2.27E-5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6.3339733656693001E-2</v>
      </c>
      <c r="M2371" s="1">
        <f t="shared" ref="M2371:M2434" si="151">$U$3*$K2371*E2371</f>
        <v>0.1201157144770913</v>
      </c>
      <c r="N2371" s="1">
        <f t="shared" ref="N2371:N2434" si="152">$U$4*$K2371*G2371</f>
        <v>5.5710092804826965E-2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 s="1">
        <v>5.5000000000000003E-8</v>
      </c>
      <c r="F2372">
        <v>55156.599139999998</v>
      </c>
      <c r="G2372" s="1">
        <v>-2.9000000000000002E-6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1.66397088987668E-3</v>
      </c>
      <c r="N2372" s="1">
        <f t="shared" si="152"/>
        <v>-4.1051091678525602E-2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-1.1999999999999999E-6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-1.8554977252890001E-2</v>
      </c>
      <c r="O2373" s="1"/>
    </row>
    <row r="2374" spans="1:15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3.14E-6</v>
      </c>
      <c r="F2374">
        <v>65433.838830000001</v>
      </c>
      <c r="G2374" s="1">
        <v>-4.7899999999999999E-6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-9.1685877926500001E-3</v>
      </c>
      <c r="M2374" s="1">
        <f t="shared" si="151"/>
        <v>4.8277551660190599E-2</v>
      </c>
      <c r="N2374" s="1">
        <f t="shared" si="152"/>
        <v>-3.4458374028714905E-2</v>
      </c>
      <c r="O2374" s="1"/>
    </row>
    <row r="2375" spans="1:15" x14ac:dyDescent="0.25">
      <c r="A2375">
        <v>4559</v>
      </c>
      <c r="B2375">
        <v>47350.430809999998</v>
      </c>
      <c r="C2375" s="1">
        <v>-5.5700000000000002E-7</v>
      </c>
      <c r="D2375">
        <v>165417.7084</v>
      </c>
      <c r="E2375" s="1">
        <v>2.8600000000000001E-5</v>
      </c>
      <c r="F2375">
        <v>503142.50319999998</v>
      </c>
      <c r="G2375" s="1">
        <v>2.7500000000000001E-5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-3.5339907127546781E-3</v>
      </c>
      <c r="M2375" s="1">
        <f t="shared" si="151"/>
        <v>6.085823862969994E-2</v>
      </c>
      <c r="N2375" s="1">
        <f t="shared" si="152"/>
        <v>2.7379765085697751E-2</v>
      </c>
      <c r="O2375" s="1"/>
    </row>
    <row r="2376" spans="1:15" x14ac:dyDescent="0.25">
      <c r="A2376">
        <v>4560</v>
      </c>
      <c r="B2376">
        <v>30549.53946</v>
      </c>
      <c r="C2376" s="1">
        <v>3.3900000000000002E-6</v>
      </c>
      <c r="D2376">
        <v>113794.5248</v>
      </c>
      <c r="E2376" s="1">
        <v>-5.6699999999999999E-6</v>
      </c>
      <c r="F2376">
        <v>407121.33140000002</v>
      </c>
      <c r="G2376" s="1">
        <v>1.98E-5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3.0092023386943053E-2</v>
      </c>
      <c r="M2376" s="1">
        <f t="shared" si="151"/>
        <v>-1.6880211675817939E-2</v>
      </c>
      <c r="N2376" s="1">
        <f t="shared" si="152"/>
        <v>2.7580599243145085E-2</v>
      </c>
      <c r="O2376" s="1"/>
    </row>
    <row r="2377" spans="1:15" x14ac:dyDescent="0.25">
      <c r="A2377">
        <v>4561</v>
      </c>
      <c r="B2377">
        <v>7042.4637720000001</v>
      </c>
      <c r="C2377" s="1">
        <v>-9.9999999999999995E-8</v>
      </c>
      <c r="D2377">
        <v>34259.740460000001</v>
      </c>
      <c r="E2377" s="1">
        <v>-3.18E-6</v>
      </c>
      <c r="F2377">
        <v>94762.289480000007</v>
      </c>
      <c r="G2377" s="1">
        <v>3.0900000000000001E-6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-2.9582950341197497E-3</v>
      </c>
      <c r="M2377" s="1">
        <f t="shared" si="151"/>
        <v>-3.1550899222356543E-2</v>
      </c>
      <c r="N2377" s="1">
        <f t="shared" si="152"/>
        <v>1.4344545059290198E-2</v>
      </c>
      <c r="O2377" s="1"/>
    </row>
    <row r="2378" spans="1:15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3.3299999999999999E-6</v>
      </c>
      <c r="F2378">
        <v>94191.477310000002</v>
      </c>
      <c r="G2378" s="1">
        <v>4.1899999999999997E-6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-1.7018152413892498E-2</v>
      </c>
      <c r="M2378" s="1">
        <f t="shared" si="151"/>
        <v>6.3354654170980115E-2</v>
      </c>
      <c r="N2378" s="1">
        <f t="shared" si="152"/>
        <v>3.7298553736663471E-2</v>
      </c>
      <c r="O2378" s="1"/>
    </row>
    <row r="2379" spans="1:15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-1.61E-6</v>
      </c>
      <c r="F2379">
        <v>98728.466350000002</v>
      </c>
      <c r="G2379" s="1">
        <v>3.5899999999999999E-6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-5.4881987380593746E-3</v>
      </c>
      <c r="M2379" s="1">
        <f t="shared" si="151"/>
        <v>-2.0437644488955749E-2</v>
      </c>
      <c r="N2379" s="1">
        <f t="shared" si="152"/>
        <v>2.132274391408575E-2</v>
      </c>
      <c r="O2379" s="1"/>
    </row>
    <row r="2380" spans="1:15" x14ac:dyDescent="0.25">
      <c r="A2380">
        <v>4564</v>
      </c>
      <c r="B2380">
        <v>13471.2659</v>
      </c>
      <c r="C2380">
        <v>0</v>
      </c>
      <c r="D2380">
        <v>57017.29406</v>
      </c>
      <c r="E2380" s="1">
        <v>1.3E-6</v>
      </c>
      <c r="F2380">
        <v>145183.49789999999</v>
      </c>
      <c r="G2380" s="1">
        <v>4.3000000000000002E-5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0</v>
      </c>
      <c r="M2380" s="1">
        <f t="shared" si="151"/>
        <v>1.2070119785610121E-2</v>
      </c>
      <c r="N2380" s="1">
        <f t="shared" si="152"/>
        <v>0.1868015009868948</v>
      </c>
      <c r="O2380" s="1"/>
    </row>
    <row r="2381" spans="1:15" x14ac:dyDescent="0.25">
      <c r="A2381">
        <v>4565</v>
      </c>
      <c r="B2381">
        <v>16072.769490000001</v>
      </c>
      <c r="C2381" s="1">
        <v>2.48E-6</v>
      </c>
      <c r="D2381">
        <v>90188.178270000004</v>
      </c>
      <c r="E2381" s="1">
        <v>1.3E-7</v>
      </c>
      <c r="F2381">
        <v>324252.28249999997</v>
      </c>
      <c r="G2381" s="1">
        <v>4.6799999999999999E-5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4.2073716104287402E-2</v>
      </c>
      <c r="M2381" s="1">
        <f t="shared" si="151"/>
        <v>7.3968307344634307E-4</v>
      </c>
      <c r="N2381" s="1">
        <f t="shared" si="152"/>
        <v>0.12459248833463173</v>
      </c>
      <c r="O2381" s="1"/>
    </row>
    <row r="2382" spans="1:15" x14ac:dyDescent="0.25">
      <c r="A2382">
        <v>4566</v>
      </c>
      <c r="B2382">
        <v>2754.6487940000002</v>
      </c>
      <c r="C2382">
        <v>0</v>
      </c>
      <c r="D2382">
        <v>34683.297809999996</v>
      </c>
      <c r="E2382" s="1">
        <v>-4.9100000000000004E-6</v>
      </c>
      <c r="F2382">
        <v>99336.725590000002</v>
      </c>
      <c r="G2382" s="1">
        <v>3.5999999999999998E-6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0</v>
      </c>
      <c r="M2382" s="1">
        <f t="shared" si="151"/>
        <v>-5.6455812321574185E-2</v>
      </c>
      <c r="N2382" s="1">
        <f t="shared" si="152"/>
        <v>1.9367490316039199E-2</v>
      </c>
      <c r="O2382" s="1"/>
    </row>
    <row r="2383" spans="1:15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3.7000000000000002E-6</v>
      </c>
      <c r="F2383">
        <v>169778.4166</v>
      </c>
      <c r="G2383" s="1">
        <v>-3.9700000000000003E-5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-5.5266807914053119E-3</v>
      </c>
      <c r="M2383" s="1">
        <f t="shared" si="151"/>
        <v>3.7071274231580249E-2</v>
      </c>
      <c r="N2383" s="1">
        <f t="shared" si="152"/>
        <v>-0.18611011390200977</v>
      </c>
      <c r="O2383" s="1"/>
    </row>
    <row r="2384" spans="1:15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3.2500000000000001E-7</v>
      </c>
      <c r="F2384">
        <v>152899.0938</v>
      </c>
      <c r="G2384" s="1">
        <v>-7.1099999999999997E-6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6.5638322408618369E-3</v>
      </c>
      <c r="M2384" s="1">
        <f t="shared" si="151"/>
        <v>2.4252803873014927E-3</v>
      </c>
      <c r="N2384" s="1">
        <f t="shared" si="152"/>
        <v>-2.4825149505699202E-2</v>
      </c>
      <c r="O2384" s="1"/>
    </row>
    <row r="2385" spans="1:15" x14ac:dyDescent="0.25">
      <c r="A2385">
        <v>4569</v>
      </c>
      <c r="B2385">
        <v>10792.03564</v>
      </c>
      <c r="C2385">
        <v>0</v>
      </c>
      <c r="D2385">
        <v>47204.260950000004</v>
      </c>
      <c r="E2385" s="1">
        <v>2.0999999999999998E-6</v>
      </c>
      <c r="F2385">
        <v>142646.2922</v>
      </c>
      <c r="G2385" s="1">
        <v>-4.4100000000000001E-5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0</v>
      </c>
      <c r="M2385" s="1">
        <f t="shared" si="151"/>
        <v>1.809932594482299E-2</v>
      </c>
      <c r="N2385" s="1">
        <f t="shared" si="152"/>
        <v>-0.17783833107252683</v>
      </c>
      <c r="O2385" s="1"/>
    </row>
    <row r="2386" spans="1:15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-5.0000000000000004E-6</v>
      </c>
      <c r="F2386">
        <v>171639.00959999999</v>
      </c>
      <c r="G2386" s="1">
        <v>-2.2500000000000001E-5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-9.8298744912383926E-2</v>
      </c>
      <c r="M2386" s="1">
        <f t="shared" si="151"/>
        <v>-4.5916276817869507E-2</v>
      </c>
      <c r="N2386" s="1">
        <f t="shared" si="152"/>
        <v>-9.6676931465147262E-2</v>
      </c>
      <c r="O2386" s="1"/>
    </row>
    <row r="2387" spans="1:15" x14ac:dyDescent="0.25">
      <c r="A2387">
        <v>4571</v>
      </c>
      <c r="B2387">
        <v>46219.118060000001</v>
      </c>
      <c r="C2387">
        <v>0</v>
      </c>
      <c r="D2387">
        <v>160282.027</v>
      </c>
      <c r="E2387" s="1">
        <v>-3.0599999999999998E-5</v>
      </c>
      <c r="F2387">
        <v>534296.42350000003</v>
      </c>
      <c r="G2387" s="1">
        <v>2.2200000000000001E-5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0</v>
      </c>
      <c r="M2387" s="1">
        <f t="shared" si="151"/>
        <v>-5.9022847961744944E-2</v>
      </c>
      <c r="N2387" s="1">
        <f t="shared" si="152"/>
        <v>2.0035278665913425E-2</v>
      </c>
      <c r="O2387" s="1"/>
    </row>
    <row r="2388" spans="1:15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-2.4700000000000001E-6</v>
      </c>
      <c r="F2388">
        <v>78483.06379</v>
      </c>
      <c r="G2388" s="1">
        <v>4.4499999999999997E-6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-4.8675878749504502E-3</v>
      </c>
      <c r="M2388" s="1">
        <f t="shared" si="151"/>
        <v>-1.0339255886176802E-2</v>
      </c>
      <c r="N2388" s="1">
        <f t="shared" si="152"/>
        <v>8.7155745027219303E-3</v>
      </c>
      <c r="O2388" s="1"/>
    </row>
    <row r="2389" spans="1:15" x14ac:dyDescent="0.25">
      <c r="A2389">
        <v>4573</v>
      </c>
      <c r="B2389">
        <v>33248.81854</v>
      </c>
      <c r="C2389" s="1">
        <v>-4.25E-6</v>
      </c>
      <c r="D2389">
        <v>218289.3603</v>
      </c>
      <c r="E2389" s="1">
        <v>3.7400000000000001E-5</v>
      </c>
      <c r="F2389">
        <v>796632.86580000003</v>
      </c>
      <c r="G2389" s="1">
        <v>1.7E-5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-3.0991023804154375E-2</v>
      </c>
      <c r="M2389" s="1">
        <f t="shared" si="151"/>
        <v>9.1466430870599622E-2</v>
      </c>
      <c r="N2389" s="1">
        <f t="shared" si="152"/>
        <v>1.9452827249376903E-2</v>
      </c>
      <c r="O2389" s="1"/>
    </row>
    <row r="2390" spans="1:15" x14ac:dyDescent="0.25">
      <c r="A2390">
        <v>4574</v>
      </c>
      <c r="B2390">
        <v>36542.601340000001</v>
      </c>
      <c r="C2390" s="1">
        <v>4.4399999999999998E-6</v>
      </c>
      <c r="D2390">
        <v>241282.90040000001</v>
      </c>
      <c r="E2390" s="1">
        <v>-3.5099999999999999E-5</v>
      </c>
      <c r="F2390">
        <v>889799.70299999998</v>
      </c>
      <c r="G2390" s="1">
        <v>4.9200000000000003E-5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4.0572734354209203E-2</v>
      </c>
      <c r="M2390" s="1">
        <f t="shared" si="151"/>
        <v>-0.10757257405805197</v>
      </c>
      <c r="N2390" s="1">
        <f t="shared" si="152"/>
        <v>7.0551008344824487E-2</v>
      </c>
      <c r="O2390" s="1"/>
    </row>
    <row r="2391" spans="1:15" x14ac:dyDescent="0.25">
      <c r="A2391">
        <v>4575</v>
      </c>
      <c r="B2391">
        <v>27890.06177</v>
      </c>
      <c r="C2391" s="1">
        <v>-4.3000000000000001E-8</v>
      </c>
      <c r="D2391">
        <v>210855.55110000001</v>
      </c>
      <c r="E2391" s="1">
        <v>8.8300000000000002E-6</v>
      </c>
      <c r="F2391">
        <v>709779.7254</v>
      </c>
      <c r="G2391" s="1">
        <v>1.17E-5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-1.051922875551535E-3</v>
      </c>
      <c r="M2391" s="1">
        <f t="shared" si="151"/>
        <v>7.2446812882439052E-2</v>
      </c>
      <c r="N2391" s="1">
        <f t="shared" si="152"/>
        <v>4.491466045378182E-2</v>
      </c>
      <c r="O2391" s="1"/>
    </row>
    <row r="2392" spans="1:15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-4.5499999999999996E-6</v>
      </c>
      <c r="F2392">
        <v>176349.01879999999</v>
      </c>
      <c r="G2392" s="1">
        <v>4.6100000000000002E-5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1.0887791471569999E-2</v>
      </c>
      <c r="M2392" s="1">
        <f t="shared" si="151"/>
        <v>-8.3073848928079091E-2</v>
      </c>
      <c r="N2392" s="1">
        <f t="shared" si="152"/>
        <v>0.39381979275089585</v>
      </c>
      <c r="O2392" s="1"/>
    </row>
    <row r="2393" spans="1:15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-4.5299999999999999E-7</v>
      </c>
      <c r="F2393">
        <v>304858.83649999998</v>
      </c>
      <c r="G2393" s="1">
        <v>-5.0100000000000003E-6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-1.7810878747642499E-2</v>
      </c>
      <c r="M2393" s="1">
        <f t="shared" si="151"/>
        <v>-9.0199770248445502E-3</v>
      </c>
      <c r="N2393" s="1">
        <f t="shared" si="152"/>
        <v>-4.6675462859591135E-2</v>
      </c>
      <c r="O2393" s="1"/>
    </row>
    <row r="2394" spans="1:15" x14ac:dyDescent="0.25">
      <c r="A2394">
        <v>4578</v>
      </c>
      <c r="B2394">
        <v>3708.6332470000002</v>
      </c>
      <c r="C2394" s="1">
        <v>5.7000000000000001E-8</v>
      </c>
      <c r="D2394">
        <v>44570.359949999998</v>
      </c>
      <c r="E2394" s="1">
        <v>-2.9799999999999998E-6</v>
      </c>
      <c r="F2394">
        <v>302729.82799999998</v>
      </c>
      <c r="G2394" s="1">
        <v>2.23E-5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2.99081848692705E-3</v>
      </c>
      <c r="M2394" s="1">
        <f t="shared" si="151"/>
        <v>-5.2441439186161634E-2</v>
      </c>
      <c r="N2394" s="1">
        <f t="shared" si="152"/>
        <v>0.18361445965895459</v>
      </c>
      <c r="O2394" s="1"/>
    </row>
    <row r="2395" spans="1:15" x14ac:dyDescent="0.25">
      <c r="A2395">
        <v>4579</v>
      </c>
      <c r="B2395">
        <v>3726.2697210000001</v>
      </c>
      <c r="C2395" s="1">
        <v>9.9999999999999995E-8</v>
      </c>
      <c r="D2395">
        <v>43250.689960000003</v>
      </c>
      <c r="E2395" s="1">
        <v>4.5600000000000004E-6</v>
      </c>
      <c r="F2395">
        <v>724669.44010000001</v>
      </c>
      <c r="G2395">
        <v>0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4.7594455553125001E-3</v>
      </c>
      <c r="M2395" s="1">
        <f t="shared" si="151"/>
        <v>7.278876365577E-2</v>
      </c>
      <c r="N2395" s="1">
        <f t="shared" si="152"/>
        <v>0</v>
      </c>
      <c r="O2395" s="1"/>
    </row>
    <row r="2396" spans="1:15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-2.2299999999999998E-6</v>
      </c>
      <c r="F2396">
        <v>207484.3731</v>
      </c>
      <c r="G2396" s="1">
        <v>3.01E-5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5.0358049800859131E-3</v>
      </c>
      <c r="M2396" s="1">
        <f t="shared" si="151"/>
        <v>-9.2995488433768869E-3</v>
      </c>
      <c r="N2396" s="1">
        <f t="shared" si="152"/>
        <v>5.8730972269172919E-2</v>
      </c>
      <c r="O2396" s="1"/>
    </row>
    <row r="2397" spans="1:15" x14ac:dyDescent="0.25">
      <c r="A2397">
        <v>4581</v>
      </c>
      <c r="B2397">
        <v>37948.127959999998</v>
      </c>
      <c r="C2397" s="1">
        <v>-3.9600000000000002E-6</v>
      </c>
      <c r="D2397">
        <v>160333.7972</v>
      </c>
      <c r="E2397" s="1">
        <v>-4.9999999999999998E-7</v>
      </c>
      <c r="F2397">
        <v>383858.59409999999</v>
      </c>
      <c r="G2397" s="1">
        <v>4.7899999999999999E-5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-2.6093888461683902E-2</v>
      </c>
      <c r="M2397" s="1">
        <f t="shared" si="151"/>
        <v>-1.10498595272865E-3</v>
      </c>
      <c r="N2397" s="1">
        <f t="shared" si="152"/>
        <v>4.9529728145336134E-2</v>
      </c>
      <c r="O2397" s="1"/>
    </row>
    <row r="2398" spans="1:15" x14ac:dyDescent="0.25">
      <c r="A2398">
        <v>4582</v>
      </c>
      <c r="B2398">
        <v>18139.249769999999</v>
      </c>
      <c r="C2398" s="1">
        <v>1.86E-6</v>
      </c>
      <c r="D2398">
        <v>169753.32459999999</v>
      </c>
      <c r="E2398" s="1">
        <v>3.8999999999999999E-5</v>
      </c>
      <c r="F2398">
        <v>582138.83440000005</v>
      </c>
      <c r="G2398" s="1">
        <v>1.81E-6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8.9196720020596493E-3</v>
      </c>
      <c r="M2398" s="1">
        <f t="shared" si="151"/>
        <v>6.2725435369322693E-2</v>
      </c>
      <c r="N2398" s="1">
        <f t="shared" si="152"/>
        <v>1.3620759677586871E-3</v>
      </c>
      <c r="O2398" s="1"/>
    </row>
    <row r="2399" spans="1:15" x14ac:dyDescent="0.25">
      <c r="A2399">
        <v>4583</v>
      </c>
      <c r="B2399">
        <v>9496.2286960000001</v>
      </c>
      <c r="C2399" s="1">
        <v>-3.4999999999999998E-7</v>
      </c>
      <c r="D2399">
        <v>63730.087879999999</v>
      </c>
      <c r="E2399" s="1">
        <v>7.1500000000000004E-7</v>
      </c>
      <c r="F2399">
        <v>241067.6361</v>
      </c>
      <c r="G2399" s="1">
        <v>-4.3900000000000003E-5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-4.6728637448447503E-3</v>
      </c>
      <c r="M2399" s="1">
        <f t="shared" si="151"/>
        <v>3.2015792171822032E-3</v>
      </c>
      <c r="N2399" s="1">
        <f t="shared" si="152"/>
        <v>-9.1974282534794838E-2</v>
      </c>
      <c r="O2399" s="1"/>
    </row>
    <row r="2400" spans="1:15" x14ac:dyDescent="0.25">
      <c r="A2400">
        <v>4584</v>
      </c>
      <c r="B2400">
        <v>16993.141810000001</v>
      </c>
      <c r="C2400" s="1">
        <v>7.5700000000000002E-7</v>
      </c>
      <c r="D2400">
        <v>170535.81580000001</v>
      </c>
      <c r="E2400" s="1">
        <v>2.7900000000000001E-5</v>
      </c>
      <c r="F2400">
        <v>596192.08700000006</v>
      </c>
      <c r="G2400" s="1">
        <v>-3.49E-6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2.7439222886001874E-3</v>
      </c>
      <c r="M2400" s="1">
        <f t="shared" si="151"/>
        <v>3.3917455835228254E-2</v>
      </c>
      <c r="N2400" s="1">
        <f t="shared" si="152"/>
        <v>-1.9851264227129252E-3</v>
      </c>
      <c r="O2400" s="1"/>
    </row>
    <row r="2401" spans="1:15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-1.13E-6</v>
      </c>
      <c r="F2401">
        <v>167894.88529999999</v>
      </c>
      <c r="G2401" s="1">
        <v>-1.1E-5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-5.7277671885198382E-2</v>
      </c>
      <c r="M2401" s="1">
        <f t="shared" si="151"/>
        <v>-9.1592221306067943E-3</v>
      </c>
      <c r="N2401" s="1">
        <f t="shared" si="152"/>
        <v>-4.1717330642773505E-2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1E-8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1.5320693320380001E-4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>
        <v>0</v>
      </c>
      <c r="F2408">
        <v>3663.8514850000001</v>
      </c>
      <c r="G2408" s="1">
        <v>-8.9999999999999999E-8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0</v>
      </c>
      <c r="N2408" s="1">
        <f t="shared" si="152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6.4620238949227998E-3</v>
      </c>
      <c r="N2409" s="1">
        <f t="shared" si="152"/>
        <v>6.1982073230658604E-3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1.25988996498909E-2</v>
      </c>
      <c r="N2410" s="1">
        <f t="shared" si="152"/>
        <v>8.0563606018109694E-3</v>
      </c>
      <c r="O2410" s="1"/>
    </row>
    <row r="2411" spans="1:15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>
        <v>0</v>
      </c>
      <c r="F2411">
        <v>4675.8849959999998</v>
      </c>
      <c r="G2411" s="1">
        <v>1E-8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-5.031303829409E-2</v>
      </c>
      <c r="M2411" s="1">
        <f t="shared" si="151"/>
        <v>0</v>
      </c>
      <c r="N2411" s="1">
        <f t="shared" si="152"/>
        <v>1.9738191946143001E-4</v>
      </c>
      <c r="O2411" s="1"/>
    </row>
    <row r="2412" spans="1:15" x14ac:dyDescent="0.25">
      <c r="A2412">
        <v>4612</v>
      </c>
      <c r="B2412">
        <v>1272.4149070000001</v>
      </c>
      <c r="C2412">
        <v>0</v>
      </c>
      <c r="D2412">
        <v>21789.919600000001</v>
      </c>
      <c r="E2412" s="1">
        <v>2.3099999999999999E-6</v>
      </c>
      <c r="F2412">
        <v>69558.725829999996</v>
      </c>
      <c r="G2412" s="1">
        <v>2.3300000000000001E-6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0</v>
      </c>
      <c r="M2412" s="1">
        <f t="shared" si="151"/>
        <v>7.7598274109908855E-2</v>
      </c>
      <c r="N2412" s="1">
        <f t="shared" si="152"/>
        <v>3.662179956503623E-2</v>
      </c>
      <c r="O2412" s="1"/>
    </row>
    <row r="2413" spans="1:15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4.5391140197324997E-4</v>
      </c>
      <c r="M2413" s="1">
        <f t="shared" si="151"/>
        <v>-5.9371611378101104E-3</v>
      </c>
      <c r="N2413" s="1">
        <f t="shared" si="152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>
        <v>0</v>
      </c>
      <c r="D2415" s="1">
        <v>4.95E-6</v>
      </c>
      <c r="E2415">
        <v>0</v>
      </c>
      <c r="F2415" s="1">
        <v>4.95E-6</v>
      </c>
      <c r="G2415">
        <v>0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0</v>
      </c>
      <c r="M2415" s="1">
        <f t="shared" si="151"/>
        <v>0</v>
      </c>
      <c r="N2415" s="1">
        <f t="shared" si="152"/>
        <v>0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-5.5785165600354999E-2</v>
      </c>
      <c r="N2416" s="1">
        <f t="shared" si="152"/>
        <v>-2.6101316014845E-2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-9.9999999999999995E-8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-3.3915392745848998E-3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5.0952205682192997E-2</v>
      </c>
      <c r="N2418" s="1">
        <f t="shared" si="152"/>
        <v>2.3840022842126999E-2</v>
      </c>
      <c r="O2418" s="1"/>
    </row>
    <row r="2419" spans="1:15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-4.9999999999999998E-7</v>
      </c>
      <c r="F2419">
        <v>7520.0428220000003</v>
      </c>
      <c r="G2419">
        <v>0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1.5311241294082499E-2</v>
      </c>
      <c r="M2419" s="1">
        <f t="shared" si="151"/>
        <v>-8.5585912874614981E-3</v>
      </c>
      <c r="N2419" s="1">
        <f t="shared" si="152"/>
        <v>0</v>
      </c>
      <c r="O2419" s="1"/>
    </row>
    <row r="2420" spans="1:15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1.7218006381777499E-2</v>
      </c>
      <c r="M2420" s="1">
        <f t="shared" si="151"/>
        <v>5.7746544480422992E-3</v>
      </c>
      <c r="N2420" s="1">
        <f t="shared" si="152"/>
        <v>1.8012683599398002E-3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1.6329347782480502E-2</v>
      </c>
      <c r="N2421" s="1">
        <f t="shared" si="152"/>
        <v>5.0935580238930002E-3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4.0965045677964003E-2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9.4576524616089008E-3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 s="1">
        <v>2.4999999999999999E-7</v>
      </c>
      <c r="F2424">
        <v>7707.4362440000004</v>
      </c>
      <c r="G2424">
        <v>0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2.0445282483587998E-2</v>
      </c>
      <c r="N2424" s="1">
        <f t="shared" si="152"/>
        <v>0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-4.9999999999999998E-8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-1.5625644681890999E-3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>
        <v>0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0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1.3169244724993799E-2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-4.6715318893628998E-3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8.313740983263599E-3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6.3149204208875105E-3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 s="1">
        <v>-4.9999999999999998E-7</v>
      </c>
      <c r="F2435">
        <v>3600.7949440000002</v>
      </c>
      <c r="G2435">
        <v>0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-2.2771515006389999E-2</v>
      </c>
      <c r="N2435" s="1">
        <f t="shared" ref="N2435:N2498" si="156">$U$4*$K2435*G2435</f>
        <v>0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7.7807119728803996E-3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2.4652717484339999E-3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8.3968665065999992E-3</v>
      </c>
      <c r="M2443" s="1">
        <f t="shared" si="155"/>
        <v>0</v>
      </c>
      <c r="N2443" s="1">
        <f t="shared" si="156"/>
        <v>-1.1793076052115601E-2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9.307959579684999E-3</v>
      </c>
      <c r="M2445" s="1">
        <f t="shared" si="155"/>
        <v>3.1217464436481997E-3</v>
      </c>
      <c r="N2445" s="1">
        <f t="shared" si="156"/>
        <v>8.7638019427188005E-3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1.7157126301200001E-2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 s="1">
        <v>-1.9999999999999999E-7</v>
      </c>
      <c r="F2447">
        <v>20209.7029</v>
      </c>
      <c r="G2447" s="1">
        <v>2.6299999999999998E-6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-6.1352686109535995E-3</v>
      </c>
      <c r="N2447" s="1">
        <f t="shared" si="156"/>
        <v>3.7748788017761763E-2</v>
      </c>
      <c r="O2447" s="1"/>
    </row>
    <row r="2448" spans="1:15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3.32E-6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-9.033982349274999E-3</v>
      </c>
      <c r="M2448" s="1">
        <f t="shared" si="155"/>
        <v>-6.3627032607662989E-2</v>
      </c>
      <c r="N2448" s="1">
        <f t="shared" si="156"/>
        <v>2.3532829098142201E-2</v>
      </c>
      <c r="O2448" s="1"/>
    </row>
    <row r="2449" spans="1:15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-1.3161273356399999E-2</v>
      </c>
      <c r="M2449" s="1">
        <f t="shared" si="155"/>
        <v>-1.1035221506519999E-2</v>
      </c>
      <c r="N2449" s="1">
        <f t="shared" si="156"/>
        <v>-2.57130785158344E-2</v>
      </c>
      <c r="O2449" s="1"/>
    </row>
    <row r="2450" spans="1:15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-1.9428290146784998E-2</v>
      </c>
      <c r="M2450" s="1">
        <f t="shared" si="155"/>
        <v>-1.6289874046150499E-2</v>
      </c>
      <c r="N2450" s="1">
        <f t="shared" si="156"/>
        <v>5.5029884598839798E-2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-1.0839521271410997E-2</v>
      </c>
      <c r="N2451" s="1">
        <f t="shared" si="156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-6.3858287308830005E-3</v>
      </c>
      <c r="N2452" s="1">
        <f t="shared" si="156"/>
        <v>1.5536897058992402E-2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4.02829882109252E-2</v>
      </c>
      <c r="N2453" s="1">
        <f t="shared" si="156"/>
        <v>2.6169728156363582E-2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-8.2419513333549001E-4</v>
      </c>
      <c r="N2454" s="1">
        <f t="shared" si="156"/>
        <v>1.1183344974341191E-2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9.8078915093730012E-4</v>
      </c>
      <c r="O2459" s="1"/>
    </row>
    <row r="2460" spans="1:15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-3.9000000000000002E-7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1.2284392818773075E-2</v>
      </c>
      <c r="M2460" s="1">
        <f t="shared" si="155"/>
        <v>-2.093630803731994E-2</v>
      </c>
      <c r="N2460" s="1">
        <f t="shared" si="156"/>
        <v>-1.5342955928753313E-3</v>
      </c>
      <c r="O2460" s="1"/>
    </row>
    <row r="2461" spans="1:15" x14ac:dyDescent="0.25">
      <c r="A2461">
        <v>4901</v>
      </c>
      <c r="B2461">
        <v>1002.969141</v>
      </c>
      <c r="C2461">
        <v>0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0</v>
      </c>
      <c r="M2461" s="1">
        <f t="shared" si="155"/>
        <v>3.5110270120485385E-2</v>
      </c>
      <c r="N2461" s="1">
        <f t="shared" si="156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-3.9000000000000002E-7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-3.6602008896700005E-4</v>
      </c>
      <c r="M2462" s="1">
        <f t="shared" si="155"/>
        <v>-4.6525095062509965E-2</v>
      </c>
      <c r="N2462" s="1">
        <f t="shared" si="156"/>
        <v>-2.2400429444780403E-3</v>
      </c>
      <c r="O2462" s="1"/>
    </row>
    <row r="2463" spans="1:15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-4.8999999999999997E-7</v>
      </c>
      <c r="F2463">
        <v>84044.407089999993</v>
      </c>
      <c r="G2463" s="1">
        <v>-4.1799999999999998E-6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-2.65263684850125E-3</v>
      </c>
      <c r="M2463" s="1">
        <f t="shared" si="155"/>
        <v>-4.84366954114365E-3</v>
      </c>
      <c r="N2463" s="1">
        <f t="shared" si="156"/>
        <v>-1.9332961482512703E-2</v>
      </c>
      <c r="O2463" s="1"/>
    </row>
    <row r="2464" spans="1:15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3.1993941986899754E-3</v>
      </c>
      <c r="M2464" s="1">
        <f t="shared" si="155"/>
        <v>-3.7946157599623394E-2</v>
      </c>
      <c r="N2464" s="1">
        <f t="shared" si="156"/>
        <v>1.4696629798849448E-2</v>
      </c>
      <c r="O2464" s="1"/>
    </row>
    <row r="2465" spans="1:15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>
        <v>0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-3.2050496997089997E-3</v>
      </c>
      <c r="M2465" s="1">
        <f t="shared" si="155"/>
        <v>-3.3215162749507331E-2</v>
      </c>
      <c r="N2465" s="1">
        <f t="shared" si="156"/>
        <v>0</v>
      </c>
      <c r="O2465" s="1"/>
    </row>
    <row r="2466" spans="1:15" x14ac:dyDescent="0.25">
      <c r="A2466">
        <v>4906</v>
      </c>
      <c r="B2466">
        <v>5369.4526329999999</v>
      </c>
      <c r="C2466">
        <v>0</v>
      </c>
      <c r="D2466">
        <v>28334.315600000002</v>
      </c>
      <c r="E2466">
        <v>0</v>
      </c>
      <c r="F2466">
        <v>76329.158899999995</v>
      </c>
      <c r="G2466" s="1">
        <v>-1.59E-6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0</v>
      </c>
      <c r="M2466" s="1">
        <f t="shared" si="155"/>
        <v>0</v>
      </c>
      <c r="N2466" s="1">
        <f t="shared" si="156"/>
        <v>-6.3433504603937338E-3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3.2396752996381997E-3</v>
      </c>
      <c r="N2469" s="1">
        <f t="shared" si="156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8.9251466339249996E-4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 s="1">
        <v>1.9999999999999999E-7</v>
      </c>
      <c r="F2473">
        <v>25780.798999999999</v>
      </c>
      <c r="G2473" s="1">
        <v>5.9999999999999997E-7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2.3858117165085997E-3</v>
      </c>
      <c r="N2473" s="1">
        <f t="shared" si="156"/>
        <v>3.3488916754661996E-3</v>
      </c>
      <c r="O2473" s="1"/>
    </row>
    <row r="2474" spans="1:15" x14ac:dyDescent="0.25">
      <c r="A2474">
        <v>4915</v>
      </c>
      <c r="B2474">
        <v>453.74495810000002</v>
      </c>
      <c r="C2474">
        <v>0</v>
      </c>
      <c r="D2474">
        <v>10755.458790000001</v>
      </c>
      <c r="E2474" s="1">
        <v>4.5000000000000001E-6</v>
      </c>
      <c r="F2474">
        <v>30952.842219999999</v>
      </c>
      <c r="G2474" s="1">
        <v>3.9000000000000002E-7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0</v>
      </c>
      <c r="M2474" s="1">
        <f t="shared" si="155"/>
        <v>6.5762781490876512E-2</v>
      </c>
      <c r="N2474" s="1">
        <f t="shared" si="156"/>
        <v>2.6667109558685706E-3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 s="1">
        <v>-1.1000000000000001E-6</v>
      </c>
      <c r="F2475">
        <v>42455.347170000001</v>
      </c>
      <c r="G2475" s="1">
        <v>-8.8999999999999995E-7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-8.3204232519739109E-3</v>
      </c>
      <c r="N2475" s="1">
        <f t="shared" si="156"/>
        <v>-3.1498249491834513E-3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 s="1">
        <v>9.9999999999999995E-8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4.0501379331724999E-3</v>
      </c>
      <c r="M2477" s="1">
        <f t="shared" si="155"/>
        <v>1.4941893482688701E-2</v>
      </c>
      <c r="N2477" s="1">
        <f t="shared" si="156"/>
        <v>1.0232517713624432E-2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>
        <v>0</v>
      </c>
      <c r="F2478">
        <v>5317.9159970000001</v>
      </c>
      <c r="G2478">
        <v>0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0</v>
      </c>
      <c r="N2478" s="1">
        <f t="shared" si="156"/>
        <v>0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-2.2698321414720999E-3</v>
      </c>
      <c r="N2479" s="1">
        <f t="shared" si="156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1.0544059121487901E-2</v>
      </c>
      <c r="N2480" s="1">
        <f t="shared" si="156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-3.9250259498775003E-2</v>
      </c>
      <c r="M2481" s="1">
        <f t="shared" si="155"/>
        <v>0.11847539867168699</v>
      </c>
      <c r="N2481" s="1">
        <f t="shared" si="156"/>
        <v>3.3465375098801708E-2</v>
      </c>
      <c r="O2481" s="1"/>
    </row>
    <row r="2482" spans="1:15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-0.18561378257272501</v>
      </c>
      <c r="M2482" s="1">
        <f t="shared" si="155"/>
        <v>6.01769401756291E-2</v>
      </c>
      <c r="N2482" s="1">
        <f t="shared" si="156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7.4964250333050004E-3</v>
      </c>
      <c r="M2483" s="1">
        <f t="shared" si="155"/>
        <v>5.9083362224033098E-2</v>
      </c>
      <c r="N2483" s="1">
        <f t="shared" si="156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>
        <v>0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0</v>
      </c>
      <c r="M2484" s="1">
        <f t="shared" si="155"/>
        <v>7.3664184028899996E-3</v>
      </c>
      <c r="N2484" s="1">
        <f t="shared" si="156"/>
        <v>-2.8745251408121401E-2</v>
      </c>
      <c r="O2484" s="1"/>
    </row>
    <row r="2485" spans="1:15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-3.4288125698124998E-2</v>
      </c>
      <c r="M2485" s="1">
        <f t="shared" si="155"/>
        <v>4.8298781368004999E-3</v>
      </c>
      <c r="N2485" s="1">
        <f t="shared" si="156"/>
        <v>2.9162842170694498E-2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 s="1">
        <v>3.8E-6</v>
      </c>
      <c r="F2486">
        <v>34249.659979999997</v>
      </c>
      <c r="G2486" s="1">
        <v>9.9999999999999995E-8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4.7282826876947195E-2</v>
      </c>
      <c r="N2486" s="1">
        <f t="shared" si="156"/>
        <v>5.8218835604160004E-4</v>
      </c>
      <c r="O2486" s="1"/>
    </row>
    <row r="2487" spans="1:15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-1.3075014261578751E-2</v>
      </c>
      <c r="M2487" s="1">
        <f t="shared" si="155"/>
        <v>1.1401412436096671E-2</v>
      </c>
      <c r="N2487" s="1">
        <f t="shared" si="156"/>
        <v>9.4381487562042315E-3</v>
      </c>
      <c r="O2487" s="1"/>
    </row>
    <row r="2488" spans="1:15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-1.2166928696812501E-2</v>
      </c>
      <c r="M2488" s="1">
        <f t="shared" si="155"/>
        <v>-2.1219123647241E-2</v>
      </c>
      <c r="N2488" s="1">
        <f t="shared" si="156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>
        <v>0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0</v>
      </c>
      <c r="M2489" s="1">
        <f t="shared" si="155"/>
        <v>-5.3787292539297905E-2</v>
      </c>
      <c r="N2489" s="1">
        <f t="shared" si="156"/>
        <v>-9.9140881160841021E-3</v>
      </c>
      <c r="O2489" s="1"/>
    </row>
    <row r="2490" spans="1:15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-3.9999999999999998E-7</v>
      </c>
      <c r="F2490">
        <v>26035.35039</v>
      </c>
      <c r="G2490" s="1">
        <v>6.9999999999999997E-7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-1.986018720504E-2</v>
      </c>
      <c r="M2490" s="1">
        <f t="shared" si="155"/>
        <v>-6.6608012472288E-3</v>
      </c>
      <c r="N2490" s="1">
        <f t="shared" si="156"/>
        <v>5.4539129478455997E-3</v>
      </c>
      <c r="O2490" s="1"/>
    </row>
    <row r="2491" spans="1:15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9.9999999999999995E-8</v>
      </c>
      <c r="F2491">
        <v>23144.962609999999</v>
      </c>
      <c r="G2491" s="1">
        <v>2.7E-6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-7.9983955821899995E-3</v>
      </c>
      <c r="M2491" s="1">
        <f t="shared" si="155"/>
        <v>1.3412694130133999E-3</v>
      </c>
      <c r="N2491" s="1">
        <f t="shared" si="156"/>
        <v>1.6944293410270202E-2</v>
      </c>
      <c r="O2491" s="1"/>
    </row>
    <row r="2492" spans="1:15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1.0249860535602999E-2</v>
      </c>
      <c r="M2492" s="1">
        <f t="shared" si="155"/>
        <v>4.1251746401749917E-2</v>
      </c>
      <c r="N2492" s="1">
        <f t="shared" si="156"/>
        <v>8.886629084367801E-3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 s="1">
        <v>-9.9999999999999995E-8</v>
      </c>
      <c r="F2493">
        <v>29553.594580000001</v>
      </c>
      <c r="G2493" s="1">
        <v>-1.5E-6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-1.6127988861148999E-3</v>
      </c>
      <c r="N2493" s="1">
        <f t="shared" si="156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0.13179451462407121</v>
      </c>
      <c r="N2494" s="1">
        <f t="shared" si="156"/>
        <v>3.7840084786769403E-2</v>
      </c>
      <c r="O2494" s="1"/>
    </row>
    <row r="2495" spans="1:15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-1.9162167671724999E-2</v>
      </c>
      <c r="M2495" s="1">
        <f t="shared" si="155"/>
        <v>-4.3701534394715601E-2</v>
      </c>
      <c r="N2495" s="1">
        <f t="shared" si="156"/>
        <v>4.3300602886507207E-3</v>
      </c>
      <c r="O2495" s="1"/>
    </row>
    <row r="2496" spans="1:15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-9.9999999999999995E-8</v>
      </c>
      <c r="F2496">
        <v>42326.351210000001</v>
      </c>
      <c r="G2496" s="1">
        <v>1.3200000000000001E-6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-1.3675935994305E-2</v>
      </c>
      <c r="M2496" s="1">
        <f t="shared" si="155"/>
        <v>-1.5288995111582E-3</v>
      </c>
      <c r="N2496" s="1">
        <f t="shared" si="156"/>
        <v>9.4427078065293622E-3</v>
      </c>
      <c r="O2496" s="1"/>
    </row>
    <row r="2497" spans="1:15" x14ac:dyDescent="0.25">
      <c r="A2497">
        <v>4943</v>
      </c>
      <c r="B2497">
        <v>5610.1399300000003</v>
      </c>
      <c r="C2497" s="1">
        <v>9.9999999999999995E-8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3.9079301824875004E-3</v>
      </c>
      <c r="M2497" s="1">
        <f t="shared" si="155"/>
        <v>-5.3737046109343496E-2</v>
      </c>
      <c r="N2497" s="1">
        <f t="shared" si="156"/>
        <v>2.6369510431369508E-2</v>
      </c>
      <c r="O2497" s="1"/>
    </row>
    <row r="2498" spans="1:15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-3.8999999999999999E-6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3.6371685233000002E-3</v>
      </c>
      <c r="M2498" s="1">
        <f t="shared" si="155"/>
        <v>3.5375660622004E-2</v>
      </c>
      <c r="N2498" s="1">
        <f t="shared" si="156"/>
        <v>-2.2259471362596001E-2</v>
      </c>
      <c r="O2498" s="1"/>
    </row>
    <row r="2499" spans="1:15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-1.755295156719E-2</v>
      </c>
      <c r="M2499" s="1">
        <f t="shared" ref="M2499:M2563" si="159">$U$3*$K2499*E2499</f>
        <v>2.5019707118463901E-2</v>
      </c>
      <c r="N2499" s="1">
        <f t="shared" ref="N2499:N2562" si="16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-7.9400000000000002E-6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-1.2899332957972501E-2</v>
      </c>
      <c r="M2500" s="1">
        <f t="shared" si="159"/>
        <v>6.5037775269843098E-2</v>
      </c>
      <c r="N2500" s="1">
        <f t="shared" si="160"/>
        <v>-5.3573906543603951E-2</v>
      </c>
      <c r="O2500" s="1"/>
    </row>
    <row r="2501" spans="1:15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0.12251991124030322</v>
      </c>
      <c r="M2501" s="1">
        <f t="shared" si="159"/>
        <v>-1.1319129406680719E-2</v>
      </c>
      <c r="N2501" s="1">
        <f t="shared" si="160"/>
        <v>-2.9951929583339938E-2</v>
      </c>
      <c r="O2501" s="1"/>
    </row>
    <row r="2502" spans="1:15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2.9435474447105999E-3</v>
      </c>
      <c r="M2502" s="1">
        <f t="shared" si="159"/>
        <v>-3.6938501408097811E-2</v>
      </c>
      <c r="N2502" s="1">
        <f t="shared" si="16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-2.1299999999999999E-6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-4.0614984204795007E-2</v>
      </c>
      <c r="M2503" s="1">
        <f t="shared" si="159"/>
        <v>-1.366586696305395E-2</v>
      </c>
      <c r="N2503" s="1">
        <f t="shared" si="160"/>
        <v>-4.4075981360308502E-3</v>
      </c>
      <c r="O2503" s="1"/>
    </row>
    <row r="2504" spans="1:15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-3.7799999999999998E-6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-1.6349598349987501E-2</v>
      </c>
      <c r="M2504" s="1">
        <f t="shared" si="159"/>
        <v>-2.9391044123066763E-2</v>
      </c>
      <c r="N2504" s="1">
        <f t="shared" si="160"/>
        <v>-1.9396157353295942E-2</v>
      </c>
      <c r="O2504" s="1"/>
    </row>
    <row r="2505" spans="1:15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-3.6399999999999997E-5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7.1140972691750006E-3</v>
      </c>
      <c r="M2505" s="1">
        <f t="shared" si="159"/>
        <v>-4.2947257975758006E-3</v>
      </c>
      <c r="N2505" s="1">
        <f t="shared" si="160"/>
        <v>-0.40635723601527607</v>
      </c>
      <c r="O2505" s="1"/>
    </row>
    <row r="2506" spans="1:15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2.1E-7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0.22662630667608749</v>
      </c>
      <c r="M2506" s="1">
        <f t="shared" si="159"/>
        <v>6.621052192585207E-2</v>
      </c>
      <c r="N2506" s="1">
        <f t="shared" si="160"/>
        <v>1.6596018765818101E-3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 s="1">
        <v>4.6999999999999999E-6</v>
      </c>
      <c r="F2507">
        <v>53740.71632</v>
      </c>
      <c r="G2507" s="1">
        <v>1.1999999999999999E-7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0.1320270046709503</v>
      </c>
      <c r="N2507" s="1">
        <f t="shared" si="160"/>
        <v>1.5772111430533201E-3</v>
      </c>
      <c r="O2507" s="1"/>
    </row>
    <row r="2508" spans="1:15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3.8199999999999998E-6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-6.5651105078032498E-3</v>
      </c>
      <c r="M2508" s="1">
        <f t="shared" si="159"/>
        <v>-2.6422044751405076E-2</v>
      </c>
      <c r="N2508" s="1">
        <f t="shared" si="160"/>
        <v>1.3118100811592093E-2</v>
      </c>
      <c r="O2508" s="1"/>
    </row>
    <row r="2509" spans="1:15" x14ac:dyDescent="0.25">
      <c r="A2509">
        <v>4957</v>
      </c>
      <c r="B2509">
        <v>1895.553095</v>
      </c>
      <c r="C2509">
        <v>0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0</v>
      </c>
      <c r="M2509" s="1">
        <f t="shared" si="159"/>
        <v>4.8893826037215399E-2</v>
      </c>
      <c r="N2509" s="1">
        <f t="shared" si="16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 s="1">
        <v>-1.9000000000000001E-7</v>
      </c>
      <c r="F2510">
        <v>24989.823100000001</v>
      </c>
      <c r="G2510" s="1">
        <v>3.1099999999999999E-6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-3.7217520925608497E-3</v>
      </c>
      <c r="N2510" s="1">
        <f t="shared" si="16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1.11E-6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-4.6353721973650001E-2</v>
      </c>
      <c r="M2511" s="1">
        <f t="shared" si="159"/>
        <v>-9.8874628372348072E-3</v>
      </c>
      <c r="N2511" s="1">
        <f t="shared" si="160"/>
        <v>1.614821046725124E-3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 s="1">
        <v>-3.9999999999999998E-7</v>
      </c>
      <c r="F2512">
        <v>36819.985229999998</v>
      </c>
      <c r="G2512" s="1">
        <v>-4.3000000000000003E-6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-1.2759050605129198E-2</v>
      </c>
      <c r="N2512" s="1">
        <f t="shared" si="160"/>
        <v>-6.4175683433597114E-2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2.9999999999999999E-7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7.8715329936389997E-3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3.8924202185932E-4</v>
      </c>
      <c r="N2515" s="1">
        <f t="shared" si="16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-5.0000000000000001E-9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-3.1440101235750002E-4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-5.0999999999999999E-7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-3.4542204786583194E-2</v>
      </c>
      <c r="N2526" s="1">
        <f t="shared" si="160"/>
        <v>-4.5792188914323597E-3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>
        <v>0</v>
      </c>
      <c r="F2527">
        <v>38696.065240000004</v>
      </c>
      <c r="G2527" s="1">
        <v>-4.3000000000000003E-6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0</v>
      </c>
      <c r="N2527" s="1">
        <f t="shared" si="16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>
        <v>0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0</v>
      </c>
      <c r="M2528" s="1">
        <f t="shared" si="159"/>
        <v>6.8709975357676293E-3</v>
      </c>
      <c r="N2528" s="1">
        <f t="shared" si="16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2.4000000000000001E-5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1.2093792187912501E-2</v>
      </c>
      <c r="M2529" s="1">
        <f t="shared" si="159"/>
        <v>3.8208196746783982E-2</v>
      </c>
      <c r="N2529" s="1">
        <f t="shared" si="160"/>
        <v>9.1094163926183996E-2</v>
      </c>
      <c r="O2529" s="1"/>
    </row>
    <row r="2530" spans="1:15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1E-8</v>
      </c>
      <c r="F2530">
        <v>73384.798280000003</v>
      </c>
      <c r="G2530" s="1">
        <v>-1.0899999999999999E-6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-2.7152485281207003E-2</v>
      </c>
      <c r="M2530" s="1">
        <f t="shared" si="159"/>
        <v>8.2786598479764E-5</v>
      </c>
      <c r="N2530" s="1">
        <f t="shared" si="16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3.0300000000000001E-5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1.948934184353E-2</v>
      </c>
      <c r="M2531" s="1">
        <f t="shared" si="159"/>
        <v>-2.1067401925109076E-2</v>
      </c>
      <c r="N2531" s="1">
        <f t="shared" si="160"/>
        <v>7.1282556096584404E-2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0.11039055019170751</v>
      </c>
      <c r="M2533" s="1">
        <f t="shared" si="159"/>
        <v>3.0516168131316957E-2</v>
      </c>
      <c r="N2533" s="1">
        <f t="shared" si="16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-9.147522389993E-2</v>
      </c>
      <c r="M2534" s="1">
        <f t="shared" si="159"/>
        <v>2.5387189254504419E-2</v>
      </c>
      <c r="N2534" s="1">
        <f t="shared" si="160"/>
        <v>1.6543646070086571E-2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-3.2703988995293901E-3</v>
      </c>
      <c r="N2535" s="1">
        <f t="shared" si="16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3.1E-7</v>
      </c>
      <c r="F2538">
        <v>88130.35497</v>
      </c>
      <c r="G2538" s="1">
        <v>-4.1799999999999998E-6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-6.0238029288254995E-2</v>
      </c>
      <c r="M2538" s="1">
        <f t="shared" si="159"/>
        <v>1.2781431771743399E-3</v>
      </c>
      <c r="N2538" s="1">
        <f t="shared" si="160"/>
        <v>-8.0637633178462804E-3</v>
      </c>
      <c r="O2538" s="1"/>
    </row>
    <row r="2539" spans="1:15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1E-8</v>
      </c>
      <c r="F2539">
        <v>152458.09160000001</v>
      </c>
      <c r="G2539" s="1">
        <v>-1.2999999999999999E-5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3.0703518706991003E-2</v>
      </c>
      <c r="M2539" s="1">
        <f t="shared" si="159"/>
        <v>2.7098652138154002E-5</v>
      </c>
      <c r="N2539" s="1">
        <f t="shared" si="160"/>
        <v>-1.64829416216478E-2</v>
      </c>
      <c r="O2539" s="1"/>
    </row>
    <row r="2540" spans="1:15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7.6000000000000003E-7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2.0598306389700002E-2</v>
      </c>
      <c r="M2540" s="1">
        <f t="shared" si="159"/>
        <v>-2.9360509030857001E-2</v>
      </c>
      <c r="N2540" s="1">
        <f t="shared" si="160"/>
        <v>6.1414642743444006E-3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-1.6767325827509401E-2</v>
      </c>
      <c r="N2541" s="1">
        <f t="shared" si="16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7.5026330185852495E-3</v>
      </c>
      <c r="M2543" s="1">
        <f t="shared" si="159"/>
        <v>2.51626768931013E-2</v>
      </c>
      <c r="N2543" s="1">
        <f t="shared" si="160"/>
        <v>1.922982555225081E-2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 s="1">
        <v>2.9999999999999999E-7</v>
      </c>
      <c r="F2544">
        <v>40601.29666</v>
      </c>
      <c r="G2544" s="1">
        <v>-3.8999999999999999E-6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5.6200917295796994E-3</v>
      </c>
      <c r="N2544" s="1">
        <f t="shared" si="16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 s="1">
        <v>1.9999999999999999E-7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7.5076898259999999E-3</v>
      </c>
      <c r="M2545" s="1">
        <f t="shared" si="159"/>
        <v>-5.1618255126759993E-2</v>
      </c>
      <c r="N2545" s="1">
        <f t="shared" si="16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 s="1">
        <v>9.9999999999999995E-8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4.1553618173600006E-3</v>
      </c>
      <c r="M2546" s="1">
        <f t="shared" si="159"/>
        <v>4.1809332746976E-2</v>
      </c>
      <c r="N2546" s="1">
        <f t="shared" si="16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>
        <v>0</v>
      </c>
      <c r="F2547">
        <v>24566.920249999999</v>
      </c>
      <c r="G2547" s="1">
        <v>3.0000000000000001E-6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0</v>
      </c>
      <c r="N2547" s="1">
        <f t="shared" si="16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-3.9999999999999998E-7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8.7221140604227497E-3</v>
      </c>
      <c r="M2548" s="1">
        <f t="shared" si="159"/>
        <v>2.9252628694956304E-2</v>
      </c>
      <c r="N2548" s="1">
        <f t="shared" si="160"/>
        <v>-1.8249346341807603E-3</v>
      </c>
      <c r="O2548" s="1"/>
    </row>
    <row r="2549" spans="1:15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7.8999999999999995E-7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5.0305770160132502E-3</v>
      </c>
      <c r="M2549" s="1">
        <f t="shared" si="159"/>
        <v>2.7557242915412072E-2</v>
      </c>
      <c r="N2549" s="1">
        <f t="shared" si="160"/>
        <v>2.078789210001783E-3</v>
      </c>
      <c r="O2549" s="1"/>
    </row>
    <row r="2550" spans="1:15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-1.2284109766045E-2</v>
      </c>
      <c r="M2550" s="1">
        <f t="shared" si="159"/>
        <v>-1.4419655002295898E-2</v>
      </c>
      <c r="N2550" s="1">
        <f t="shared" si="16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>
        <v>0</v>
      </c>
      <c r="D2551">
        <v>6677.418525</v>
      </c>
      <c r="E2551">
        <v>0</v>
      </c>
      <c r="F2551">
        <v>14246.95613</v>
      </c>
      <c r="G2551" s="1">
        <v>-3.7900000000000001E-6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0</v>
      </c>
      <c r="M2551" s="1">
        <f t="shared" si="159"/>
        <v>0</v>
      </c>
      <c r="N2551" s="1">
        <f t="shared" si="16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-6.8183709444120607E-4</v>
      </c>
      <c r="N2552" s="1">
        <f t="shared" si="16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>
        <v>0</v>
      </c>
      <c r="F2553">
        <v>69213.065170000002</v>
      </c>
      <c r="G2553" s="1">
        <v>-1.5099999999999999E-6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-2.3684497936222501E-2</v>
      </c>
      <c r="M2553" s="1">
        <f t="shared" si="159"/>
        <v>0</v>
      </c>
      <c r="N2553" s="1">
        <f t="shared" si="160"/>
        <v>-1.8707109600702512E-2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 s="1">
        <v>9.9999999999999995E-8</v>
      </c>
      <c r="F2554">
        <v>37832.99093</v>
      </c>
      <c r="G2554" s="1">
        <v>-1.48E-6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1.4632108880634999E-3</v>
      </c>
      <c r="N2554" s="1">
        <f t="shared" si="16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-4.1916907902382495E-3</v>
      </c>
      <c r="M2555" s="1">
        <f t="shared" si="159"/>
        <v>-8.9035811554701704E-3</v>
      </c>
      <c r="N2555" s="1">
        <f t="shared" si="160"/>
        <v>2.6091662980467635E-3</v>
      </c>
      <c r="O2555" s="1"/>
    </row>
    <row r="2556" spans="1:15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2.92E-6</v>
      </c>
      <c r="F2556">
        <v>168572.85560000001</v>
      </c>
      <c r="G2556" s="1">
        <v>3.6600000000000001E-6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7.1989414748160003E-3</v>
      </c>
      <c r="M2556" s="1">
        <f t="shared" si="159"/>
        <v>2.3500298385686527E-2</v>
      </c>
      <c r="N2556" s="1">
        <f t="shared" si="160"/>
        <v>1.3782096571170816E-2</v>
      </c>
      <c r="O2556" s="1"/>
    </row>
    <row r="2557" spans="1:15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-1.8199999999999999E-6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-5.0747845229835E-3</v>
      </c>
      <c r="M2557" s="1">
        <f t="shared" si="159"/>
        <v>2.8083076814110229E-2</v>
      </c>
      <c r="N2557" s="1">
        <f t="shared" si="160"/>
        <v>-7.2467922988204382E-3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1.8211189122072702E-2</v>
      </c>
      <c r="N2558" s="1">
        <f t="shared" si="16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1.1200000000000001E-6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1.9855872867480001E-2</v>
      </c>
      <c r="M2559" s="1">
        <f t="shared" si="159"/>
        <v>7.6582574275034412E-2</v>
      </c>
      <c r="N2559" s="1">
        <f t="shared" si="160"/>
        <v>8.7243650630035221E-3</v>
      </c>
      <c r="O2559" s="1"/>
    </row>
    <row r="2560" spans="1:15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4.3800000000000004E-6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-2.6913579388019998E-3</v>
      </c>
      <c r="M2560" s="1">
        <f t="shared" si="159"/>
        <v>-2.70792014150232E-2</v>
      </c>
      <c r="N2560" s="1">
        <f t="shared" si="160"/>
        <v>1.849832419598741E-2</v>
      </c>
      <c r="O2560" s="1"/>
    </row>
    <row r="2561" spans="1:15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-6.1999999999999999E-7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6.1983849025344998E-3</v>
      </c>
      <c r="M2561" s="1">
        <f t="shared" si="159"/>
        <v>4.3655701667389135E-2</v>
      </c>
      <c r="N2561" s="1">
        <f t="shared" si="160"/>
        <v>-3.0152758556637061E-3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 s="1">
        <v>-2.7E-6</v>
      </c>
      <c r="F2562">
        <v>55575.001810000002</v>
      </c>
      <c r="G2562" s="1">
        <v>-9.4E-7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-4.6708763477279397E-2</v>
      </c>
      <c r="N2562" s="1">
        <f t="shared" si="160"/>
        <v>-7.6086242646985205E-3</v>
      </c>
      <c r="O2562" s="1"/>
    </row>
    <row r="2563" spans="1:15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1.3599999999999999E-6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-7.9731186844042498E-3</v>
      </c>
      <c r="M2563" s="1">
        <f t="shared" si="159"/>
        <v>2.2283844528206753E-2</v>
      </c>
      <c r="N2563" s="1">
        <f t="shared" ref="N2563" si="163">$U$4*$K2563*G2563</f>
        <v>5.671953968720808E-3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2024-10-24T12:09:29Z</dcterms:modified>
</cp:coreProperties>
</file>