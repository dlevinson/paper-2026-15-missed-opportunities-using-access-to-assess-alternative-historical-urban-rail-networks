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Combination Proposal\"/>
    </mc:Choice>
  </mc:AlternateContent>
  <xr:revisionPtr revIDLastSave="0" documentId="13_ncr:1_{F7A5540A-01A0-403A-8E3F-369E75FCAE39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T16" i="1" l="1"/>
  <c r="U12" i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<sst xmlns="http://schemas.openxmlformats.org/spreadsheetml/2006/main" count="2595" uniqueCount="2587">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</sst>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U28" sqref="U28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2" width="12.5703125" bestFit="1" customWidth="1"/>
    <col min="23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>
        <v>0</v>
      </c>
      <c r="D2">
        <v>637053.04879999999</v>
      </c>
      <c r="E2">
        <v>830.83349999999996</v>
      </c>
      <c r="F2">
        <v>1099931.1640000001</v>
      </c>
      <c r="G2">
        <v>9463.5639370000008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0</v>
      </c>
      <c r="M2" s="1">
        <f>$U$3*$K2*E2</f>
        <v>587596.17231836251</v>
      </c>
      <c r="N2" s="1">
        <f>$U$4*$K2*G2</f>
        <v>3131578.894655556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>
        <v>0</v>
      </c>
      <c r="D3">
        <v>754544.03890000004</v>
      </c>
      <c r="E3">
        <v>7034.1986999999999</v>
      </c>
      <c r="F3">
        <v>1188749.6769999999</v>
      </c>
      <c r="G3">
        <v>8360.5273010000001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0</v>
      </c>
      <c r="M3" s="1">
        <f t="shared" ref="M3:M66" si="2">$U$3*$K3*E3</f>
        <v>5711250.5050045634</v>
      </c>
      <c r="N3" s="1">
        <f t="shared" ref="N3:N66" si="3">$U$4*$K3*G3</f>
        <v>3176098.2245851709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>
        <v>0</v>
      </c>
      <c r="D4">
        <v>912192.62890000001</v>
      </c>
      <c r="E4">
        <v>8817.5684000000001</v>
      </c>
      <c r="F4">
        <v>1336597.4709999999</v>
      </c>
      <c r="G4">
        <v>1487.9459850000001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0</v>
      </c>
      <c r="M4" s="1">
        <f t="shared" si="2"/>
        <v>2959731.7839763123</v>
      </c>
      <c r="N4" s="1">
        <f t="shared" si="3"/>
        <v>233686.8976475914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>
        <v>0</v>
      </c>
      <c r="D5">
        <v>1001489.622</v>
      </c>
      <c r="E5">
        <v>13439.175999999999</v>
      </c>
      <c r="F5">
        <v>1434338.5179999999</v>
      </c>
      <c r="G5">
        <v>520.65067739999995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0</v>
      </c>
      <c r="M5" s="1">
        <f t="shared" si="2"/>
        <v>2045610.6633589228</v>
      </c>
      <c r="N5" s="1">
        <f t="shared" si="3"/>
        <v>37080.062144468371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>
        <v>0</v>
      </c>
      <c r="D6">
        <v>987289.85869999998</v>
      </c>
      <c r="E6">
        <v>13439.176299999999</v>
      </c>
      <c r="F6">
        <v>1425828.1129999999</v>
      </c>
      <c r="G6">
        <v>520.65087919999996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0</v>
      </c>
      <c r="M6" s="1">
        <f t="shared" si="2"/>
        <v>4951860.6448512888</v>
      </c>
      <c r="N6" s="1">
        <f t="shared" si="3"/>
        <v>89760.662084804368</v>
      </c>
      <c r="O6" s="1"/>
    </row>
    <row r="7" spans="1:25" x14ac:dyDescent="0.25">
      <c r="A7">
        <v>6</v>
      </c>
      <c r="B7">
        <v>342568.37469999999</v>
      </c>
      <c r="C7">
        <v>0</v>
      </c>
      <c r="D7">
        <v>676491.53819999995</v>
      </c>
      <c r="E7">
        <v>830.83360000000005</v>
      </c>
      <c r="F7">
        <v>1144015.318</v>
      </c>
      <c r="G7">
        <v>8126.3181359999999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0</v>
      </c>
      <c r="M7" s="1">
        <f t="shared" si="2"/>
        <v>211961.7631818536</v>
      </c>
      <c r="N7" s="1">
        <f t="shared" si="3"/>
        <v>970020.62929167657</v>
      </c>
      <c r="O7" s="1"/>
    </row>
    <row r="8" spans="1:25" x14ac:dyDescent="0.25">
      <c r="A8">
        <v>7</v>
      </c>
      <c r="B8">
        <v>447450.14120000001</v>
      </c>
      <c r="C8">
        <v>0</v>
      </c>
      <c r="D8">
        <v>797901.67200000002</v>
      </c>
      <c r="E8">
        <v>9386.3724999999995</v>
      </c>
      <c r="F8">
        <v>1224440.2320000001</v>
      </c>
      <c r="G8">
        <v>960.62255889999994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0</v>
      </c>
      <c r="M8" s="1">
        <f t="shared" si="2"/>
        <v>2734269.9120232849</v>
      </c>
      <c r="N8" s="1">
        <f t="shared" si="3"/>
        <v>130930.26823470186</v>
      </c>
      <c r="O8" s="1"/>
    </row>
    <row r="9" spans="1:25" x14ac:dyDescent="0.25">
      <c r="A9">
        <v>8</v>
      </c>
      <c r="B9">
        <v>395243.76449999999</v>
      </c>
      <c r="C9">
        <v>0</v>
      </c>
      <c r="D9">
        <v>770947.84470000002</v>
      </c>
      <c r="E9">
        <v>7034.1986999999999</v>
      </c>
      <c r="F9">
        <v>1203647.425</v>
      </c>
      <c r="G9">
        <v>2458.073805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0</v>
      </c>
      <c r="M9" s="1">
        <f t="shared" si="2"/>
        <v>1944912.8333143161</v>
      </c>
      <c r="N9" s="1">
        <f t="shared" si="3"/>
        <v>317997.79371215997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>
        <v>0</v>
      </c>
      <c r="D10">
        <v>609813.4915</v>
      </c>
      <c r="E10">
        <v>6940.3855000000003</v>
      </c>
      <c r="F10">
        <v>1089044.08</v>
      </c>
      <c r="G10">
        <v>10169.56467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0</v>
      </c>
      <c r="M10" s="1">
        <f t="shared" si="2"/>
        <v>5057038.0251477109</v>
      </c>
      <c r="N10" s="1">
        <f t="shared" si="3"/>
        <v>3467038.5133120264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>
        <v>0</v>
      </c>
      <c r="D11">
        <v>718636.73510000005</v>
      </c>
      <c r="E11">
        <v>6687.0159999999996</v>
      </c>
      <c r="F11">
        <v>1177436.6510000001</v>
      </c>
      <c r="G11">
        <v>1703.546124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0</v>
      </c>
      <c r="M11" s="1">
        <f t="shared" si="2"/>
        <v>2389638.8519424666</v>
      </c>
      <c r="N11" s="1">
        <f t="shared" si="3"/>
        <v>284837.70844750508</v>
      </c>
      <c r="O11" s="1"/>
      <c r="S11" s="2" t="str" cm="1">
        <f t="array" ref="S11:S16">TRANSPOSE(L1:Q1)</f>
        <v xml:space="preserve">30 Min Lin </v>
      </c>
      <c r="T11" s="6">
        <f>SUM(L2:L2563)/1000000</f>
        <v>21150.246279716121</v>
      </c>
      <c r="U11" s="3">
        <f>SUM(L$374:L$390,L$395:L$399,L$409:L$418)/1000000</f>
        <v>917.43349149582855</v>
      </c>
      <c r="V11" s="3">
        <f>SUM(L$352:L$377,L$391:L$394)/1000000</f>
        <v>6769.5936201473887</v>
      </c>
      <c r="W11" s="3">
        <f>SUM(L$419:L$479)/1000000</f>
        <v>11158.862624199281</v>
      </c>
      <c r="X11" s="3">
        <f>T11-W11-U11-V11</f>
        <v>2304.3565438736223</v>
      </c>
      <c r="Y11" t="s">
        <v>12</v>
      </c>
    </row>
    <row r="12" spans="1:25" x14ac:dyDescent="0.25">
      <c r="A12">
        <v>11</v>
      </c>
      <c r="B12">
        <v>337462.87430000002</v>
      </c>
      <c r="C12">
        <v>0</v>
      </c>
      <c r="D12">
        <v>675140.07010000001</v>
      </c>
      <c r="E12">
        <v>0</v>
      </c>
      <c r="F12">
        <v>1103143.1740000001</v>
      </c>
      <c r="G12">
        <v>8939.1023870000008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0</v>
      </c>
      <c r="M12" s="1">
        <f t="shared" si="2"/>
        <v>0</v>
      </c>
      <c r="N12" s="1">
        <f t="shared" si="3"/>
        <v>1903260.547822613</v>
      </c>
      <c r="O12" s="1"/>
      <c r="S12" s="2" t="str">
        <v>45 Min Lin</v>
      </c>
      <c r="T12" s="6">
        <f>SUM(M2:M2563)/1000000</f>
        <v>53231.181354016859</v>
      </c>
      <c r="U12" s="3">
        <f>SUM(M$374:M$390,M$395:M$399,M$409:M$418)/1000000</f>
        <v>2764.7772411753672</v>
      </c>
      <c r="V12" s="3">
        <f>SUM(M$352:M$377,M$391:M$394)/1000000</f>
        <v>8414.8572867897328</v>
      </c>
      <c r="W12" s="3">
        <f>SUM(M$419:M$479)/1000000</f>
        <v>35256.079025323517</v>
      </c>
      <c r="X12" s="3">
        <f t="shared" ref="X12:X13" si="4">T12-W12-U12-V12</f>
        <v>6795.4678007282419</v>
      </c>
      <c r="Y12" s="3"/>
    </row>
    <row r="13" spans="1:25" x14ac:dyDescent="0.25">
      <c r="A13">
        <v>12</v>
      </c>
      <c r="B13">
        <v>357991.37280000001</v>
      </c>
      <c r="C13">
        <v>0</v>
      </c>
      <c r="D13">
        <v>692904.25670000003</v>
      </c>
      <c r="E13">
        <v>830.83360000000005</v>
      </c>
      <c r="F13">
        <v>1139271.5209999999</v>
      </c>
      <c r="G13">
        <v>6470.9748820000004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0</v>
      </c>
      <c r="M13" s="1">
        <f t="shared" si="2"/>
        <v>275616.58096585277</v>
      </c>
      <c r="N13" s="1">
        <f t="shared" si="3"/>
        <v>1004395.3225110894</v>
      </c>
      <c r="O13" s="1"/>
      <c r="S13" s="2" t="str">
        <v>60 Min Lin</v>
      </c>
      <c r="T13" s="6">
        <f>SUM(N2:N2563)/1000000</f>
        <v>40587.988542187384</v>
      </c>
      <c r="U13" s="3">
        <f>SUM(N$374:N$390,N$395:N$399,N$409:N$418)/1000000</f>
        <v>2238.9763384304342</v>
      </c>
      <c r="V13" s="3">
        <f>SUM(N$352:N$377,N$391:N$394)/1000000</f>
        <v>5039.5514818065085</v>
      </c>
      <c r="W13" s="3">
        <f>SUM(N$419:N$479)/1000000</f>
        <v>22837.306026282626</v>
      </c>
      <c r="X13" s="3">
        <f t="shared" si="4"/>
        <v>10472.154695667814</v>
      </c>
      <c r="Y13" s="4"/>
    </row>
    <row r="14" spans="1:25" x14ac:dyDescent="0.25">
      <c r="A14">
        <v>13</v>
      </c>
      <c r="B14">
        <v>436547.72960000002</v>
      </c>
      <c r="C14">
        <v>0</v>
      </c>
      <c r="D14">
        <v>839867.22930000001</v>
      </c>
      <c r="E14">
        <v>8853.2451000000001</v>
      </c>
      <c r="F14">
        <v>1260453.6569999999</v>
      </c>
      <c r="G14">
        <v>2.5101000000000002E-4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0</v>
      </c>
      <c r="M14" s="1">
        <f t="shared" si="2"/>
        <v>1233265.8146069972</v>
      </c>
      <c r="N14" s="1">
        <f t="shared" si="3"/>
        <v>1.636021125952394E-2</v>
      </c>
      <c r="O14" s="1"/>
      <c r="S14" s="2" t="str">
        <v>30 Min Log</v>
      </c>
      <c r="T14" s="6">
        <f>SUM(U14:X14)</f>
        <v>9453.1410335577948</v>
      </c>
      <c r="U14" s="7">
        <f>$V2*$Y$2*(SUM(C$374:C$390,C$395:C$399,C$409:C$418))/(SUM(B$374:B$390,B$395:B$399,B$409:B$418))</f>
        <v>402.80298415594746</v>
      </c>
      <c r="V14" s="7">
        <f>$V2*$Y$3*(SUM(C$352:C$377,C$391:C$394))/(SUM(B$352:B$377,B$391:B$394))</f>
        <v>2336.8515410594005</v>
      </c>
      <c r="W14" s="8">
        <f>V2*$Y$4*(SUM(C$419:C$479))/(SUM(B$419:B$479))</f>
        <v>5339.3510390662823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1374.1354692761652</v>
      </c>
    </row>
    <row r="15" spans="1:25" x14ac:dyDescent="0.25">
      <c r="A15">
        <v>14</v>
      </c>
      <c r="B15">
        <v>477278.10139999999</v>
      </c>
      <c r="C15">
        <v>0</v>
      </c>
      <c r="D15">
        <v>886862.5466</v>
      </c>
      <c r="E15">
        <v>8692.5527999999995</v>
      </c>
      <c r="F15">
        <v>1280429.3540000001</v>
      </c>
      <c r="G15">
        <v>183.284966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0</v>
      </c>
      <c r="M15" s="1">
        <f t="shared" si="2"/>
        <v>1947993.6224858989</v>
      </c>
      <c r="N15" s="1">
        <f t="shared" si="3"/>
        <v>19218.111768888539</v>
      </c>
      <c r="O15" s="1"/>
      <c r="S15" s="2" t="str">
        <v>45 Min Log</v>
      </c>
      <c r="T15" s="6">
        <f>SUM(U15:X15)</f>
        <v>11538.310857288581</v>
      </c>
      <c r="U15" s="7">
        <f>$V3*$Y$2*(SUM(E$374:E$390,E$395:E$399,E$409:E$418))/(SUM(D$374:D$390,D$395:D$399,D$409:D$418))</f>
        <v>947.42617386642269</v>
      </c>
      <c r="V15" s="7">
        <f>$V3*$Y$3*(SUM(E$352:E$377,E$391:E$394))/(SUM(D$352:D$377,D$391:D$394))</f>
        <v>1728.4016995054023</v>
      </c>
      <c r="W15" s="8">
        <f>V3*$Y$4*(SUM(E$419:E$479))/(SUM(D$419:D$479))</f>
        <v>6791.9489297218142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2070.5340541949427</v>
      </c>
    </row>
    <row r="16" spans="1:25" x14ac:dyDescent="0.25">
      <c r="A16">
        <v>15</v>
      </c>
      <c r="B16">
        <v>380423.7929</v>
      </c>
      <c r="C16">
        <v>0</v>
      </c>
      <c r="D16">
        <v>729459.53590000002</v>
      </c>
      <c r="E16">
        <v>6687.0159999999996</v>
      </c>
      <c r="F16">
        <v>1190614.932</v>
      </c>
      <c r="G16">
        <v>2039.835198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0</v>
      </c>
      <c r="M16" s="1">
        <f t="shared" si="2"/>
        <v>1499517.7116144346</v>
      </c>
      <c r="N16" s="1">
        <f t="shared" si="3"/>
        <v>214021.79247279238</v>
      </c>
      <c r="O16" s="1"/>
      <c r="S16" s="2" t="str">
        <v>60 Min Log</v>
      </c>
      <c r="T16" s="6">
        <f>SUM(U16:X16)</f>
        <v>6378.2950401531943</v>
      </c>
      <c r="U16" s="7">
        <f>$V4*$Y$2*(SUM(G$374:G$390,G$395:G$399,G$409:G$418))/(SUM(F$374:F$390,F$395:F$399,F$409:F$418))</f>
        <v>596.12812433519764</v>
      </c>
      <c r="V16" s="7">
        <f>$V4*$Y$3*(SUM(G$352:G$377,G$391:G$394))/(SUM(F$352:F$377,F$391:F$394))</f>
        <v>1082.7276416447169</v>
      </c>
      <c r="W16" s="8">
        <f>V4*$Y$4*(SUM(G$419:G$479))/(SUM(F$419:F$479))</f>
        <v>3112.7498479652954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1586.6894262079845</v>
      </c>
    </row>
    <row r="17" spans="1:25" x14ac:dyDescent="0.25">
      <c r="A17">
        <v>16</v>
      </c>
      <c r="B17">
        <v>500344.1017</v>
      </c>
      <c r="C17">
        <v>0</v>
      </c>
      <c r="D17">
        <v>888591.84479999996</v>
      </c>
      <c r="E17">
        <v>9160.4053000000004</v>
      </c>
      <c r="F17">
        <v>1299324.5079999999</v>
      </c>
      <c r="G17">
        <v>420.41267909999999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0</v>
      </c>
      <c r="M17" s="1">
        <f t="shared" si="2"/>
        <v>2628839.4469534899</v>
      </c>
      <c r="N17" s="1">
        <f t="shared" si="3"/>
        <v>56450.638312094132</v>
      </c>
      <c r="O17" s="1"/>
    </row>
    <row r="18" spans="1:25" x14ac:dyDescent="0.25">
      <c r="A18">
        <v>17</v>
      </c>
      <c r="B18">
        <v>405817.66460000002</v>
      </c>
      <c r="C18">
        <v>0</v>
      </c>
      <c r="D18">
        <v>779015.06539999996</v>
      </c>
      <c r="E18">
        <v>8955.8708000000006</v>
      </c>
      <c r="F18">
        <v>1207419.095</v>
      </c>
      <c r="G18">
        <v>183.2841651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0</v>
      </c>
      <c r="M18" s="1">
        <f t="shared" si="2"/>
        <v>3985258.2841383126</v>
      </c>
      <c r="N18" s="1">
        <f t="shared" si="3"/>
        <v>38160.783006214406</v>
      </c>
      <c r="O18" s="1"/>
      <c r="T18" cm="1">
        <f t="array" ref="T18:Y18">TRANSPOSE(T11:T16)</f>
        <v>21150.246279716121</v>
      </c>
      <c r="U18">
        <v>53231.181354016859</v>
      </c>
      <c r="V18">
        <v>40587.988542187384</v>
      </c>
      <c r="W18">
        <v>9453.1410335577948</v>
      </c>
      <c r="X18">
        <v>11538.310857288581</v>
      </c>
      <c r="Y18">
        <v>6378.2950401531943</v>
      </c>
    </row>
    <row r="19" spans="1:25" x14ac:dyDescent="0.25">
      <c r="A19">
        <v>18</v>
      </c>
      <c r="B19">
        <v>445777.7329</v>
      </c>
      <c r="C19">
        <v>0</v>
      </c>
      <c r="D19">
        <v>828799.30909999995</v>
      </c>
      <c r="E19">
        <v>8853.2451000000001</v>
      </c>
      <c r="F19">
        <v>1258727.352</v>
      </c>
      <c r="G19">
        <v>1591.788873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0</v>
      </c>
      <c r="M19" s="1">
        <f t="shared" si="2"/>
        <v>3049365.0737282452</v>
      </c>
      <c r="N19" s="1">
        <f t="shared" si="3"/>
        <v>256528.76876952942</v>
      </c>
      <c r="O19" s="1"/>
    </row>
    <row r="20" spans="1:25" x14ac:dyDescent="0.25">
      <c r="A20">
        <v>19</v>
      </c>
      <c r="B20">
        <v>450878.02289999998</v>
      </c>
      <c r="C20">
        <v>0</v>
      </c>
      <c r="D20">
        <v>832070.60530000005</v>
      </c>
      <c r="E20">
        <v>8853.2450000000008</v>
      </c>
      <c r="F20">
        <v>1261316.0549999999</v>
      </c>
      <c r="G20">
        <v>1591.788638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0</v>
      </c>
      <c r="M20" s="1">
        <f t="shared" si="2"/>
        <v>11417582.815672694</v>
      </c>
      <c r="N20" s="1">
        <f t="shared" si="3"/>
        <v>960507.51283903513</v>
      </c>
      <c r="O20" s="1"/>
    </row>
    <row r="21" spans="1:25" x14ac:dyDescent="0.25">
      <c r="A21">
        <v>20</v>
      </c>
      <c r="B21">
        <v>502288.82179999998</v>
      </c>
      <c r="C21">
        <v>0</v>
      </c>
      <c r="D21">
        <v>932607.06099999999</v>
      </c>
      <c r="E21">
        <v>8765.4509999999991</v>
      </c>
      <c r="F21">
        <v>1315359.115</v>
      </c>
      <c r="G21">
        <v>183.28467140000001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0</v>
      </c>
      <c r="M21" s="1">
        <f t="shared" si="2"/>
        <v>2653211.9127170998</v>
      </c>
      <c r="N21" s="1">
        <f t="shared" si="3"/>
        <v>25957.776910949735</v>
      </c>
      <c r="O21" s="1"/>
    </row>
    <row r="22" spans="1:25" x14ac:dyDescent="0.25">
      <c r="A22">
        <v>21</v>
      </c>
      <c r="B22">
        <v>541738.39029999997</v>
      </c>
      <c r="C22">
        <v>0</v>
      </c>
      <c r="D22">
        <v>967780.33840000001</v>
      </c>
      <c r="E22">
        <v>7496.5078000000003</v>
      </c>
      <c r="F22">
        <v>1346300.28</v>
      </c>
      <c r="G22">
        <v>420.4119915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0</v>
      </c>
      <c r="M22" s="1">
        <f t="shared" si="2"/>
        <v>1306005.472638486</v>
      </c>
      <c r="N22" s="1">
        <f t="shared" si="3"/>
        <v>34269.263649062072</v>
      </c>
      <c r="O22" s="1"/>
    </row>
    <row r="23" spans="1:25" x14ac:dyDescent="0.25">
      <c r="A23">
        <v>22</v>
      </c>
      <c r="B23">
        <v>562585.60560000001</v>
      </c>
      <c r="C23">
        <v>0</v>
      </c>
      <c r="D23">
        <v>1004964.159</v>
      </c>
      <c r="E23">
        <v>8949.6029999999992</v>
      </c>
      <c r="F23">
        <v>1408220.392</v>
      </c>
      <c r="G23">
        <v>777.94279219999999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0</v>
      </c>
      <c r="M23" s="1">
        <f t="shared" si="2"/>
        <v>2001649.7267907423</v>
      </c>
      <c r="N23" s="1">
        <f t="shared" si="3"/>
        <v>81409.605544179736</v>
      </c>
      <c r="O23" s="1"/>
    </row>
    <row r="24" spans="1:25" x14ac:dyDescent="0.25">
      <c r="A24">
        <v>23</v>
      </c>
      <c r="B24">
        <v>564141.62809999997</v>
      </c>
      <c r="C24">
        <v>0</v>
      </c>
      <c r="D24">
        <v>999994.98849999998</v>
      </c>
      <c r="E24">
        <v>8071.5384999999997</v>
      </c>
      <c r="F24">
        <v>1391814.067</v>
      </c>
      <c r="G24">
        <v>311.4836937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0</v>
      </c>
      <c r="M24" s="1">
        <f t="shared" si="2"/>
        <v>2111785.8113272744</v>
      </c>
      <c r="N24" s="1">
        <f t="shared" si="3"/>
        <v>38130.503431693185</v>
      </c>
      <c r="O24" s="1"/>
    </row>
    <row r="25" spans="1:25" x14ac:dyDescent="0.25">
      <c r="A25">
        <v>24</v>
      </c>
      <c r="B25">
        <v>498597.93070000003</v>
      </c>
      <c r="C25">
        <v>0</v>
      </c>
      <c r="D25">
        <v>914110.74549999996</v>
      </c>
      <c r="E25">
        <v>9786.25</v>
      </c>
      <c r="F25">
        <v>1321500.5060000001</v>
      </c>
      <c r="G25">
        <v>420.41205480000002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0</v>
      </c>
      <c r="M25" s="1">
        <f t="shared" si="2"/>
        <v>1349178.162768899</v>
      </c>
      <c r="N25" s="1">
        <f t="shared" si="3"/>
        <v>27118.885394339835</v>
      </c>
      <c r="O25" s="1"/>
    </row>
    <row r="26" spans="1:25" x14ac:dyDescent="0.25">
      <c r="A26">
        <v>25</v>
      </c>
      <c r="B26">
        <v>560605.33940000006</v>
      </c>
      <c r="C26">
        <v>0</v>
      </c>
      <c r="D26">
        <v>1019757.0060000001</v>
      </c>
      <c r="E26">
        <v>8940.5540000000001</v>
      </c>
      <c r="F26">
        <v>1429100.459</v>
      </c>
      <c r="G26">
        <v>563.55114639999999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0</v>
      </c>
      <c r="M26" s="1">
        <f t="shared" si="2"/>
        <v>973726.12196081248</v>
      </c>
      <c r="N26" s="1">
        <f t="shared" si="3"/>
        <v>28717.683580446665</v>
      </c>
      <c r="O26" s="1"/>
    </row>
    <row r="27" spans="1:25" x14ac:dyDescent="0.25">
      <c r="A27">
        <v>26</v>
      </c>
      <c r="B27">
        <v>634663.14879999997</v>
      </c>
      <c r="C27">
        <v>830.83360000000005</v>
      </c>
      <c r="D27">
        <v>1095423.182</v>
      </c>
      <c r="E27">
        <v>7247.4470000000001</v>
      </c>
      <c r="F27">
        <v>1509892.3740000001</v>
      </c>
      <c r="G27">
        <v>2.8609000000000002E-4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737112.18115849269</v>
      </c>
      <c r="M27" s="1">
        <f t="shared" si="2"/>
        <v>2156491.3555366839</v>
      </c>
      <c r="N27" s="1">
        <f t="shared" si="3"/>
        <v>3.9829882881997784E-2</v>
      </c>
      <c r="O27" s="1"/>
    </row>
    <row r="28" spans="1:25" x14ac:dyDescent="0.25">
      <c r="A28">
        <v>27</v>
      </c>
      <c r="B28">
        <v>555934.62650000001</v>
      </c>
      <c r="C28">
        <v>0</v>
      </c>
      <c r="D28">
        <v>1002145.927</v>
      </c>
      <c r="E28">
        <v>7582.9949999999999</v>
      </c>
      <c r="F28">
        <v>1439892.5109999999</v>
      </c>
      <c r="G28">
        <v>900.91697039999997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0</v>
      </c>
      <c r="M28" s="1">
        <f t="shared" si="2"/>
        <v>597563.13917760097</v>
      </c>
      <c r="N28" s="1">
        <f t="shared" si="3"/>
        <v>33217.846686548895</v>
      </c>
      <c r="O28" s="1"/>
    </row>
    <row r="29" spans="1:25" x14ac:dyDescent="0.25">
      <c r="A29">
        <v>28</v>
      </c>
      <c r="B29">
        <v>568716.83239999996</v>
      </c>
      <c r="C29">
        <v>0</v>
      </c>
      <c r="D29">
        <v>1028686.291</v>
      </c>
      <c r="E29">
        <v>7367.085</v>
      </c>
      <c r="F29">
        <v>1452619.673</v>
      </c>
      <c r="G29">
        <v>900.91646909999997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0</v>
      </c>
      <c r="M29" s="1">
        <f t="shared" si="2"/>
        <v>753359.45441877213</v>
      </c>
      <c r="N29" s="1">
        <f t="shared" si="3"/>
        <v>43105.706388608138</v>
      </c>
      <c r="O29" s="1"/>
    </row>
    <row r="30" spans="1:25" x14ac:dyDescent="0.25">
      <c r="A30">
        <v>29</v>
      </c>
      <c r="B30">
        <v>603337.15549999999</v>
      </c>
      <c r="C30">
        <v>0</v>
      </c>
      <c r="D30">
        <v>1089846.081</v>
      </c>
      <c r="E30">
        <v>10441.950000000001</v>
      </c>
      <c r="F30">
        <v>1497092.192</v>
      </c>
      <c r="G30">
        <v>777.94281560000002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0</v>
      </c>
      <c r="M30" s="1">
        <f t="shared" si="2"/>
        <v>1363001.4943364086</v>
      </c>
      <c r="N30" s="1">
        <f t="shared" si="3"/>
        <v>47512.302267986277</v>
      </c>
      <c r="O30" s="1"/>
    </row>
    <row r="31" spans="1:25" x14ac:dyDescent="0.25">
      <c r="A31">
        <v>30</v>
      </c>
      <c r="B31">
        <v>575646.05630000005</v>
      </c>
      <c r="C31">
        <v>0</v>
      </c>
      <c r="D31">
        <v>1050928.7930000001</v>
      </c>
      <c r="E31">
        <v>8603.0789999999997</v>
      </c>
      <c r="F31">
        <v>1459115.736</v>
      </c>
      <c r="G31">
        <v>563.55037159999995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0</v>
      </c>
      <c r="M31" s="1">
        <f t="shared" si="2"/>
        <v>3009223.4488704163</v>
      </c>
      <c r="N31" s="1">
        <f t="shared" si="3"/>
        <v>92231.005861583079</v>
      </c>
      <c r="O31" s="1"/>
    </row>
    <row r="32" spans="1:25" x14ac:dyDescent="0.25">
      <c r="A32">
        <v>31</v>
      </c>
      <c r="B32">
        <v>586446.74959999998</v>
      </c>
      <c r="C32">
        <v>0</v>
      </c>
      <c r="D32">
        <v>1064238.3489999999</v>
      </c>
      <c r="E32">
        <v>10333.290999999999</v>
      </c>
      <c r="F32">
        <v>1451409.389</v>
      </c>
      <c r="G32">
        <v>1669.215956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0</v>
      </c>
      <c r="M32" s="1">
        <f t="shared" si="2"/>
        <v>3268142.8317945246</v>
      </c>
      <c r="N32" s="1">
        <f t="shared" si="3"/>
        <v>247012.2971509179</v>
      </c>
      <c r="O32" s="1"/>
    </row>
    <row r="33" spans="1:15" x14ac:dyDescent="0.25">
      <c r="A33">
        <v>32</v>
      </c>
      <c r="B33">
        <v>598863.00379999995</v>
      </c>
      <c r="C33">
        <v>0</v>
      </c>
      <c r="D33">
        <v>1070569.9509999999</v>
      </c>
      <c r="E33">
        <v>9198.7000000000007</v>
      </c>
      <c r="F33">
        <v>1475724.1059999999</v>
      </c>
      <c r="G33">
        <v>951.43117670000004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0</v>
      </c>
      <c r="M33" s="1">
        <f t="shared" si="2"/>
        <v>1272928.9907470441</v>
      </c>
      <c r="N33" s="1">
        <f t="shared" si="3"/>
        <v>61602.562611432208</v>
      </c>
      <c r="O33" s="1"/>
    </row>
    <row r="34" spans="1:15" x14ac:dyDescent="0.25">
      <c r="A34">
        <v>33</v>
      </c>
      <c r="B34">
        <v>601496.34459999995</v>
      </c>
      <c r="C34">
        <v>830.83360000000005</v>
      </c>
      <c r="D34">
        <v>1058122.304</v>
      </c>
      <c r="E34">
        <v>7232.0739999999996</v>
      </c>
      <c r="F34">
        <v>1434478.459</v>
      </c>
      <c r="G34">
        <v>-3.3742000000000001E-4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354051.18497109279</v>
      </c>
      <c r="M34" s="1">
        <f t="shared" si="2"/>
        <v>1033613.0855170432</v>
      </c>
      <c r="N34" s="1">
        <f t="shared" si="3"/>
        <v>-2.2563664668945844E-2</v>
      </c>
      <c r="O34" s="1"/>
    </row>
    <row r="35" spans="1:15" x14ac:dyDescent="0.25">
      <c r="A35">
        <v>34</v>
      </c>
      <c r="B35">
        <v>599859.0514</v>
      </c>
      <c r="C35">
        <v>830.83360000000005</v>
      </c>
      <c r="D35">
        <v>1055031.0719999999</v>
      </c>
      <c r="E35">
        <v>7232.0739999999996</v>
      </c>
      <c r="F35">
        <v>1425782.25</v>
      </c>
      <c r="G35">
        <v>1.9106E-4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379774.22950217797</v>
      </c>
      <c r="M35" s="1">
        <f t="shared" si="2"/>
        <v>1108708.6551840056</v>
      </c>
      <c r="N35" s="1">
        <f t="shared" si="3"/>
        <v>1.3704652508861137E-2</v>
      </c>
      <c r="O35" s="1"/>
    </row>
    <row r="36" spans="1:15" x14ac:dyDescent="0.25">
      <c r="A36">
        <v>35</v>
      </c>
      <c r="B36">
        <v>468243.08049999998</v>
      </c>
      <c r="C36">
        <v>0</v>
      </c>
      <c r="D36">
        <v>851644.01229999994</v>
      </c>
      <c r="E36">
        <v>14796.7361</v>
      </c>
      <c r="F36">
        <v>1265153.023</v>
      </c>
      <c r="G36">
        <v>663.78905220000001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0</v>
      </c>
      <c r="M36" s="1">
        <f t="shared" si="2"/>
        <v>69618511.642125562</v>
      </c>
      <c r="N36" s="1">
        <f t="shared" si="3"/>
        <v>1461277.070522367</v>
      </c>
      <c r="O36" s="1"/>
    </row>
    <row r="37" spans="1:15" x14ac:dyDescent="0.25">
      <c r="A37">
        <v>36</v>
      </c>
      <c r="B37">
        <v>601905.54110000003</v>
      </c>
      <c r="C37">
        <v>723.46579999999994</v>
      </c>
      <c r="D37">
        <v>1065052.3870000001</v>
      </c>
      <c r="E37">
        <v>11019.085999999999</v>
      </c>
      <c r="F37">
        <v>1484167.2609999999</v>
      </c>
      <c r="G37">
        <v>777.94312009999999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469082.73339874519</v>
      </c>
      <c r="M37" s="1">
        <f t="shared" si="2"/>
        <v>2396183.9283477576</v>
      </c>
      <c r="N37" s="1">
        <f t="shared" si="3"/>
        <v>79152.766906479141</v>
      </c>
      <c r="O37" s="1"/>
    </row>
    <row r="38" spans="1:15" x14ac:dyDescent="0.25">
      <c r="A38">
        <v>37</v>
      </c>
      <c r="B38">
        <v>632414.45990000002</v>
      </c>
      <c r="C38">
        <v>6940.3855000000003</v>
      </c>
      <c r="D38">
        <v>1115824.4069999999</v>
      </c>
      <c r="E38">
        <v>11256.425999999999</v>
      </c>
      <c r="F38">
        <v>1533520.737</v>
      </c>
      <c r="G38">
        <v>2049.4818150000001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2893236.5441783722</v>
      </c>
      <c r="M38" s="1">
        <f t="shared" si="2"/>
        <v>1573779.9417379131</v>
      </c>
      <c r="N38" s="1">
        <f t="shared" si="3"/>
        <v>134069.88365887344</v>
      </c>
      <c r="O38" s="1"/>
    </row>
    <row r="39" spans="1:15" x14ac:dyDescent="0.25">
      <c r="A39">
        <v>38</v>
      </c>
      <c r="B39">
        <v>631246.86849999998</v>
      </c>
      <c r="C39">
        <v>830.83360000000005</v>
      </c>
      <c r="D39">
        <v>1093682.8230000001</v>
      </c>
      <c r="E39">
        <v>10616.737999999999</v>
      </c>
      <c r="F39">
        <v>1543904.906</v>
      </c>
      <c r="G39">
        <v>1669.2159590000001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206014.14371488584</v>
      </c>
      <c r="M39" s="1">
        <f t="shared" si="2"/>
        <v>882911.59997738875</v>
      </c>
      <c r="N39" s="1">
        <f t="shared" si="3"/>
        <v>64950.474651737932</v>
      </c>
      <c r="O39" s="1"/>
    </row>
    <row r="40" spans="1:15" x14ac:dyDescent="0.25">
      <c r="A40">
        <v>39</v>
      </c>
      <c r="B40">
        <v>634500.60600000003</v>
      </c>
      <c r="C40">
        <v>830.83360000000005</v>
      </c>
      <c r="D40">
        <v>1110085.9909999999</v>
      </c>
      <c r="E40">
        <v>9200.6509999999998</v>
      </c>
      <c r="F40">
        <v>1546883.1910000001</v>
      </c>
      <c r="G40">
        <v>1485.931928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526295.85132964945</v>
      </c>
      <c r="M40" s="1">
        <f t="shared" si="2"/>
        <v>1954688.64094192</v>
      </c>
      <c r="N40" s="1">
        <f t="shared" si="3"/>
        <v>147707.18602950481</v>
      </c>
      <c r="O40" s="1"/>
    </row>
    <row r="41" spans="1:15" x14ac:dyDescent="0.25">
      <c r="A41">
        <v>40</v>
      </c>
      <c r="B41">
        <v>654875.77229999995</v>
      </c>
      <c r="C41">
        <v>830.83349999999996</v>
      </c>
      <c r="D41">
        <v>1143140.983</v>
      </c>
      <c r="E41">
        <v>8716.8760000000002</v>
      </c>
      <c r="F41">
        <v>1548153.882</v>
      </c>
      <c r="G41">
        <v>1952.667983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393491.98534733412</v>
      </c>
      <c r="M41" s="1">
        <f t="shared" si="2"/>
        <v>1384605.0036260681</v>
      </c>
      <c r="N41" s="1">
        <f t="shared" si="3"/>
        <v>145123.28891259225</v>
      </c>
      <c r="O41" s="1"/>
    </row>
    <row r="42" spans="1:15" x14ac:dyDescent="0.25">
      <c r="A42">
        <v>41</v>
      </c>
      <c r="B42">
        <v>625705.83499999996</v>
      </c>
      <c r="C42">
        <v>830.83360000000005</v>
      </c>
      <c r="D42">
        <v>1120140.4790000001</v>
      </c>
      <c r="E42">
        <v>8716.8760000000002</v>
      </c>
      <c r="F42">
        <v>1520121.632</v>
      </c>
      <c r="G42">
        <v>1952.667743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192979.00813760879</v>
      </c>
      <c r="M42" s="1">
        <f t="shared" si="2"/>
        <v>679047.2946122078</v>
      </c>
      <c r="N42" s="1">
        <f t="shared" si="3"/>
        <v>71172.330268294041</v>
      </c>
      <c r="O42" s="1"/>
    </row>
    <row r="43" spans="1:15" x14ac:dyDescent="0.25">
      <c r="A43">
        <v>42</v>
      </c>
      <c r="B43">
        <v>623032.63529999997</v>
      </c>
      <c r="C43">
        <v>830.83360000000005</v>
      </c>
      <c r="D43">
        <v>1103878.1680000001</v>
      </c>
      <c r="E43">
        <v>9463.5630000000001</v>
      </c>
      <c r="F43">
        <v>1498892.7919999999</v>
      </c>
      <c r="G43">
        <v>2049.760115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171672.26434743695</v>
      </c>
      <c r="M43" s="1">
        <f t="shared" si="2"/>
        <v>655818.85470764246</v>
      </c>
      <c r="N43" s="1">
        <f t="shared" si="3"/>
        <v>66462.387343420458</v>
      </c>
      <c r="O43" s="1"/>
    </row>
    <row r="44" spans="1:15" x14ac:dyDescent="0.25">
      <c r="A44">
        <v>43</v>
      </c>
      <c r="B44">
        <v>613221.04539999994</v>
      </c>
      <c r="C44">
        <v>6687.0159999999996</v>
      </c>
      <c r="D44">
        <v>1094689.42</v>
      </c>
      <c r="E44">
        <v>6656.8890000000001</v>
      </c>
      <c r="F44">
        <v>1477008.7290000001</v>
      </c>
      <c r="G44">
        <v>97.091765600000002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1390628.657880225</v>
      </c>
      <c r="M44" s="1">
        <f t="shared" si="2"/>
        <v>464294.20703060384</v>
      </c>
      <c r="N44" s="1">
        <f t="shared" si="3"/>
        <v>3168.4585246140923</v>
      </c>
      <c r="O44" s="1"/>
    </row>
    <row r="45" spans="1:15" x14ac:dyDescent="0.25">
      <c r="A45">
        <v>44</v>
      </c>
      <c r="B45">
        <v>623289.37150000001</v>
      </c>
      <c r="C45">
        <v>6687.0159999999996</v>
      </c>
      <c r="D45">
        <v>1093018.0379999999</v>
      </c>
      <c r="E45">
        <v>7232.0739999999996</v>
      </c>
      <c r="F45">
        <v>1473073.023</v>
      </c>
      <c r="G45">
        <v>-1.7354E-4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2525928.4515749537</v>
      </c>
      <c r="M45" s="1">
        <f t="shared" si="2"/>
        <v>916209.26807965559</v>
      </c>
      <c r="N45" s="1">
        <f t="shared" si="3"/>
        <v>-1.0286676700870046E-2</v>
      </c>
      <c r="O45" s="1"/>
    </row>
    <row r="46" spans="1:15" x14ac:dyDescent="0.25">
      <c r="A46">
        <v>45</v>
      </c>
      <c r="B46">
        <v>623978.84829999995</v>
      </c>
      <c r="C46">
        <v>6687.0159999999996</v>
      </c>
      <c r="D46">
        <v>1081143.4010000001</v>
      </c>
      <c r="E46">
        <v>7865.9369999999999</v>
      </c>
      <c r="F46">
        <v>1448935.466</v>
      </c>
      <c r="G46">
        <v>2.4656999999999999E-4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4821221.8563424936</v>
      </c>
      <c r="M46" s="1">
        <f t="shared" si="2"/>
        <v>1902034.3464990975</v>
      </c>
      <c r="N46" s="1">
        <f t="shared" si="3"/>
        <v>2.7896634004688763E-2</v>
      </c>
      <c r="O46" s="1"/>
    </row>
    <row r="47" spans="1:15" x14ac:dyDescent="0.25">
      <c r="A47">
        <v>46</v>
      </c>
      <c r="B47">
        <v>683647.95279999997</v>
      </c>
      <c r="C47">
        <v>830.83360000000005</v>
      </c>
      <c r="D47">
        <v>1142893.0830000001</v>
      </c>
      <c r="E47">
        <v>7480.98</v>
      </c>
      <c r="F47">
        <v>1571932.2890000001</v>
      </c>
      <c r="G47">
        <v>2049.7595230000002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165512.33275996929</v>
      </c>
      <c r="M47" s="1">
        <f t="shared" si="2"/>
        <v>499824.95864855044</v>
      </c>
      <c r="N47" s="1">
        <f t="shared" si="3"/>
        <v>64077.570333007112</v>
      </c>
      <c r="O47" s="1"/>
    </row>
    <row r="48" spans="1:15" x14ac:dyDescent="0.25">
      <c r="A48">
        <v>47</v>
      </c>
      <c r="B48">
        <v>706893.60699999996</v>
      </c>
      <c r="C48">
        <v>830.83349999999996</v>
      </c>
      <c r="D48">
        <v>1181617.9180000001</v>
      </c>
      <c r="E48">
        <v>6734.2920000000004</v>
      </c>
      <c r="F48">
        <v>1576696.86</v>
      </c>
      <c r="G48">
        <v>737.03878280000004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375004.99399777356</v>
      </c>
      <c r="M48" s="1">
        <f t="shared" si="2"/>
        <v>1019431.69593974</v>
      </c>
      <c r="N48" s="1">
        <f t="shared" si="3"/>
        <v>52203.570512011072</v>
      </c>
      <c r="O48" s="1"/>
    </row>
    <row r="49" spans="1:15" x14ac:dyDescent="0.25">
      <c r="A49">
        <v>48</v>
      </c>
      <c r="B49">
        <v>683325.00210000004</v>
      </c>
      <c r="C49">
        <v>830.83360000000005</v>
      </c>
      <c r="D49">
        <v>1178616.9280000001</v>
      </c>
      <c r="E49">
        <v>6920.2070000000003</v>
      </c>
      <c r="F49">
        <v>1583613.334</v>
      </c>
      <c r="G49">
        <v>2049.7596010000002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361826.09569152159</v>
      </c>
      <c r="M49" s="1">
        <f t="shared" si="2"/>
        <v>1010760.0231137574</v>
      </c>
      <c r="N49" s="1">
        <f t="shared" si="3"/>
        <v>140079.82118695878</v>
      </c>
      <c r="O49" s="1"/>
    </row>
    <row r="50" spans="1:15" x14ac:dyDescent="0.25">
      <c r="A50">
        <v>49</v>
      </c>
      <c r="B50">
        <v>640322.72990000003</v>
      </c>
      <c r="C50">
        <v>6687.0159000000003</v>
      </c>
      <c r="D50">
        <v>1134765.5319999999</v>
      </c>
      <c r="E50">
        <v>10322.635</v>
      </c>
      <c r="F50">
        <v>1534006.2720000001</v>
      </c>
      <c r="G50">
        <v>2049.7602590000001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2820412.180157362</v>
      </c>
      <c r="M50" s="1">
        <f t="shared" si="2"/>
        <v>1460205.3455216731</v>
      </c>
      <c r="N50" s="1">
        <f t="shared" si="3"/>
        <v>135665.71547209023</v>
      </c>
      <c r="O50" s="1"/>
    </row>
    <row r="51" spans="1:15" x14ac:dyDescent="0.25">
      <c r="A51">
        <v>50</v>
      </c>
      <c r="B51">
        <v>646642.72640000004</v>
      </c>
      <c r="C51">
        <v>8282.4917000000005</v>
      </c>
      <c r="D51">
        <v>1141586.9539999999</v>
      </c>
      <c r="E51">
        <v>9223.7919999999995</v>
      </c>
      <c r="F51">
        <v>1537749.9469999999</v>
      </c>
      <c r="G51">
        <v>1539.8706079999999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4508621.345926174</v>
      </c>
      <c r="M51" s="1">
        <f t="shared" si="2"/>
        <v>1683974.0368961503</v>
      </c>
      <c r="N51" s="1">
        <f t="shared" si="3"/>
        <v>131538.77655991961</v>
      </c>
      <c r="O51" s="1"/>
    </row>
    <row r="52" spans="1:15" x14ac:dyDescent="0.25">
      <c r="A52">
        <v>51</v>
      </c>
      <c r="B52">
        <v>636716.86620000005</v>
      </c>
      <c r="C52">
        <v>8282.4917000000005</v>
      </c>
      <c r="D52">
        <v>1129001.483</v>
      </c>
      <c r="E52">
        <v>9223.7919999999995</v>
      </c>
      <c r="F52">
        <v>1523933.8089999999</v>
      </c>
      <c r="G52">
        <v>1539.87024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3431110.8747371207</v>
      </c>
      <c r="M52" s="1">
        <f t="shared" si="2"/>
        <v>1281522.9285089669</v>
      </c>
      <c r="N52" s="1">
        <f t="shared" si="3"/>
        <v>100102.44467617843</v>
      </c>
      <c r="O52" s="1"/>
    </row>
    <row r="53" spans="1:15" x14ac:dyDescent="0.25">
      <c r="A53">
        <v>52</v>
      </c>
      <c r="B53">
        <v>654341.81259999995</v>
      </c>
      <c r="C53">
        <v>9067.3469999999998</v>
      </c>
      <c r="D53">
        <v>1145072.1640000001</v>
      </c>
      <c r="E53">
        <v>7977.1080000000002</v>
      </c>
      <c r="F53">
        <v>1535235.7139999999</v>
      </c>
      <c r="G53">
        <v>2759.932362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4489507.2819764167</v>
      </c>
      <c r="M53" s="1">
        <f t="shared" si="2"/>
        <v>1324668.0239145665</v>
      </c>
      <c r="N53" s="1">
        <f t="shared" si="3"/>
        <v>214438.96291063543</v>
      </c>
      <c r="O53" s="1"/>
    </row>
    <row r="54" spans="1:15" x14ac:dyDescent="0.25">
      <c r="A54">
        <v>53</v>
      </c>
      <c r="B54">
        <v>558219.8077</v>
      </c>
      <c r="C54">
        <v>0</v>
      </c>
      <c r="D54">
        <v>989736.83609999996</v>
      </c>
      <c r="E54">
        <v>13439.1769</v>
      </c>
      <c r="F54">
        <v>1433753.9809999999</v>
      </c>
      <c r="G54">
        <v>520.65029730000003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0</v>
      </c>
      <c r="M54" s="1">
        <f t="shared" si="2"/>
        <v>4252893.3556147618</v>
      </c>
      <c r="N54" s="1">
        <f t="shared" si="3"/>
        <v>77090.634624245853</v>
      </c>
      <c r="O54" s="1"/>
    </row>
    <row r="55" spans="1:15" x14ac:dyDescent="0.25">
      <c r="A55">
        <v>54</v>
      </c>
      <c r="B55">
        <v>657888.67310000001</v>
      </c>
      <c r="C55">
        <v>830.83349999999996</v>
      </c>
      <c r="D55">
        <v>1119389.7080000001</v>
      </c>
      <c r="E55">
        <v>9849.5159999999996</v>
      </c>
      <c r="F55">
        <v>1545799.1869999999</v>
      </c>
      <c r="G55">
        <v>2309.1631269999998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462254.29136773769</v>
      </c>
      <c r="M55" s="1">
        <f t="shared" si="2"/>
        <v>1837913.1252932281</v>
      </c>
      <c r="N55" s="1">
        <f t="shared" si="3"/>
        <v>201608.28784446759</v>
      </c>
      <c r="O55" s="1"/>
    </row>
    <row r="56" spans="1:15" x14ac:dyDescent="0.25">
      <c r="A56">
        <v>55</v>
      </c>
      <c r="B56">
        <v>667430.5675</v>
      </c>
      <c r="C56">
        <v>830.83360000000005</v>
      </c>
      <c r="D56">
        <v>1144125.638</v>
      </c>
      <c r="E56">
        <v>7480.9809999999998</v>
      </c>
      <c r="F56">
        <v>1567041.3</v>
      </c>
      <c r="G56">
        <v>2049.7598109999999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295592.75614524324</v>
      </c>
      <c r="M56" s="1">
        <f t="shared" si="2"/>
        <v>892650.44122567063</v>
      </c>
      <c r="N56" s="1">
        <f t="shared" si="3"/>
        <v>114437.80633897323</v>
      </c>
      <c r="O56" s="1"/>
    </row>
    <row r="57" spans="1:15" x14ac:dyDescent="0.25">
      <c r="A57">
        <v>56</v>
      </c>
      <c r="B57">
        <v>703969.06350000005</v>
      </c>
      <c r="C57">
        <v>6687.0159999999996</v>
      </c>
      <c r="D57">
        <v>1151677.375</v>
      </c>
      <c r="E57">
        <v>9312.6280000000006</v>
      </c>
      <c r="F57">
        <v>1574381.389</v>
      </c>
      <c r="G57">
        <v>942.12849419999998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2697324.091643136</v>
      </c>
      <c r="M57" s="1">
        <f t="shared" si="2"/>
        <v>1259842.2278173049</v>
      </c>
      <c r="N57" s="1">
        <f t="shared" si="3"/>
        <v>59634.519343748529</v>
      </c>
      <c r="O57" s="1"/>
    </row>
    <row r="58" spans="1:15" x14ac:dyDescent="0.25">
      <c r="A58">
        <v>57</v>
      </c>
      <c r="B58">
        <v>716864.38890000002</v>
      </c>
      <c r="C58">
        <v>6687.0159999999996</v>
      </c>
      <c r="D58">
        <v>1185634.0719999999</v>
      </c>
      <c r="E58">
        <v>9312.6290000000008</v>
      </c>
      <c r="F58">
        <v>1577632.6470000001</v>
      </c>
      <c r="G58">
        <v>97.092030969999996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6542141.9928652337</v>
      </c>
      <c r="M58" s="1">
        <f t="shared" si="2"/>
        <v>3055646.0210198984</v>
      </c>
      <c r="N58" s="1">
        <f t="shared" si="3"/>
        <v>14905.893175694442</v>
      </c>
      <c r="O58" s="1"/>
    </row>
    <row r="59" spans="1:15" x14ac:dyDescent="0.25">
      <c r="A59">
        <v>58</v>
      </c>
      <c r="B59">
        <v>686818.17420000001</v>
      </c>
      <c r="C59">
        <v>6687.0159999999996</v>
      </c>
      <c r="D59">
        <v>1169405.317</v>
      </c>
      <c r="E59">
        <v>9388.9809999999998</v>
      </c>
      <c r="F59">
        <v>1569909.8959999999</v>
      </c>
      <c r="G59">
        <v>3.6918999999999998E-4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4714701.7613542927</v>
      </c>
      <c r="M59" s="1">
        <f t="shared" si="2"/>
        <v>2220155.8423641818</v>
      </c>
      <c r="N59" s="1">
        <f t="shared" si="3"/>
        <v>4.0846853483040964E-2</v>
      </c>
      <c r="O59" s="1"/>
    </row>
    <row r="60" spans="1:15" x14ac:dyDescent="0.25">
      <c r="A60">
        <v>59</v>
      </c>
      <c r="B60">
        <v>656568.69330000004</v>
      </c>
      <c r="C60">
        <v>8555.5390000000007</v>
      </c>
      <c r="D60">
        <v>1144579.612</v>
      </c>
      <c r="E60">
        <v>6421.9359999999997</v>
      </c>
      <c r="F60">
        <v>1547928.307</v>
      </c>
      <c r="G60">
        <v>1220.0627460000001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2882323.7393726078</v>
      </c>
      <c r="M60" s="1">
        <f t="shared" si="2"/>
        <v>725612.06194487773</v>
      </c>
      <c r="N60" s="1">
        <f t="shared" si="3"/>
        <v>64500.690634836879</v>
      </c>
      <c r="O60" s="1"/>
    </row>
    <row r="61" spans="1:15" x14ac:dyDescent="0.25">
      <c r="A61">
        <v>60</v>
      </c>
      <c r="B61">
        <v>659034.6986</v>
      </c>
      <c r="C61">
        <v>0</v>
      </c>
      <c r="D61">
        <v>1077264.7660000001</v>
      </c>
      <c r="E61">
        <v>8453.5580000000009</v>
      </c>
      <c r="F61">
        <v>1464171.1089999999</v>
      </c>
      <c r="G61">
        <v>2.5090000000000003E-4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0</v>
      </c>
      <c r="M61" s="1">
        <f t="shared" si="2"/>
        <v>996639.51372198318</v>
      </c>
      <c r="N61" s="1">
        <f t="shared" si="3"/>
        <v>1.3840217157523109E-2</v>
      </c>
      <c r="O61" s="1"/>
    </row>
    <row r="62" spans="1:15" x14ac:dyDescent="0.25">
      <c r="A62">
        <v>61</v>
      </c>
      <c r="B62">
        <v>680583.82539999997</v>
      </c>
      <c r="C62">
        <v>9785.3392999999996</v>
      </c>
      <c r="D62">
        <v>1147397.125</v>
      </c>
      <c r="E62">
        <v>1962.86</v>
      </c>
      <c r="F62">
        <v>1531584.226</v>
      </c>
      <c r="G62">
        <v>1437.521788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3044575.9766304381</v>
      </c>
      <c r="M62" s="1">
        <f t="shared" si="2"/>
        <v>204825.20063687573</v>
      </c>
      <c r="N62" s="1">
        <f t="shared" si="3"/>
        <v>70186.272478999235</v>
      </c>
      <c r="O62" s="1"/>
    </row>
    <row r="63" spans="1:15" x14ac:dyDescent="0.25">
      <c r="A63">
        <v>62</v>
      </c>
      <c r="B63">
        <v>655803.60019999999</v>
      </c>
      <c r="C63">
        <v>10128.176299999999</v>
      </c>
      <c r="D63">
        <v>1136514.3940000001</v>
      </c>
      <c r="E63">
        <v>7824.6540000000005</v>
      </c>
      <c r="F63">
        <v>1523551.2109999999</v>
      </c>
      <c r="G63">
        <v>1220.061989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4630512.5127907414</v>
      </c>
      <c r="M63" s="1">
        <f t="shared" si="2"/>
        <v>1199792.3516590311</v>
      </c>
      <c r="N63" s="1">
        <f t="shared" si="3"/>
        <v>87531.933487583199</v>
      </c>
      <c r="O63" s="1"/>
    </row>
    <row r="64" spans="1:15" x14ac:dyDescent="0.25">
      <c r="A64">
        <v>63</v>
      </c>
      <c r="B64">
        <v>665915.45920000004</v>
      </c>
      <c r="C64">
        <v>9320.5400000000009</v>
      </c>
      <c r="D64">
        <v>1111753.7879999999</v>
      </c>
      <c r="E64">
        <v>7041.9269999999997</v>
      </c>
      <c r="F64">
        <v>1494529.0360000001</v>
      </c>
      <c r="G64">
        <v>1220.0624290000001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20834685.109127846</v>
      </c>
      <c r="M64" s="1">
        <f t="shared" si="2"/>
        <v>5279350.8151326049</v>
      </c>
      <c r="N64" s="1">
        <f t="shared" si="3"/>
        <v>427971.38779391453</v>
      </c>
      <c r="O64" s="1"/>
    </row>
    <row r="65" spans="1:15" x14ac:dyDescent="0.25">
      <c r="A65">
        <v>64</v>
      </c>
      <c r="B65">
        <v>279396.8028</v>
      </c>
      <c r="C65">
        <v>0</v>
      </c>
      <c r="D65">
        <v>633036.03060000006</v>
      </c>
      <c r="E65">
        <v>8853.2450000000008</v>
      </c>
      <c r="F65">
        <v>1100057.0819999999</v>
      </c>
      <c r="G65">
        <v>8192.9443210000009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0</v>
      </c>
      <c r="M65" s="1">
        <f t="shared" si="2"/>
        <v>13850881.785742439</v>
      </c>
      <c r="N65" s="1">
        <f t="shared" si="3"/>
        <v>5997339.3227898376</v>
      </c>
      <c r="O65" s="1"/>
    </row>
    <row r="66" spans="1:15" x14ac:dyDescent="0.25">
      <c r="A66">
        <v>65</v>
      </c>
      <c r="B66">
        <v>532611.43290000001</v>
      </c>
      <c r="C66">
        <v>0</v>
      </c>
      <c r="D66">
        <v>938933.34239999996</v>
      </c>
      <c r="E66">
        <v>14591.8177</v>
      </c>
      <c r="F66">
        <v>1367756.4140000001</v>
      </c>
      <c r="G66">
        <v>1929.133071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0</v>
      </c>
      <c r="M66" s="1">
        <f t="shared" si="2"/>
        <v>2289607.1959089963</v>
      </c>
      <c r="N66" s="1">
        <f t="shared" si="3"/>
        <v>141630.71591576847</v>
      </c>
      <c r="O66" s="1"/>
    </row>
    <row r="67" spans="1:15" x14ac:dyDescent="0.25">
      <c r="A67">
        <v>66</v>
      </c>
      <c r="B67">
        <v>553286.84589999996</v>
      </c>
      <c r="C67">
        <v>0</v>
      </c>
      <c r="D67">
        <v>975253.5638</v>
      </c>
      <c r="E67">
        <v>14164.466200000001</v>
      </c>
      <c r="F67">
        <v>1406559.6259999999</v>
      </c>
      <c r="G67">
        <v>520.65052200000002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0</v>
      </c>
      <c r="M67" s="1">
        <f t="shared" ref="M67:M130" si="7">$U$3*$K67*E67</f>
        <v>2543710.8208674449</v>
      </c>
      <c r="N67" s="1">
        <f t="shared" ref="N67:N130" si="8">$U$4*$K67*G67</f>
        <v>43747.930284368769</v>
      </c>
      <c r="O67" s="1"/>
    </row>
    <row r="68" spans="1:15" x14ac:dyDescent="0.25">
      <c r="A68">
        <v>67</v>
      </c>
      <c r="B68">
        <v>595570.29410000006</v>
      </c>
      <c r="C68">
        <v>3925.9695999999999</v>
      </c>
      <c r="D68">
        <v>1045099.18</v>
      </c>
      <c r="E68">
        <v>9629.3520000000008</v>
      </c>
      <c r="F68">
        <v>1474977.254</v>
      </c>
      <c r="G68">
        <v>563.55034579999995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2542438.2957820855</v>
      </c>
      <c r="M68" s="1">
        <f t="shared" si="7"/>
        <v>2091431.711099322</v>
      </c>
      <c r="N68" s="1">
        <f t="shared" si="8"/>
        <v>57269.451656493875</v>
      </c>
      <c r="O68" s="1"/>
    </row>
    <row r="69" spans="1:15" x14ac:dyDescent="0.25">
      <c r="A69">
        <v>68</v>
      </c>
      <c r="B69">
        <v>624702.1311</v>
      </c>
      <c r="C69">
        <v>6940.3855000000003</v>
      </c>
      <c r="D69">
        <v>1095124.871</v>
      </c>
      <c r="E69">
        <v>10333.290999999999</v>
      </c>
      <c r="F69">
        <v>1511831.5460000001</v>
      </c>
      <c r="G69">
        <v>1669.215727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3187171.0216089375</v>
      </c>
      <c r="M69" s="1">
        <f t="shared" si="7"/>
        <v>1591488.7432306798</v>
      </c>
      <c r="N69" s="1">
        <f t="shared" si="8"/>
        <v>120287.65468844438</v>
      </c>
      <c r="O69" s="1"/>
    </row>
    <row r="70" spans="1:15" x14ac:dyDescent="0.25">
      <c r="A70">
        <v>69</v>
      </c>
      <c r="B70">
        <v>649439.59880000004</v>
      </c>
      <c r="C70">
        <v>830.83360000000005</v>
      </c>
      <c r="D70">
        <v>1110700.0260000001</v>
      </c>
      <c r="E70">
        <v>9849.5159999999996</v>
      </c>
      <c r="F70">
        <v>1540817.6769999999</v>
      </c>
      <c r="G70">
        <v>1952.668007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220629.62858830084</v>
      </c>
      <c r="M70" s="1">
        <f t="shared" si="7"/>
        <v>877218.55475917715</v>
      </c>
      <c r="N70" s="1">
        <f t="shared" si="8"/>
        <v>81370.129670597555</v>
      </c>
      <c r="O70" s="1"/>
    </row>
    <row r="71" spans="1:15" x14ac:dyDescent="0.25">
      <c r="A71">
        <v>70</v>
      </c>
      <c r="B71">
        <v>618703.35389999999</v>
      </c>
      <c r="C71">
        <v>6940.3855000000003</v>
      </c>
      <c r="D71">
        <v>1085522.959</v>
      </c>
      <c r="E71">
        <v>9947.3379999999997</v>
      </c>
      <c r="F71">
        <v>1497735.8289999999</v>
      </c>
      <c r="G71">
        <v>1952.6681120000001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1754924.2503042885</v>
      </c>
      <c r="M71" s="1">
        <f t="shared" si="7"/>
        <v>843577.12289430795</v>
      </c>
      <c r="N71" s="1">
        <f t="shared" si="8"/>
        <v>77480.074690721085</v>
      </c>
      <c r="O71" s="1"/>
    </row>
    <row r="72" spans="1:15" x14ac:dyDescent="0.25">
      <c r="A72">
        <v>71</v>
      </c>
      <c r="B72">
        <v>662425.14839999995</v>
      </c>
      <c r="C72">
        <v>6687.0159999999996</v>
      </c>
      <c r="D72">
        <v>1146003.0649999999</v>
      </c>
      <c r="E72">
        <v>9312.6290000000008</v>
      </c>
      <c r="F72">
        <v>1563460.0390000001</v>
      </c>
      <c r="G72">
        <v>97.091969039999995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1634471.9744197908</v>
      </c>
      <c r="M72" s="1">
        <f t="shared" si="7"/>
        <v>763414.76393376314</v>
      </c>
      <c r="N72" s="1">
        <f t="shared" si="8"/>
        <v>3724.0477409184582</v>
      </c>
      <c r="O72" s="1"/>
    </row>
    <row r="73" spans="1:15" x14ac:dyDescent="0.25">
      <c r="A73">
        <v>72</v>
      </c>
      <c r="B73">
        <v>624109.89859999996</v>
      </c>
      <c r="C73">
        <v>830.83360000000005</v>
      </c>
      <c r="D73">
        <v>1119524.284</v>
      </c>
      <c r="E73">
        <v>9151.2340000000004</v>
      </c>
      <c r="F73">
        <v>1513477.7</v>
      </c>
      <c r="G73">
        <v>97.091808330000006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294694.37742422189</v>
      </c>
      <c r="M73" s="1">
        <f t="shared" si="7"/>
        <v>1088630.7456695484</v>
      </c>
      <c r="N73" s="1">
        <f t="shared" si="8"/>
        <v>5404.1476136325391</v>
      </c>
      <c r="O73" s="1"/>
    </row>
    <row r="74" spans="1:15" x14ac:dyDescent="0.25">
      <c r="A74">
        <v>73</v>
      </c>
      <c r="B74">
        <v>643838.20460000006</v>
      </c>
      <c r="C74">
        <v>6687.0159999999996</v>
      </c>
      <c r="D74">
        <v>1140932.058</v>
      </c>
      <c r="E74">
        <v>8360.5280000000002</v>
      </c>
      <c r="F74">
        <v>1544322.327</v>
      </c>
      <c r="G74" s="1">
        <v>-9.7899999999999994E-5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5236634.6748511745</v>
      </c>
      <c r="M74" s="1">
        <f t="shared" si="7"/>
        <v>2195820.1063582101</v>
      </c>
      <c r="N74" s="1">
        <f t="shared" si="8"/>
        <v>-1.2030659124426031E-2</v>
      </c>
      <c r="O74" s="1"/>
    </row>
    <row r="75" spans="1:15" x14ac:dyDescent="0.25">
      <c r="A75">
        <v>74</v>
      </c>
      <c r="B75">
        <v>653928.64280000003</v>
      </c>
      <c r="C75">
        <v>8555.5388999999996</v>
      </c>
      <c r="D75">
        <v>1127760.9809999999</v>
      </c>
      <c r="E75">
        <v>7903.9120000000003</v>
      </c>
      <c r="F75">
        <v>1530798.898</v>
      </c>
      <c r="G75">
        <v>1220.062815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5343939.1084665209</v>
      </c>
      <c r="M75" s="1">
        <f t="shared" si="7"/>
        <v>1655767.5383434969</v>
      </c>
      <c r="N75" s="1">
        <f t="shared" si="8"/>
        <v>119586.7702231437</v>
      </c>
      <c r="O75" s="1"/>
    </row>
    <row r="76" spans="1:15" x14ac:dyDescent="0.25">
      <c r="A76">
        <v>75</v>
      </c>
      <c r="B76">
        <v>661320.95479999995</v>
      </c>
      <c r="C76">
        <v>9320.5400000000009</v>
      </c>
      <c r="D76">
        <v>1129542.2379999999</v>
      </c>
      <c r="E76">
        <v>6510.8090000000002</v>
      </c>
      <c r="F76">
        <v>1519406.298</v>
      </c>
      <c r="G76">
        <v>964.41736900000001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3269884.0733096264</v>
      </c>
      <c r="M76" s="1">
        <f t="shared" si="7"/>
        <v>766071.61956355651</v>
      </c>
      <c r="N76" s="1">
        <f t="shared" si="8"/>
        <v>53093.715679639536</v>
      </c>
      <c r="O76" s="1"/>
    </row>
    <row r="77" spans="1:15" x14ac:dyDescent="0.25">
      <c r="A77">
        <v>76</v>
      </c>
      <c r="B77">
        <v>675412.00450000004</v>
      </c>
      <c r="C77">
        <v>10128.1764</v>
      </c>
      <c r="D77">
        <v>1141519.4240000001</v>
      </c>
      <c r="E77">
        <v>914.32899999999995</v>
      </c>
      <c r="F77">
        <v>1523316.943</v>
      </c>
      <c r="G77" s="1">
        <v>-3.4700000000000003E-5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3107488.8340374283</v>
      </c>
      <c r="M77" s="1">
        <f t="shared" si="7"/>
        <v>94085.771752216431</v>
      </c>
      <c r="N77" s="1">
        <f t="shared" si="8"/>
        <v>-1.6706851407269773E-3</v>
      </c>
      <c r="O77" s="1"/>
    </row>
    <row r="78" spans="1:15" x14ac:dyDescent="0.25">
      <c r="A78">
        <v>77</v>
      </c>
      <c r="B78">
        <v>696186.70669999998</v>
      </c>
      <c r="C78">
        <v>9616.3683000000001</v>
      </c>
      <c r="D78">
        <v>1136004.969</v>
      </c>
      <c r="E78">
        <v>914.32899999999995</v>
      </c>
      <c r="F78">
        <v>1508295.5970000001</v>
      </c>
      <c r="G78">
        <v>1220.0619300000001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4430215.428103338</v>
      </c>
      <c r="M78" s="1">
        <f t="shared" si="7"/>
        <v>141273.07185529626</v>
      </c>
      <c r="N78" s="1">
        <f t="shared" si="8"/>
        <v>88202.815437541096</v>
      </c>
      <c r="O78" s="1"/>
    </row>
    <row r="79" spans="1:15" x14ac:dyDescent="0.25">
      <c r="A79">
        <v>78</v>
      </c>
      <c r="B79">
        <v>559522.71499999997</v>
      </c>
      <c r="C79">
        <v>0</v>
      </c>
      <c r="D79">
        <v>994268.05130000005</v>
      </c>
      <c r="E79">
        <v>8379.8446999999996</v>
      </c>
      <c r="F79">
        <v>1407068.567</v>
      </c>
      <c r="G79">
        <v>677.20116599999994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0</v>
      </c>
      <c r="M79" s="1">
        <f t="shared" si="7"/>
        <v>2040667.7421295098</v>
      </c>
      <c r="N79" s="1">
        <f t="shared" si="8"/>
        <v>77160.974635604216</v>
      </c>
      <c r="O79" s="1"/>
    </row>
    <row r="80" spans="1:15" x14ac:dyDescent="0.25">
      <c r="A80">
        <v>79</v>
      </c>
      <c r="B80">
        <v>539763.70719999995</v>
      </c>
      <c r="C80">
        <v>0</v>
      </c>
      <c r="D80">
        <v>972729.84400000004</v>
      </c>
      <c r="E80">
        <v>13751.9179</v>
      </c>
      <c r="F80">
        <v>1384357.105</v>
      </c>
      <c r="G80">
        <v>520.65101570000002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0</v>
      </c>
      <c r="M80" s="1">
        <f t="shared" si="7"/>
        <v>6370051.4471218269</v>
      </c>
      <c r="N80" s="1">
        <f t="shared" si="8"/>
        <v>112841.81608039323</v>
      </c>
      <c r="O80" s="1"/>
    </row>
    <row r="81" spans="1:15" x14ac:dyDescent="0.25">
      <c r="A81">
        <v>80</v>
      </c>
      <c r="B81">
        <v>574092.85419999994</v>
      </c>
      <c r="C81">
        <v>723.46590000000003</v>
      </c>
      <c r="D81">
        <v>1013672.069</v>
      </c>
      <c r="E81">
        <v>10230.785</v>
      </c>
      <c r="F81">
        <v>1412382.041</v>
      </c>
      <c r="G81">
        <v>777.94218999999998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525890.73897125712</v>
      </c>
      <c r="M81" s="1">
        <f t="shared" si="7"/>
        <v>2494190.1058215187</v>
      </c>
      <c r="N81" s="1">
        <f t="shared" si="8"/>
        <v>88738.40070300446</v>
      </c>
      <c r="O81" s="1"/>
    </row>
    <row r="82" spans="1:15" x14ac:dyDescent="0.25">
      <c r="A82">
        <v>81</v>
      </c>
      <c r="B82">
        <v>601412.6483</v>
      </c>
      <c r="C82">
        <v>830.83360000000005</v>
      </c>
      <c r="D82">
        <v>1047764.909</v>
      </c>
      <c r="E82">
        <v>9849.5159999999996</v>
      </c>
      <c r="F82">
        <v>1457872.2919999999</v>
      </c>
      <c r="G82">
        <v>2506.144616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407436.2615521492</v>
      </c>
      <c r="M82" s="1">
        <f t="shared" si="7"/>
        <v>1619957.6222022001</v>
      </c>
      <c r="N82" s="1">
        <f t="shared" si="8"/>
        <v>192858.40465937383</v>
      </c>
      <c r="O82" s="1"/>
    </row>
    <row r="83" spans="1:15" x14ac:dyDescent="0.25">
      <c r="A83">
        <v>82</v>
      </c>
      <c r="B83">
        <v>628226.8848</v>
      </c>
      <c r="C83">
        <v>830.83360000000005</v>
      </c>
      <c r="D83">
        <v>1084681.236</v>
      </c>
      <c r="E83">
        <v>6656.8890000000001</v>
      </c>
      <c r="F83">
        <v>1514196.9439999999</v>
      </c>
      <c r="G83">
        <v>737.03961530000004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454886.22707783617</v>
      </c>
      <c r="M83" s="1">
        <f t="shared" si="7"/>
        <v>1222371.4229999979</v>
      </c>
      <c r="N83" s="1">
        <f t="shared" si="8"/>
        <v>63323.714549030345</v>
      </c>
      <c r="O83" s="1"/>
    </row>
    <row r="84" spans="1:15" x14ac:dyDescent="0.25">
      <c r="A84">
        <v>83</v>
      </c>
      <c r="B84">
        <v>622301.30759999994</v>
      </c>
      <c r="C84">
        <v>830.83360000000005</v>
      </c>
      <c r="D84">
        <v>1091641.6299999999</v>
      </c>
      <c r="E84">
        <v>8716.8760000000002</v>
      </c>
      <c r="F84">
        <v>1493463.81</v>
      </c>
      <c r="G84">
        <v>951.43158719999997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460690.38059000729</v>
      </c>
      <c r="M84" s="1">
        <f t="shared" si="7"/>
        <v>1621060.0293397752</v>
      </c>
      <c r="N84" s="1">
        <f t="shared" si="8"/>
        <v>82786.490693530926</v>
      </c>
      <c r="O84" s="1"/>
    </row>
    <row r="85" spans="1:15" x14ac:dyDescent="0.25">
      <c r="A85">
        <v>84</v>
      </c>
      <c r="B85">
        <v>635368.84180000005</v>
      </c>
      <c r="C85">
        <v>830.83360000000005</v>
      </c>
      <c r="D85">
        <v>1119773.2690000001</v>
      </c>
      <c r="E85">
        <v>6733.241</v>
      </c>
      <c r="F85">
        <v>1522926.388</v>
      </c>
      <c r="G85">
        <v>2.7075999999999999E-4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447605.88673928438</v>
      </c>
      <c r="M85" s="1">
        <f t="shared" si="7"/>
        <v>1216603.4232434263</v>
      </c>
      <c r="N85" s="1">
        <f t="shared" si="8"/>
        <v>2.2890382954661292E-2</v>
      </c>
      <c r="O85" s="1"/>
    </row>
    <row r="86" spans="1:15" x14ac:dyDescent="0.25">
      <c r="A86">
        <v>85</v>
      </c>
      <c r="B86">
        <v>643156.78170000005</v>
      </c>
      <c r="C86">
        <v>830.83360000000005</v>
      </c>
      <c r="D86">
        <v>1110231.675</v>
      </c>
      <c r="E86">
        <v>6733.241</v>
      </c>
      <c r="F86">
        <v>1501429.264</v>
      </c>
      <c r="G86">
        <v>-3.3018000000000001E-4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412468.18195979088</v>
      </c>
      <c r="M86" s="1">
        <f t="shared" si="7"/>
        <v>1121098.3077252554</v>
      </c>
      <c r="N86" s="1">
        <f t="shared" si="8"/>
        <v>-2.5722547572586862E-2</v>
      </c>
      <c r="O86" s="1"/>
    </row>
    <row r="87" spans="1:15" x14ac:dyDescent="0.25">
      <c r="A87">
        <v>86</v>
      </c>
      <c r="B87">
        <v>664435.13749999995</v>
      </c>
      <c r="C87">
        <v>8853.2451000000001</v>
      </c>
      <c r="D87">
        <v>1086262.635</v>
      </c>
      <c r="E87">
        <v>6003.9639999999999</v>
      </c>
      <c r="F87">
        <v>1481142.2990000001</v>
      </c>
      <c r="G87">
        <v>746.95787499999994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3488029.7376869684</v>
      </c>
      <c r="M87" s="1">
        <f t="shared" si="7"/>
        <v>793339.18861674052</v>
      </c>
      <c r="N87" s="1">
        <f t="shared" si="8"/>
        <v>46180.711164671906</v>
      </c>
      <c r="O87" s="1"/>
    </row>
    <row r="88" spans="1:15" x14ac:dyDescent="0.25">
      <c r="A88">
        <v>87</v>
      </c>
      <c r="B88">
        <v>681737.19609999994</v>
      </c>
      <c r="C88">
        <v>10507.571</v>
      </c>
      <c r="D88">
        <v>1109749.132</v>
      </c>
      <c r="E88">
        <v>677.202</v>
      </c>
      <c r="F88">
        <v>1487923.7250000001</v>
      </c>
      <c r="G88">
        <v>446.31827040000002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4047800.2719222945</v>
      </c>
      <c r="M88" s="1">
        <f t="shared" si="7"/>
        <v>87493.967608205581</v>
      </c>
      <c r="N88" s="1">
        <f t="shared" si="8"/>
        <v>26980.389965626302</v>
      </c>
      <c r="O88" s="1"/>
    </row>
    <row r="89" spans="1:15" x14ac:dyDescent="0.25">
      <c r="A89">
        <v>88</v>
      </c>
      <c r="B89">
        <v>540322.37150000001</v>
      </c>
      <c r="C89">
        <v>0</v>
      </c>
      <c r="D89">
        <v>948476.53899999999</v>
      </c>
      <c r="E89">
        <v>8535.4550999999992</v>
      </c>
      <c r="F89">
        <v>1376484.825</v>
      </c>
      <c r="G89">
        <v>677.20109579999996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0</v>
      </c>
      <c r="M89" s="1">
        <f t="shared" si="7"/>
        <v>3715820.8808893831</v>
      </c>
      <c r="N89" s="1">
        <f t="shared" si="8"/>
        <v>137939.74510125484</v>
      </c>
      <c r="O89" s="1"/>
    </row>
    <row r="90" spans="1:15" x14ac:dyDescent="0.25">
      <c r="A90">
        <v>89</v>
      </c>
      <c r="B90">
        <v>500885.06209999998</v>
      </c>
      <c r="C90">
        <v>0</v>
      </c>
      <c r="D90">
        <v>935810.10770000005</v>
      </c>
      <c r="E90">
        <v>14071.043799999999</v>
      </c>
      <c r="F90">
        <v>1341063.328</v>
      </c>
      <c r="G90">
        <v>1435.216328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0</v>
      </c>
      <c r="M90" s="1">
        <f t="shared" si="7"/>
        <v>14390148.399385106</v>
      </c>
      <c r="N90" s="1">
        <f t="shared" si="8"/>
        <v>686752.11004626285</v>
      </c>
      <c r="O90" s="1"/>
    </row>
    <row r="91" spans="1:15" x14ac:dyDescent="0.25">
      <c r="A91">
        <v>90</v>
      </c>
      <c r="B91">
        <v>536905.21440000006</v>
      </c>
      <c r="C91">
        <v>3925.9695999999999</v>
      </c>
      <c r="D91">
        <v>978755.58089999994</v>
      </c>
      <c r="E91">
        <v>9349.5491000000002</v>
      </c>
      <c r="F91">
        <v>1357029.52</v>
      </c>
      <c r="G91">
        <v>663.78889079999999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1624261.3006856153</v>
      </c>
      <c r="M91" s="1">
        <f t="shared" si="7"/>
        <v>1297307.0203615141</v>
      </c>
      <c r="N91" s="1">
        <f t="shared" si="8"/>
        <v>43094.888312411531</v>
      </c>
      <c r="O91" s="1"/>
    </row>
    <row r="92" spans="1:15" x14ac:dyDescent="0.25">
      <c r="A92">
        <v>91</v>
      </c>
      <c r="B92">
        <v>507687.76699999999</v>
      </c>
      <c r="C92">
        <v>0</v>
      </c>
      <c r="D92">
        <v>941994.58479999995</v>
      </c>
      <c r="E92">
        <v>14071.0437</v>
      </c>
      <c r="F92">
        <v>1336454.125</v>
      </c>
      <c r="G92">
        <v>1435.2162659999999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0</v>
      </c>
      <c r="M92" s="1">
        <f t="shared" si="7"/>
        <v>4353677.5662049847</v>
      </c>
      <c r="N92" s="1">
        <f t="shared" si="8"/>
        <v>207773.89253803197</v>
      </c>
      <c r="O92" s="1"/>
    </row>
    <row r="93" spans="1:15" x14ac:dyDescent="0.25">
      <c r="A93">
        <v>92</v>
      </c>
      <c r="B93">
        <v>627792.07209999999</v>
      </c>
      <c r="C93">
        <v>6687.0159999999996</v>
      </c>
      <c r="D93">
        <v>1066481.791</v>
      </c>
      <c r="E93">
        <v>9312.6290000000008</v>
      </c>
      <c r="F93">
        <v>1439412.078</v>
      </c>
      <c r="G93">
        <v>737.03973010000004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4117782.657467708</v>
      </c>
      <c r="M93" s="1">
        <f t="shared" si="7"/>
        <v>1923297.6304149656</v>
      </c>
      <c r="N93" s="1">
        <f t="shared" si="8"/>
        <v>71221.115593835304</v>
      </c>
      <c r="O93" s="1"/>
    </row>
    <row r="94" spans="1:15" x14ac:dyDescent="0.25">
      <c r="A94">
        <v>93</v>
      </c>
      <c r="B94">
        <v>670392.42839999998</v>
      </c>
      <c r="C94">
        <v>8282.4917999999998</v>
      </c>
      <c r="D94">
        <v>1110217.6100000001</v>
      </c>
      <c r="E94">
        <v>7865.9380000000001</v>
      </c>
      <c r="F94">
        <v>1503735.4680000001</v>
      </c>
      <c r="G94">
        <v>-1.9253E-4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3374802.631217028</v>
      </c>
      <c r="M94" s="1">
        <f t="shared" si="7"/>
        <v>1074932.0708509525</v>
      </c>
      <c r="N94" s="1">
        <f t="shared" si="8"/>
        <v>-1.23104120689116E-2</v>
      </c>
      <c r="O94" s="1"/>
    </row>
    <row r="95" spans="1:15" x14ac:dyDescent="0.25">
      <c r="A95">
        <v>94</v>
      </c>
      <c r="B95">
        <v>694974.45360000001</v>
      </c>
      <c r="C95">
        <v>8853.2450000000008</v>
      </c>
      <c r="D95">
        <v>1127144.4029999999</v>
      </c>
      <c r="E95">
        <v>1591.789</v>
      </c>
      <c r="F95">
        <v>1508664.743</v>
      </c>
      <c r="G95">
        <v>473.10414450000002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4443510.6680622017</v>
      </c>
      <c r="M95" s="1">
        <f t="shared" si="7"/>
        <v>267949.14803490537</v>
      </c>
      <c r="N95" s="1">
        <f t="shared" si="8"/>
        <v>37262.098715981374</v>
      </c>
      <c r="O95" s="1"/>
    </row>
    <row r="96" spans="1:15" x14ac:dyDescent="0.25">
      <c r="A96">
        <v>95</v>
      </c>
      <c r="B96">
        <v>709154.72730000003</v>
      </c>
      <c r="C96">
        <v>8853.2451000000001</v>
      </c>
      <c r="D96">
        <v>1158650.7520000001</v>
      </c>
      <c r="E96">
        <v>1591.789</v>
      </c>
      <c r="F96">
        <v>1536501.4669999999</v>
      </c>
      <c r="G96">
        <v>473.1042759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3448812.5305962521</v>
      </c>
      <c r="M96" s="1">
        <f t="shared" si="7"/>
        <v>207967.62692826358</v>
      </c>
      <c r="N96" s="1">
        <f t="shared" si="8"/>
        <v>28920.832379784904</v>
      </c>
      <c r="O96" s="1"/>
    </row>
    <row r="97" spans="1:15" x14ac:dyDescent="0.25">
      <c r="A97">
        <v>96</v>
      </c>
      <c r="B97">
        <v>703359.34409999999</v>
      </c>
      <c r="C97">
        <v>8853.2450000000008</v>
      </c>
      <c r="D97">
        <v>1127704.2960000001</v>
      </c>
      <c r="E97">
        <v>1179.241</v>
      </c>
      <c r="F97">
        <v>1500351.817</v>
      </c>
      <c r="G97">
        <v>473.1038097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8075038.2108588303</v>
      </c>
      <c r="M97" s="1">
        <f t="shared" si="7"/>
        <v>360734.60893784929</v>
      </c>
      <c r="N97" s="1">
        <f t="shared" si="8"/>
        <v>67715.074969703492</v>
      </c>
      <c r="O97" s="1"/>
    </row>
    <row r="98" spans="1:15" x14ac:dyDescent="0.25">
      <c r="A98">
        <v>97</v>
      </c>
      <c r="B98">
        <v>659982.86919999996</v>
      </c>
      <c r="C98">
        <v>6687.0159999999996</v>
      </c>
      <c r="D98">
        <v>1110761.828</v>
      </c>
      <c r="E98">
        <v>6080.223</v>
      </c>
      <c r="F98">
        <v>1479301.534</v>
      </c>
      <c r="G98">
        <v>-4.5501E-4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6252367.943907585</v>
      </c>
      <c r="M98" s="1">
        <f t="shared" si="7"/>
        <v>1906666.8256095313</v>
      </c>
      <c r="N98" s="1">
        <f t="shared" si="8"/>
        <v>-6.6760552480083751E-2</v>
      </c>
      <c r="O98" s="1"/>
    </row>
    <row r="99" spans="1:15" x14ac:dyDescent="0.25">
      <c r="A99">
        <v>98</v>
      </c>
      <c r="B99">
        <v>672796.68579999998</v>
      </c>
      <c r="C99">
        <v>6687.0159000000003</v>
      </c>
      <c r="D99">
        <v>1135278.43</v>
      </c>
      <c r="E99">
        <v>1813.201</v>
      </c>
      <c r="F99">
        <v>1479775.085</v>
      </c>
      <c r="G99">
        <v>446.31825020000002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4169346.0193085438</v>
      </c>
      <c r="M99" s="1">
        <f t="shared" si="7"/>
        <v>379161.88203545712</v>
      </c>
      <c r="N99" s="1">
        <f t="shared" si="8"/>
        <v>43668.376323423276</v>
      </c>
      <c r="O99" s="1"/>
    </row>
    <row r="100" spans="1:15" x14ac:dyDescent="0.25">
      <c r="A100">
        <v>99</v>
      </c>
      <c r="B100">
        <v>579723.35549999995</v>
      </c>
      <c r="C100">
        <v>830.83360000000005</v>
      </c>
      <c r="D100">
        <v>975062.16680000001</v>
      </c>
      <c r="E100">
        <v>7666.8946999999998</v>
      </c>
      <c r="F100">
        <v>1368198.202</v>
      </c>
      <c r="G100">
        <v>2.3440000000000001E-4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545988.95552662155</v>
      </c>
      <c r="M100" s="1">
        <f t="shared" si="7"/>
        <v>1689788.8556302574</v>
      </c>
      <c r="N100" s="1">
        <f t="shared" si="8"/>
        <v>2.4172091443683121E-2</v>
      </c>
      <c r="O100" s="1"/>
    </row>
    <row r="101" spans="1:15" x14ac:dyDescent="0.25">
      <c r="A101">
        <v>100</v>
      </c>
      <c r="B101">
        <v>539643.71189999999</v>
      </c>
      <c r="C101">
        <v>830.83360000000005</v>
      </c>
      <c r="D101">
        <v>936152.21799999999</v>
      </c>
      <c r="E101">
        <v>7892.2479999999996</v>
      </c>
      <c r="F101">
        <v>1327589.4369999999</v>
      </c>
      <c r="G101">
        <v>2049.759779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5043678.6012643697</v>
      </c>
      <c r="M101" s="1">
        <f t="shared" si="7"/>
        <v>16068569.415023083</v>
      </c>
      <c r="N101" s="1">
        <f t="shared" si="8"/>
        <v>1952644.2850754261</v>
      </c>
      <c r="O101" s="1"/>
    </row>
    <row r="102" spans="1:15" x14ac:dyDescent="0.25">
      <c r="A102">
        <v>101</v>
      </c>
      <c r="B102">
        <v>629217.79200000002</v>
      </c>
      <c r="C102">
        <v>6687.0159999999996</v>
      </c>
      <c r="D102">
        <v>1046674.302</v>
      </c>
      <c r="E102">
        <v>9312.6280000000006</v>
      </c>
      <c r="F102">
        <v>1429219.1310000001</v>
      </c>
      <c r="G102">
        <v>737.03900480000004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3441361.5815239483</v>
      </c>
      <c r="M102" s="1">
        <f t="shared" si="7"/>
        <v>1607360.663490349</v>
      </c>
      <c r="N102" s="1">
        <f t="shared" si="8"/>
        <v>59521.686837882953</v>
      </c>
      <c r="O102" s="1"/>
    </row>
    <row r="103" spans="1:15" x14ac:dyDescent="0.25">
      <c r="A103">
        <v>102</v>
      </c>
      <c r="B103">
        <v>642977.14159999997</v>
      </c>
      <c r="C103">
        <v>8282.4917999999998</v>
      </c>
      <c r="D103">
        <v>1093102.5490000001</v>
      </c>
      <c r="E103">
        <v>7865.9380000000001</v>
      </c>
      <c r="F103">
        <v>1464864.8829999999</v>
      </c>
      <c r="G103">
        <v>3.0456E-4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3721785.6681380351</v>
      </c>
      <c r="M103" s="1">
        <f t="shared" si="7"/>
        <v>1185452.0731105052</v>
      </c>
      <c r="N103" s="1">
        <f t="shared" si="8"/>
        <v>2.1475833264980298E-2</v>
      </c>
      <c r="O103" s="1"/>
    </row>
    <row r="104" spans="1:15" x14ac:dyDescent="0.25">
      <c r="A104">
        <v>103</v>
      </c>
      <c r="B104">
        <v>738848.34259999997</v>
      </c>
      <c r="C104">
        <v>9320.5400000000009</v>
      </c>
      <c r="D104">
        <v>1185230.487</v>
      </c>
      <c r="E104">
        <v>677.20100000000002</v>
      </c>
      <c r="F104">
        <v>1552085.429</v>
      </c>
      <c r="G104">
        <v>1437.5211409999999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8086337.4035023795</v>
      </c>
      <c r="M104" s="1">
        <f t="shared" si="7"/>
        <v>197047.76417966685</v>
      </c>
      <c r="N104" s="1">
        <f t="shared" si="8"/>
        <v>195709.46929634141</v>
      </c>
      <c r="O104" s="1"/>
    </row>
    <row r="105" spans="1:15" x14ac:dyDescent="0.25">
      <c r="A105">
        <v>104</v>
      </c>
      <c r="B105">
        <v>774605.9852</v>
      </c>
      <c r="C105">
        <v>8469.6226000000006</v>
      </c>
      <c r="D105">
        <v>1185163.237</v>
      </c>
      <c r="E105">
        <v>677.20100000000002</v>
      </c>
      <c r="F105">
        <v>1567817.226</v>
      </c>
      <c r="G105">
        <v>1220.0626159999999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4424251.3801482618</v>
      </c>
      <c r="M105" s="1">
        <f t="shared" si="7"/>
        <v>118641.45490379422</v>
      </c>
      <c r="N105" s="1">
        <f t="shared" si="8"/>
        <v>100010.28648066787</v>
      </c>
      <c r="O105" s="1"/>
    </row>
    <row r="106" spans="1:15" x14ac:dyDescent="0.25">
      <c r="A106">
        <v>105</v>
      </c>
      <c r="B106">
        <v>748468.65359999996</v>
      </c>
      <c r="C106">
        <v>9133.4092000000001</v>
      </c>
      <c r="D106">
        <v>1201405.094</v>
      </c>
      <c r="E106">
        <v>1179.24</v>
      </c>
      <c r="F106">
        <v>1543798.993</v>
      </c>
      <c r="G106">
        <v>446.31792849999999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4300525.7390821669</v>
      </c>
      <c r="M106" s="1">
        <f t="shared" si="7"/>
        <v>186223.28131268383</v>
      </c>
      <c r="N106" s="1">
        <f t="shared" si="8"/>
        <v>32977.656008981685</v>
      </c>
      <c r="O106" s="1"/>
    </row>
    <row r="107" spans="1:15" x14ac:dyDescent="0.25">
      <c r="A107">
        <v>106</v>
      </c>
      <c r="B107">
        <v>709353.16830000002</v>
      </c>
      <c r="C107">
        <v>6687.0159999999996</v>
      </c>
      <c r="D107">
        <v>1132742.7590000001</v>
      </c>
      <c r="E107">
        <v>1859.0709999999999</v>
      </c>
      <c r="F107">
        <v>1490605.067</v>
      </c>
      <c r="G107">
        <v>-2.4780000000000001E-4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2160677.984506628</v>
      </c>
      <c r="M107" s="1">
        <f t="shared" si="7"/>
        <v>201463.69628982246</v>
      </c>
      <c r="N107" s="1">
        <f t="shared" si="8"/>
        <v>-1.2564517098438512E-2</v>
      </c>
      <c r="O107" s="1"/>
    </row>
    <row r="108" spans="1:15" x14ac:dyDescent="0.25">
      <c r="A108">
        <v>107</v>
      </c>
      <c r="B108">
        <v>681985.84909999999</v>
      </c>
      <c r="C108">
        <v>6687.0159999999996</v>
      </c>
      <c r="D108">
        <v>1070963.4609999999</v>
      </c>
      <c r="E108">
        <v>1360.201</v>
      </c>
      <c r="F108">
        <v>1450881.4029999999</v>
      </c>
      <c r="G108" s="1">
        <v>-3.2799999999999998E-5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41960705.146098427</v>
      </c>
      <c r="M108" s="1">
        <f t="shared" si="7"/>
        <v>2862573.4720937861</v>
      </c>
      <c r="N108" s="1">
        <f t="shared" si="8"/>
        <v>-3.22976611890144E-2</v>
      </c>
      <c r="O108" s="1"/>
    </row>
    <row r="109" spans="1:15" x14ac:dyDescent="0.25">
      <c r="A109">
        <v>108</v>
      </c>
      <c r="B109">
        <v>479547.31530000002</v>
      </c>
      <c r="C109">
        <v>0</v>
      </c>
      <c r="D109">
        <v>854858.90399999998</v>
      </c>
      <c r="E109">
        <v>8953.1630999999998</v>
      </c>
      <c r="F109">
        <v>1276790.477</v>
      </c>
      <c r="G109">
        <v>861.59985879999999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0</v>
      </c>
      <c r="M109" s="1">
        <f t="shared" si="7"/>
        <v>14687738.328999212</v>
      </c>
      <c r="N109" s="1">
        <f t="shared" si="8"/>
        <v>661344.47217458615</v>
      </c>
      <c r="O109" s="1"/>
    </row>
    <row r="110" spans="1:15" x14ac:dyDescent="0.25">
      <c r="A110">
        <v>109</v>
      </c>
      <c r="B110">
        <v>606152.33869999996</v>
      </c>
      <c r="C110">
        <v>830.83360000000005</v>
      </c>
      <c r="D110">
        <v>1019048.326</v>
      </c>
      <c r="E110">
        <v>9151.2340000000004</v>
      </c>
      <c r="F110">
        <v>1396045.5549999999</v>
      </c>
      <c r="G110">
        <v>97.092075149999999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620326.01595155324</v>
      </c>
      <c r="M110" s="1">
        <f t="shared" si="7"/>
        <v>2291546.8534081848</v>
      </c>
      <c r="N110" s="1">
        <f t="shared" si="8"/>
        <v>11375.658404806871</v>
      </c>
      <c r="O110" s="1"/>
    </row>
    <row r="111" spans="1:15" x14ac:dyDescent="0.25">
      <c r="A111">
        <v>110</v>
      </c>
      <c r="B111">
        <v>635787.79680000001</v>
      </c>
      <c r="C111">
        <v>8282.4917999999998</v>
      </c>
      <c r="D111">
        <v>1079069.145</v>
      </c>
      <c r="E111">
        <v>7865.9369999999999</v>
      </c>
      <c r="F111">
        <v>1462937.973</v>
      </c>
      <c r="G111">
        <v>1.5096E-4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5585708.9121901421</v>
      </c>
      <c r="M111" s="1">
        <f t="shared" si="7"/>
        <v>1779143.1206340229</v>
      </c>
      <c r="N111" s="1">
        <f t="shared" si="8"/>
        <v>1.5975924052077557E-2</v>
      </c>
      <c r="O111" s="1"/>
    </row>
    <row r="112" spans="1:15" x14ac:dyDescent="0.25">
      <c r="A112">
        <v>111</v>
      </c>
      <c r="B112">
        <v>705289.56099999999</v>
      </c>
      <c r="C112">
        <v>8555.5388999999996</v>
      </c>
      <c r="D112">
        <v>1147428.45</v>
      </c>
      <c r="E112">
        <v>183.28399999999999</v>
      </c>
      <c r="F112">
        <v>1525919.523</v>
      </c>
      <c r="G112">
        <v>1220.0628400000001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6337842.3659139713</v>
      </c>
      <c r="M112" s="1">
        <f t="shared" si="7"/>
        <v>45536.720948079506</v>
      </c>
      <c r="N112" s="1">
        <f t="shared" si="8"/>
        <v>141828.3589819835</v>
      </c>
      <c r="O112" s="1"/>
    </row>
    <row r="113" spans="1:15" x14ac:dyDescent="0.25">
      <c r="A113">
        <v>112</v>
      </c>
      <c r="B113">
        <v>746292.40090000001</v>
      </c>
      <c r="C113">
        <v>9320.5400000000009</v>
      </c>
      <c r="D113">
        <v>1176071.172</v>
      </c>
      <c r="E113">
        <v>677.202</v>
      </c>
      <c r="F113">
        <v>1547424.129</v>
      </c>
      <c r="G113">
        <v>746.95803650000005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3454557.9936096063</v>
      </c>
      <c r="M113" s="1">
        <f t="shared" si="7"/>
        <v>84180.748352261828</v>
      </c>
      <c r="N113" s="1">
        <f t="shared" si="8"/>
        <v>43444.462907475165</v>
      </c>
      <c r="O113" s="1"/>
    </row>
    <row r="114" spans="1:15" x14ac:dyDescent="0.25">
      <c r="A114">
        <v>113</v>
      </c>
      <c r="B114">
        <v>699229.30810000002</v>
      </c>
      <c r="C114">
        <v>8853.2450000000008</v>
      </c>
      <c r="D114">
        <v>1121621.2660000001</v>
      </c>
      <c r="E114">
        <v>1591.788</v>
      </c>
      <c r="F114">
        <v>1493192.1939999999</v>
      </c>
      <c r="G114">
        <v>473.10428439999998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1507023.2864642432</v>
      </c>
      <c r="M114" s="1">
        <f t="shared" si="7"/>
        <v>90875.297070592089</v>
      </c>
      <c r="N114" s="1">
        <f t="shared" si="8"/>
        <v>12637.500226225404</v>
      </c>
      <c r="O114" s="1"/>
    </row>
    <row r="115" spans="1:15" x14ac:dyDescent="0.25">
      <c r="A115">
        <v>114</v>
      </c>
      <c r="B115">
        <v>646199.41009999998</v>
      </c>
      <c r="C115">
        <v>8282.4917999999998</v>
      </c>
      <c r="D115">
        <v>1090699.76</v>
      </c>
      <c r="E115">
        <v>2039.835</v>
      </c>
      <c r="F115">
        <v>1462140.9850000001</v>
      </c>
      <c r="G115">
        <v>473.10443550000002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4108533.0951305288</v>
      </c>
      <c r="M115" s="1">
        <f t="shared" si="7"/>
        <v>339362.57873339276</v>
      </c>
      <c r="N115" s="1">
        <f t="shared" si="8"/>
        <v>36827.277126708555</v>
      </c>
      <c r="O115" s="1"/>
    </row>
    <row r="116" spans="1:15" x14ac:dyDescent="0.25">
      <c r="A116">
        <v>115</v>
      </c>
      <c r="B116">
        <v>679966.50859999994</v>
      </c>
      <c r="C116">
        <v>6687.0159999999996</v>
      </c>
      <c r="D116">
        <v>1062495.635</v>
      </c>
      <c r="E116">
        <v>1813.201</v>
      </c>
      <c r="F116">
        <v>1441018.446</v>
      </c>
      <c r="G116">
        <v>446.31860640000002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4735500.3014698159</v>
      </c>
      <c r="M116" s="1">
        <f t="shared" si="7"/>
        <v>430648.15717350459</v>
      </c>
      <c r="N116" s="1">
        <f t="shared" si="8"/>
        <v>49598.131273223858</v>
      </c>
      <c r="O116" s="1"/>
    </row>
    <row r="117" spans="1:15" x14ac:dyDescent="0.25">
      <c r="A117">
        <v>116</v>
      </c>
      <c r="B117">
        <v>695264.42579999997</v>
      </c>
      <c r="C117">
        <v>6687.0159999999996</v>
      </c>
      <c r="D117">
        <v>1082534.1059999999</v>
      </c>
      <c r="E117">
        <v>1104.5440000000001</v>
      </c>
      <c r="F117">
        <v>1459050.0149999999</v>
      </c>
      <c r="G117" s="1">
        <v>-5.3600000000000002E-5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3421621.5604362092</v>
      </c>
      <c r="M117" s="1">
        <f t="shared" si="7"/>
        <v>189550.86443464554</v>
      </c>
      <c r="N117" s="1">
        <f t="shared" si="8"/>
        <v>-4.3037914290151918E-3</v>
      </c>
      <c r="O117" s="1"/>
    </row>
    <row r="118" spans="1:15" x14ac:dyDescent="0.25">
      <c r="A118">
        <v>117</v>
      </c>
      <c r="B118">
        <v>584761.99340000004</v>
      </c>
      <c r="C118">
        <v>830.83360000000005</v>
      </c>
      <c r="D118">
        <v>977111.74540000001</v>
      </c>
      <c r="E118">
        <v>3628.8341999999998</v>
      </c>
      <c r="F118">
        <v>1348966.6359999999</v>
      </c>
      <c r="G118" s="1">
        <v>3.8500000000000001E-5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531098.99721217528</v>
      </c>
      <c r="M118" s="1">
        <f t="shared" si="7"/>
        <v>777985.84016730194</v>
      </c>
      <c r="N118" s="1">
        <f t="shared" si="8"/>
        <v>3.8619706985151604E-3</v>
      </c>
      <c r="O118" s="1"/>
    </row>
    <row r="119" spans="1:15" x14ac:dyDescent="0.25">
      <c r="A119">
        <v>118</v>
      </c>
      <c r="B119">
        <v>632272.4081</v>
      </c>
      <c r="C119">
        <v>6687.0159999999996</v>
      </c>
      <c r="D119">
        <v>1036030.019</v>
      </c>
      <c r="E119">
        <v>1023.175</v>
      </c>
      <c r="F119">
        <v>1418951.0970000001</v>
      </c>
      <c r="G119" s="1">
        <v>3.2499999999999997E-5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4277926.6477827588</v>
      </c>
      <c r="M119" s="1">
        <f t="shared" si="7"/>
        <v>219530.07631741115</v>
      </c>
      <c r="N119" s="1">
        <f t="shared" si="8"/>
        <v>3.2626549575613499E-3</v>
      </c>
      <c r="O119" s="1"/>
    </row>
    <row r="120" spans="1:15" x14ac:dyDescent="0.25">
      <c r="A120">
        <v>119</v>
      </c>
      <c r="B120">
        <v>663612.86560000002</v>
      </c>
      <c r="C120">
        <v>6687.0159999999996</v>
      </c>
      <c r="D120">
        <v>1038420.978</v>
      </c>
      <c r="E120">
        <v>610.62699999999995</v>
      </c>
      <c r="F120">
        <v>1421717.5649999999</v>
      </c>
      <c r="G120">
        <v>3.8487999999999999E-4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5682919.2030673223</v>
      </c>
      <c r="M120" s="1">
        <f t="shared" si="7"/>
        <v>174043.68086500833</v>
      </c>
      <c r="N120" s="1">
        <f t="shared" si="8"/>
        <v>5.132763786588776E-2</v>
      </c>
      <c r="O120" s="1"/>
    </row>
    <row r="121" spans="1:15" x14ac:dyDescent="0.25">
      <c r="A121">
        <v>120</v>
      </c>
      <c r="B121">
        <v>663586.36159999995</v>
      </c>
      <c r="C121">
        <v>830.83360000000005</v>
      </c>
      <c r="D121">
        <v>1015359.84</v>
      </c>
      <c r="E121">
        <v>1235.43</v>
      </c>
      <c r="F121">
        <v>1405286.09</v>
      </c>
      <c r="G121">
        <v>-4.2931000000000002E-4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441419.57586468884</v>
      </c>
      <c r="M121" s="1">
        <f t="shared" si="7"/>
        <v>220139.92671584801</v>
      </c>
      <c r="N121" s="1">
        <f t="shared" si="8"/>
        <v>-3.5792773922249978E-2</v>
      </c>
      <c r="O121" s="1"/>
    </row>
    <row r="122" spans="1:15" x14ac:dyDescent="0.25">
      <c r="A122">
        <v>121</v>
      </c>
      <c r="B122">
        <v>679236.84019999998</v>
      </c>
      <c r="C122">
        <v>830.83360000000005</v>
      </c>
      <c r="D122">
        <v>1059976.821</v>
      </c>
      <c r="E122">
        <v>590.55700000000002</v>
      </c>
      <c r="F122">
        <v>1451094.6869999999</v>
      </c>
      <c r="G122">
        <v>3.0241000000000003E-4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290477.97017045203</v>
      </c>
      <c r="M122" s="1">
        <f t="shared" si="7"/>
        <v>69247.501455312158</v>
      </c>
      <c r="N122" s="1">
        <f t="shared" si="8"/>
        <v>1.6591364813221016E-2</v>
      </c>
      <c r="O122" s="1"/>
    </row>
    <row r="123" spans="1:15" x14ac:dyDescent="0.25">
      <c r="A123">
        <v>122</v>
      </c>
      <c r="B123">
        <v>668175.5527</v>
      </c>
      <c r="C123">
        <v>6940.3855000000003</v>
      </c>
      <c r="D123">
        <v>1031419.366</v>
      </c>
      <c r="E123">
        <v>590.55799999999999</v>
      </c>
      <c r="F123">
        <v>1433666.7709999999</v>
      </c>
      <c r="G123">
        <v>-2.0819E-4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3038881.9717685035</v>
      </c>
      <c r="M123" s="1">
        <f t="shared" si="7"/>
        <v>86723.327481634886</v>
      </c>
      <c r="N123" s="1">
        <f t="shared" si="8"/>
        <v>-1.4304639561204917E-2</v>
      </c>
      <c r="O123" s="1"/>
    </row>
    <row r="124" spans="1:15" x14ac:dyDescent="0.25">
      <c r="A124">
        <v>123</v>
      </c>
      <c r="B124">
        <v>626318.17180000001</v>
      </c>
      <c r="C124">
        <v>0</v>
      </c>
      <c r="D124">
        <v>978561.15289999999</v>
      </c>
      <c r="E124">
        <v>1624.3492000000001</v>
      </c>
      <c r="F124">
        <v>1386317.4650000001</v>
      </c>
      <c r="G124">
        <v>-1.7145999999999999E-4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0</v>
      </c>
      <c r="M124" s="1">
        <f t="shared" si="7"/>
        <v>279683.44519046927</v>
      </c>
      <c r="N124" s="1">
        <f t="shared" si="8"/>
        <v>-1.3813185986547441E-2</v>
      </c>
      <c r="O124" s="1"/>
    </row>
    <row r="125" spans="1:15" x14ac:dyDescent="0.25">
      <c r="A125">
        <v>124</v>
      </c>
      <c r="B125">
        <v>614657.81920000003</v>
      </c>
      <c r="C125">
        <v>0</v>
      </c>
      <c r="D125">
        <v>960189.37789999996</v>
      </c>
      <c r="E125">
        <v>0</v>
      </c>
      <c r="F125">
        <v>1355654.39</v>
      </c>
      <c r="G125">
        <v>-4.9717999999999995E-4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0</v>
      </c>
      <c r="M125" s="1">
        <f t="shared" si="7"/>
        <v>0</v>
      </c>
      <c r="N125" s="1">
        <f t="shared" si="8"/>
        <v>-2.5769424895649515E-2</v>
      </c>
      <c r="O125" s="1"/>
    </row>
    <row r="126" spans="1:15" x14ac:dyDescent="0.25">
      <c r="A126">
        <v>125</v>
      </c>
      <c r="B126">
        <v>549709.18810000003</v>
      </c>
      <c r="C126">
        <v>0</v>
      </c>
      <c r="D126">
        <v>933838.61970000004</v>
      </c>
      <c r="E126">
        <v>8484.5517</v>
      </c>
      <c r="F126">
        <v>1327194.1980000001</v>
      </c>
      <c r="G126">
        <v>214.39225730000001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0</v>
      </c>
      <c r="M126" s="1">
        <f t="shared" si="7"/>
        <v>4912609.9841130907</v>
      </c>
      <c r="N126" s="1">
        <f t="shared" si="8"/>
        <v>58081.277650643795</v>
      </c>
      <c r="O126" s="1"/>
    </row>
    <row r="127" spans="1:15" x14ac:dyDescent="0.25">
      <c r="A127">
        <v>126</v>
      </c>
      <c r="B127">
        <v>577774.50600000005</v>
      </c>
      <c r="C127">
        <v>6940.3855000000003</v>
      </c>
      <c r="D127">
        <v>942037.46070000005</v>
      </c>
      <c r="E127">
        <v>2780.84</v>
      </c>
      <c r="F127">
        <v>1333285.6129999999</v>
      </c>
      <c r="G127" s="1">
        <v>9.3700000000000001E-5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3268481.1894125785</v>
      </c>
      <c r="M127" s="1">
        <f t="shared" si="7"/>
        <v>439219.4207272568</v>
      </c>
      <c r="N127" s="1">
        <f t="shared" si="8"/>
        <v>6.9245060987754544E-3</v>
      </c>
      <c r="O127" s="1"/>
    </row>
    <row r="128" spans="1:15" x14ac:dyDescent="0.25">
      <c r="A128">
        <v>127</v>
      </c>
      <c r="B128">
        <v>617046.87990000006</v>
      </c>
      <c r="C128">
        <v>830.83349999999996</v>
      </c>
      <c r="D128">
        <v>1016686.696</v>
      </c>
      <c r="E128">
        <v>644.87199999999996</v>
      </c>
      <c r="F128">
        <v>1382263.2620000001</v>
      </c>
      <c r="G128">
        <v>4.6704E-4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228630.81732234181</v>
      </c>
      <c r="M128" s="1">
        <f t="shared" si="7"/>
        <v>59516.505939504248</v>
      </c>
      <c r="N128" s="1">
        <f t="shared" si="8"/>
        <v>2.0167945648403043E-2</v>
      </c>
      <c r="O128" s="1"/>
    </row>
    <row r="129" spans="1:15" x14ac:dyDescent="0.25">
      <c r="A129">
        <v>128</v>
      </c>
      <c r="B129">
        <v>637911.85930000001</v>
      </c>
      <c r="C129">
        <v>6687.0159999999996</v>
      </c>
      <c r="D129">
        <v>1033739.204</v>
      </c>
      <c r="E129">
        <v>1085.54</v>
      </c>
      <c r="F129">
        <v>1395808.2690000001</v>
      </c>
      <c r="G129">
        <v>-2.9732000000000001E-4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1288454.2230759005</v>
      </c>
      <c r="M129" s="1">
        <f t="shared" si="7"/>
        <v>70149.664598076968</v>
      </c>
      <c r="N129" s="1">
        <f t="shared" si="8"/>
        <v>-8.9897490852082797E-3</v>
      </c>
      <c r="O129" s="1"/>
    </row>
    <row r="130" spans="1:15" x14ac:dyDescent="0.25">
      <c r="A130">
        <v>129</v>
      </c>
      <c r="B130">
        <v>654747.41839999997</v>
      </c>
      <c r="C130">
        <v>6687.0159999999996</v>
      </c>
      <c r="D130">
        <v>1057052.6910000001</v>
      </c>
      <c r="E130">
        <v>610.62699999999995</v>
      </c>
      <c r="F130">
        <v>1432855.5519999999</v>
      </c>
      <c r="G130" s="1">
        <v>9.5799999999999998E-5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3066488.5140894377</v>
      </c>
      <c r="M130" s="1">
        <f t="shared" si="7"/>
        <v>93913.520367196616</v>
      </c>
      <c r="N130" s="1">
        <f t="shared" si="8"/>
        <v>6.8938416602415909E-3</v>
      </c>
      <c r="O130" s="1"/>
    </row>
    <row r="131" spans="1:15" x14ac:dyDescent="0.25">
      <c r="A131">
        <v>130</v>
      </c>
      <c r="B131">
        <v>639290.65890000004</v>
      </c>
      <c r="C131">
        <v>6687.0159999999996</v>
      </c>
      <c r="D131">
        <v>1034202.718</v>
      </c>
      <c r="E131">
        <v>610.62699999999995</v>
      </c>
      <c r="F131">
        <v>1405441.311</v>
      </c>
      <c r="G131">
        <v>-1.8152000000000001E-4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4934224.5732684983</v>
      </c>
      <c r="M131" s="1">
        <f t="shared" ref="M131:M194" si="11">$U$3*$K131*E131</f>
        <v>151114.34392428244</v>
      </c>
      <c r="N131" s="1">
        <f t="shared" ref="N131:N194" si="12">$U$4*$K131*G131</f>
        <v>-2.1018312627853784E-2</v>
      </c>
      <c r="O131" s="1"/>
    </row>
    <row r="132" spans="1:15" x14ac:dyDescent="0.25">
      <c r="A132">
        <v>131</v>
      </c>
      <c r="B132">
        <v>616418.23600000003</v>
      </c>
      <c r="C132">
        <v>0</v>
      </c>
      <c r="D132">
        <v>993193.01930000004</v>
      </c>
      <c r="E132">
        <v>812.78409999999997</v>
      </c>
      <c r="F132">
        <v>1404673.152</v>
      </c>
      <c r="G132">
        <v>-4.4968999999999999E-4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0</v>
      </c>
      <c r="M132" s="1">
        <f t="shared" si="11"/>
        <v>160263.69283507776</v>
      </c>
      <c r="N132" s="1">
        <f t="shared" si="12"/>
        <v>-4.148746075972011E-2</v>
      </c>
      <c r="O132" s="1"/>
    </row>
    <row r="133" spans="1:15" x14ac:dyDescent="0.25">
      <c r="A133">
        <v>132</v>
      </c>
      <c r="B133">
        <v>642089.01930000004</v>
      </c>
      <c r="C133">
        <v>0</v>
      </c>
      <c r="D133">
        <v>990589.44629999995</v>
      </c>
      <c r="E133">
        <v>590.55769999999995</v>
      </c>
      <c r="F133">
        <v>1408307.291</v>
      </c>
      <c r="G133">
        <v>-2.4554999999999998E-4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0</v>
      </c>
      <c r="M133" s="1">
        <f t="shared" si="11"/>
        <v>129446.19571606966</v>
      </c>
      <c r="N133" s="1">
        <f t="shared" si="12"/>
        <v>-2.5183180117726571E-2</v>
      </c>
      <c r="O133" s="1"/>
    </row>
    <row r="134" spans="1:15" x14ac:dyDescent="0.25">
      <c r="A134">
        <v>133</v>
      </c>
      <c r="B134">
        <v>645309.62470000004</v>
      </c>
      <c r="C134">
        <v>6687.0159999999996</v>
      </c>
      <c r="D134">
        <v>1041246.2439999999</v>
      </c>
      <c r="E134">
        <v>610.62599999999998</v>
      </c>
      <c r="F134">
        <v>1426175.077</v>
      </c>
      <c r="G134">
        <v>-1.6636999999999999E-4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2565182.3654886498</v>
      </c>
      <c r="M134" s="1">
        <f t="shared" si="11"/>
        <v>78560.513335955067</v>
      </c>
      <c r="N134" s="1">
        <f t="shared" si="12"/>
        <v>-1.0014925317712683E-2</v>
      </c>
      <c r="O134" s="1"/>
    </row>
    <row r="135" spans="1:15" x14ac:dyDescent="0.25">
      <c r="A135">
        <v>134</v>
      </c>
      <c r="B135">
        <v>677362.09600000002</v>
      </c>
      <c r="C135">
        <v>723.46590000000003</v>
      </c>
      <c r="D135">
        <v>1089775.298</v>
      </c>
      <c r="E135">
        <v>590.55799999999999</v>
      </c>
      <c r="F135">
        <v>1473526.0689999999</v>
      </c>
      <c r="G135">
        <v>-3.7733999999999999E-4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1485056.8476325998</v>
      </c>
      <c r="M135" s="1">
        <f t="shared" si="11"/>
        <v>406565.67226793728</v>
      </c>
      <c r="N135" s="1">
        <f t="shared" si="12"/>
        <v>-0.12154712005157796</v>
      </c>
      <c r="O135" s="1"/>
    </row>
    <row r="136" spans="1:15" x14ac:dyDescent="0.25">
      <c r="A136">
        <v>135</v>
      </c>
      <c r="B136">
        <v>617862.22849999997</v>
      </c>
      <c r="C136">
        <v>830.83360000000005</v>
      </c>
      <c r="D136">
        <v>1006591.963</v>
      </c>
      <c r="E136">
        <v>590.55799999999999</v>
      </c>
      <c r="F136">
        <v>1401314.7949999999</v>
      </c>
      <c r="G136">
        <v>2.0641999999999999E-4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534830.87992617453</v>
      </c>
      <c r="M136" s="1">
        <f t="shared" si="11"/>
        <v>127499.39290567246</v>
      </c>
      <c r="N136" s="1">
        <f t="shared" si="12"/>
        <v>2.0851678092024897E-2</v>
      </c>
      <c r="O136" s="1"/>
    </row>
    <row r="137" spans="1:15" x14ac:dyDescent="0.25">
      <c r="A137">
        <v>136</v>
      </c>
      <c r="B137">
        <v>487476.47600000002</v>
      </c>
      <c r="C137">
        <v>0</v>
      </c>
      <c r="D137">
        <v>868819.54099999997</v>
      </c>
      <c r="E137">
        <v>2899.4011</v>
      </c>
      <c r="F137">
        <v>1271853.504</v>
      </c>
      <c r="G137">
        <v>420.4121657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0</v>
      </c>
      <c r="M137" s="1">
        <f t="shared" si="11"/>
        <v>1193053.1126970747</v>
      </c>
      <c r="N137" s="1">
        <f t="shared" si="12"/>
        <v>80941.347824705488</v>
      </c>
      <c r="O137" s="1"/>
    </row>
    <row r="138" spans="1:15" x14ac:dyDescent="0.25">
      <c r="A138">
        <v>137</v>
      </c>
      <c r="B138">
        <v>617862.22849999997</v>
      </c>
      <c r="C138">
        <v>830.83360000000005</v>
      </c>
      <c r="D138">
        <v>1006828.188</v>
      </c>
      <c r="E138">
        <v>590.55799999999999</v>
      </c>
      <c r="F138">
        <v>1403728.7620000001</v>
      </c>
      <c r="G138" s="1">
        <v>-3.8099999999999999E-6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167895.88068855571</v>
      </c>
      <c r="M138" s="1">
        <f t="shared" si="11"/>
        <v>40025.031580279989</v>
      </c>
      <c r="N138" s="1">
        <f t="shared" si="12"/>
        <v>-1.2081970751226704E-4</v>
      </c>
      <c r="O138" s="1"/>
    </row>
    <row r="139" spans="1:15" x14ac:dyDescent="0.25">
      <c r="A139">
        <v>138</v>
      </c>
      <c r="B139">
        <v>684073.38219999999</v>
      </c>
      <c r="C139">
        <v>6687.0159999999996</v>
      </c>
      <c r="D139">
        <v>1065427.6100000001</v>
      </c>
      <c r="E139">
        <v>610.62699999999995</v>
      </c>
      <c r="F139">
        <v>1445122.47</v>
      </c>
      <c r="G139">
        <v>4.3490999999999999E-4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1334624.2634896608</v>
      </c>
      <c r="M139" s="1">
        <f t="shared" si="11"/>
        <v>40873.873284018882</v>
      </c>
      <c r="N139" s="1">
        <f t="shared" si="12"/>
        <v>1.3621121363066167E-2</v>
      </c>
      <c r="O139" s="1"/>
    </row>
    <row r="140" spans="1:15" x14ac:dyDescent="0.25">
      <c r="A140">
        <v>139</v>
      </c>
      <c r="B140">
        <v>661278.17319999996</v>
      </c>
      <c r="C140">
        <v>830.83360000000005</v>
      </c>
      <c r="D140">
        <v>1049835.898</v>
      </c>
      <c r="E140">
        <v>185.91300000000001</v>
      </c>
      <c r="F140">
        <v>1434412.6259999999</v>
      </c>
      <c r="G140" s="1">
        <v>-8.9800000000000001E-5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134930.54962604557</v>
      </c>
      <c r="M140" s="1">
        <f t="shared" si="11"/>
        <v>10126.261390103935</v>
      </c>
      <c r="N140" s="1">
        <f t="shared" si="12"/>
        <v>-2.2885446474938437E-3</v>
      </c>
      <c r="O140" s="1"/>
    </row>
    <row r="141" spans="1:15" x14ac:dyDescent="0.25">
      <c r="A141">
        <v>140</v>
      </c>
      <c r="B141">
        <v>617134.82869999995</v>
      </c>
      <c r="C141">
        <v>6940.3855000000003</v>
      </c>
      <c r="D141">
        <v>1012511.968</v>
      </c>
      <c r="E141">
        <v>743.94200000000001</v>
      </c>
      <c r="F141">
        <v>1419902.466</v>
      </c>
      <c r="G141">
        <v>-1.7861E-4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2299707.6172641013</v>
      </c>
      <c r="M141" s="1">
        <f t="shared" si="11"/>
        <v>82674.436756638461</v>
      </c>
      <c r="N141" s="1">
        <f t="shared" si="12"/>
        <v>-9.2871319405690936E-3</v>
      </c>
      <c r="O141" s="1"/>
    </row>
    <row r="142" spans="1:15" x14ac:dyDescent="0.25">
      <c r="A142">
        <v>141</v>
      </c>
      <c r="B142">
        <v>588073.7831</v>
      </c>
      <c r="C142">
        <v>0</v>
      </c>
      <c r="D142">
        <v>989478.98499999999</v>
      </c>
      <c r="E142">
        <v>812.78409999999997</v>
      </c>
      <c r="F142">
        <v>1380284.493</v>
      </c>
      <c r="G142">
        <v>2.6379000000000002E-4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0</v>
      </c>
      <c r="M142" s="1">
        <f t="shared" si="11"/>
        <v>71751.947261058158</v>
      </c>
      <c r="N142" s="1">
        <f t="shared" si="12"/>
        <v>1.0895834516300221E-2</v>
      </c>
      <c r="O142" s="1"/>
    </row>
    <row r="143" spans="1:15" x14ac:dyDescent="0.25">
      <c r="A143">
        <v>142</v>
      </c>
      <c r="B143">
        <v>654730.73620000004</v>
      </c>
      <c r="C143">
        <v>830.83360000000005</v>
      </c>
      <c r="D143">
        <v>1026039.214</v>
      </c>
      <c r="E143">
        <v>590.55799999999999</v>
      </c>
      <c r="F143">
        <v>1431011.3740000001</v>
      </c>
      <c r="G143">
        <v>-1.5825E-4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596098.2325651407</v>
      </c>
      <c r="M143" s="1">
        <f t="shared" si="11"/>
        <v>142105.03846503922</v>
      </c>
      <c r="N143" s="1">
        <f t="shared" si="12"/>
        <v>-1.781698918170899E-2</v>
      </c>
      <c r="O143" s="1"/>
    </row>
    <row r="144" spans="1:15" x14ac:dyDescent="0.25">
      <c r="A144">
        <v>143</v>
      </c>
      <c r="B144">
        <v>691644.60439999995</v>
      </c>
      <c r="C144">
        <v>6687.0159999999996</v>
      </c>
      <c r="D144">
        <v>1077478.1950000001</v>
      </c>
      <c r="E144">
        <v>1015.27</v>
      </c>
      <c r="F144">
        <v>1464323.0179999999</v>
      </c>
      <c r="G144">
        <v>2.8666E-4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1507666.3348072306</v>
      </c>
      <c r="M144" s="1">
        <f t="shared" si="11"/>
        <v>76771.065034150364</v>
      </c>
      <c r="N144" s="1">
        <f t="shared" si="12"/>
        <v>1.0142074274788809E-2</v>
      </c>
      <c r="O144" s="1"/>
    </row>
    <row r="145" spans="1:15" x14ac:dyDescent="0.25">
      <c r="A145">
        <v>144</v>
      </c>
      <c r="B145">
        <v>589337.86609999998</v>
      </c>
      <c r="C145">
        <v>0</v>
      </c>
      <c r="D145">
        <v>985828.57239999995</v>
      </c>
      <c r="E145">
        <v>1293.751</v>
      </c>
      <c r="F145">
        <v>1391643.9450000001</v>
      </c>
      <c r="G145">
        <v>3.9821000000000002E-4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0</v>
      </c>
      <c r="M145" s="1">
        <f t="shared" si="11"/>
        <v>371065.78036213428</v>
      </c>
      <c r="N145" s="1">
        <f t="shared" si="12"/>
        <v>5.3438720024661962E-2</v>
      </c>
      <c r="O145" s="1"/>
    </row>
    <row r="146" spans="1:15" x14ac:dyDescent="0.25">
      <c r="A146">
        <v>145</v>
      </c>
      <c r="B146">
        <v>695087.51100000006</v>
      </c>
      <c r="C146">
        <v>6687.0159999999996</v>
      </c>
      <c r="D146">
        <v>1091212.442</v>
      </c>
      <c r="E146">
        <v>610.62699999999995</v>
      </c>
      <c r="F146">
        <v>1467470.861</v>
      </c>
      <c r="G146">
        <v>-3.2788000000000001E-4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3149558.6708778902</v>
      </c>
      <c r="M146" s="1">
        <f t="shared" si="11"/>
        <v>96457.606485769618</v>
      </c>
      <c r="N146" s="1">
        <f t="shared" si="12"/>
        <v>-2.4233664001254682E-2</v>
      </c>
      <c r="O146" s="1"/>
    </row>
    <row r="147" spans="1:15" x14ac:dyDescent="0.25">
      <c r="A147">
        <v>146</v>
      </c>
      <c r="B147">
        <v>757147.87699999998</v>
      </c>
      <c r="C147">
        <v>830.83360000000005</v>
      </c>
      <c r="D147">
        <v>1204923.44</v>
      </c>
      <c r="E147">
        <v>590.55700000000002</v>
      </c>
      <c r="F147">
        <v>1577093.3430000001</v>
      </c>
      <c r="G147">
        <v>-1.7862999999999999E-4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3594911.1372047602</v>
      </c>
      <c r="M147" s="1">
        <f t="shared" si="11"/>
        <v>856996.53594807105</v>
      </c>
      <c r="N147" s="1">
        <f t="shared" si="12"/>
        <v>-0.12128729803003115</v>
      </c>
      <c r="O147" s="1"/>
    </row>
    <row r="148" spans="1:15" x14ac:dyDescent="0.25">
      <c r="A148">
        <v>147</v>
      </c>
      <c r="B148">
        <v>16745.536899999999</v>
      </c>
      <c r="C148">
        <v>0</v>
      </c>
      <c r="D148">
        <v>436501.71240000002</v>
      </c>
      <c r="E148">
        <v>0</v>
      </c>
      <c r="F148">
        <v>792492.29980000004</v>
      </c>
      <c r="G148">
        <v>830.83355710000001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0</v>
      </c>
      <c r="M148" s="1">
        <f t="shared" si="11"/>
        <v>0</v>
      </c>
      <c r="N148" s="1">
        <f t="shared" si="12"/>
        <v>271964.94466984452</v>
      </c>
      <c r="O148" s="1"/>
    </row>
    <row r="149" spans="1:15" x14ac:dyDescent="0.25">
      <c r="A149">
        <v>148</v>
      </c>
      <c r="B149">
        <v>83546.303509999998</v>
      </c>
      <c r="C149">
        <v>0</v>
      </c>
      <c r="D149">
        <v>477526.90259999997</v>
      </c>
      <c r="E149">
        <v>3925.9695999999999</v>
      </c>
      <c r="F149">
        <v>849571.42909999995</v>
      </c>
      <c r="G149">
        <v>9282.8176650000005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0</v>
      </c>
      <c r="M149" s="1">
        <f t="shared" si="11"/>
        <v>176442.33423650014</v>
      </c>
      <c r="N149" s="1">
        <f t="shared" si="12"/>
        <v>195199.7964320918</v>
      </c>
      <c r="O149" s="1"/>
    </row>
    <row r="150" spans="1:15" x14ac:dyDescent="0.25">
      <c r="A150">
        <v>149</v>
      </c>
      <c r="B150">
        <v>528047.92740000004</v>
      </c>
      <c r="C150">
        <v>0</v>
      </c>
      <c r="D150">
        <v>949631.4523</v>
      </c>
      <c r="E150">
        <v>14071.043799999999</v>
      </c>
      <c r="F150">
        <v>1389819.6710000001</v>
      </c>
      <c r="G150">
        <v>1435.2166319999999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0</v>
      </c>
      <c r="M150" s="1">
        <f t="shared" si="11"/>
        <v>2624742.0681786886</v>
      </c>
      <c r="N150" s="1">
        <f t="shared" si="12"/>
        <v>125262.60921200924</v>
      </c>
      <c r="O150" s="1"/>
    </row>
    <row r="151" spans="1:15" x14ac:dyDescent="0.25">
      <c r="A151">
        <v>150</v>
      </c>
      <c r="B151">
        <v>521584.07689999999</v>
      </c>
      <c r="C151">
        <v>0</v>
      </c>
      <c r="D151">
        <v>922666.41509999998</v>
      </c>
      <c r="E151">
        <v>7747.3909999999996</v>
      </c>
      <c r="F151">
        <v>1347281.102</v>
      </c>
      <c r="G151">
        <v>1929.1330889999999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0</v>
      </c>
      <c r="M151" s="1">
        <f t="shared" si="11"/>
        <v>1032705.118349193</v>
      </c>
      <c r="N151" s="1">
        <f t="shared" si="12"/>
        <v>120316.92478452643</v>
      </c>
      <c r="O151" s="1"/>
    </row>
    <row r="152" spans="1:15" x14ac:dyDescent="0.25">
      <c r="A152">
        <v>151</v>
      </c>
      <c r="B152">
        <v>432159.64059999998</v>
      </c>
      <c r="C152">
        <v>0</v>
      </c>
      <c r="D152">
        <v>801522.96759999997</v>
      </c>
      <c r="E152">
        <v>830.83349999999996</v>
      </c>
      <c r="F152">
        <v>1262048.7039999999</v>
      </c>
      <c r="G152">
        <v>9979.5377819999994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0</v>
      </c>
      <c r="M152" s="1">
        <f t="shared" si="11"/>
        <v>1014969.9807010099</v>
      </c>
      <c r="N152" s="1">
        <f t="shared" si="12"/>
        <v>5704181.0695660096</v>
      </c>
      <c r="O152" s="1"/>
    </row>
    <row r="153" spans="1:15" x14ac:dyDescent="0.25">
      <c r="A153">
        <v>152</v>
      </c>
      <c r="B153">
        <v>407131.11700000003</v>
      </c>
      <c r="C153">
        <v>0</v>
      </c>
      <c r="D153">
        <v>731423.63950000005</v>
      </c>
      <c r="E153">
        <v>6940.3855000000003</v>
      </c>
      <c r="F153">
        <v>1185115.6839999999</v>
      </c>
      <c r="G153">
        <v>4004.4448609999999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0</v>
      </c>
      <c r="M153" s="1">
        <f t="shared" si="11"/>
        <v>14391967.732859218</v>
      </c>
      <c r="N153" s="1">
        <f t="shared" si="12"/>
        <v>3885282.2951437235</v>
      </c>
      <c r="O153" s="1"/>
    </row>
    <row r="154" spans="1:15" x14ac:dyDescent="0.25">
      <c r="A154">
        <v>153</v>
      </c>
      <c r="B154">
        <v>478992.022</v>
      </c>
      <c r="C154">
        <v>0</v>
      </c>
      <c r="D154">
        <v>891439.9584</v>
      </c>
      <c r="E154">
        <v>6687.0159999999996</v>
      </c>
      <c r="F154">
        <v>1314338.6370000001</v>
      </c>
      <c r="G154">
        <v>1023.17473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0</v>
      </c>
      <c r="M154" s="1">
        <f t="shared" si="11"/>
        <v>12457348.259298408</v>
      </c>
      <c r="N154" s="1">
        <f t="shared" si="12"/>
        <v>891839.54854171653</v>
      </c>
      <c r="O154" s="1"/>
    </row>
    <row r="155" spans="1:15" x14ac:dyDescent="0.25">
      <c r="A155">
        <v>154</v>
      </c>
      <c r="B155">
        <v>577520.01850000001</v>
      </c>
      <c r="C155">
        <v>0</v>
      </c>
      <c r="D155">
        <v>1000663.858</v>
      </c>
      <c r="E155">
        <v>7620.93</v>
      </c>
      <c r="F155">
        <v>1434643.585</v>
      </c>
      <c r="G155">
        <v>914.32857490000004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0</v>
      </c>
      <c r="M155" s="1">
        <f t="shared" si="11"/>
        <v>2964998.1257690815</v>
      </c>
      <c r="N155" s="1">
        <f t="shared" si="12"/>
        <v>166441.80675039862</v>
      </c>
      <c r="O155" s="1"/>
    </row>
    <row r="156" spans="1:15" x14ac:dyDescent="0.25">
      <c r="A156">
        <v>155</v>
      </c>
      <c r="B156">
        <v>507464.4423</v>
      </c>
      <c r="C156">
        <v>0</v>
      </c>
      <c r="D156">
        <v>905013.24950000003</v>
      </c>
      <c r="E156">
        <v>8686.1026000000002</v>
      </c>
      <c r="F156">
        <v>1342365.5930000001</v>
      </c>
      <c r="G156">
        <v>1179.2399849999999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0</v>
      </c>
      <c r="M156" s="1">
        <f t="shared" si="11"/>
        <v>2493867.0028881948</v>
      </c>
      <c r="N156" s="1">
        <f t="shared" si="12"/>
        <v>158414.2365878213</v>
      </c>
      <c r="O156" s="1"/>
    </row>
    <row r="157" spans="1:15" x14ac:dyDescent="0.25">
      <c r="A157">
        <v>156</v>
      </c>
      <c r="B157">
        <v>461071.71620000002</v>
      </c>
      <c r="C157">
        <v>0</v>
      </c>
      <c r="D157">
        <v>851750.37659999996</v>
      </c>
      <c r="E157">
        <v>7034.1986999999999</v>
      </c>
      <c r="F157">
        <v>1281744.27</v>
      </c>
      <c r="G157">
        <v>1777.702904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0</v>
      </c>
      <c r="M157" s="1">
        <f t="shared" si="11"/>
        <v>9884109.2332337108</v>
      </c>
      <c r="N157" s="1">
        <f t="shared" si="12"/>
        <v>1168761.1427020982</v>
      </c>
      <c r="O157" s="1"/>
    </row>
    <row r="158" spans="1:15" x14ac:dyDescent="0.25">
      <c r="A158">
        <v>157</v>
      </c>
      <c r="B158">
        <v>428680.88860000001</v>
      </c>
      <c r="C158">
        <v>0</v>
      </c>
      <c r="D158">
        <v>790912.8273</v>
      </c>
      <c r="E158">
        <v>7517.3951999999999</v>
      </c>
      <c r="F158">
        <v>1200485.1610000001</v>
      </c>
      <c r="G158">
        <v>1179.240607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0</v>
      </c>
      <c r="M158" s="1">
        <f t="shared" si="11"/>
        <v>17699143.006447561</v>
      </c>
      <c r="N158" s="1">
        <f t="shared" si="12"/>
        <v>1299065.2327925013</v>
      </c>
      <c r="O158" s="1"/>
    </row>
    <row r="159" spans="1:15" x14ac:dyDescent="0.25">
      <c r="A159">
        <v>158</v>
      </c>
      <c r="B159">
        <v>402037.01280000003</v>
      </c>
      <c r="C159">
        <v>0</v>
      </c>
      <c r="D159">
        <v>813082.6189</v>
      </c>
      <c r="E159">
        <v>1178.0163</v>
      </c>
      <c r="F159">
        <v>1189368.7180000001</v>
      </c>
      <c r="G159">
        <v>352.62515409999997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</v>
      </c>
      <c r="M159" s="1">
        <f t="shared" si="11"/>
        <v>1640875.947525573</v>
      </c>
      <c r="N159" s="1">
        <f t="shared" si="12"/>
        <v>229816.61120108335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2595.1269000000002</v>
      </c>
      <c r="F160">
        <v>1236645.5870000001</v>
      </c>
      <c r="G160">
        <v>420.4120595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0</v>
      </c>
      <c r="M160" s="1">
        <f t="shared" si="11"/>
        <v>5274108.7300872058</v>
      </c>
      <c r="N160" s="1">
        <f t="shared" si="12"/>
        <v>399769.19244114729</v>
      </c>
      <c r="O160" s="1"/>
    </row>
    <row r="161" spans="1:15" x14ac:dyDescent="0.25">
      <c r="A161">
        <v>160</v>
      </c>
      <c r="B161">
        <v>552867.91269999999</v>
      </c>
      <c r="C161">
        <v>0</v>
      </c>
      <c r="D161">
        <v>932969.70929999999</v>
      </c>
      <c r="E161">
        <v>6381.7924999999996</v>
      </c>
      <c r="F161">
        <v>1329881.0360000001</v>
      </c>
      <c r="G161">
        <v>214.3916873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0</v>
      </c>
      <c r="M161" s="1">
        <f t="shared" si="11"/>
        <v>1714901.7623393824</v>
      </c>
      <c r="N161" s="1">
        <f t="shared" si="12"/>
        <v>26955.549392937522</v>
      </c>
      <c r="O161" s="1"/>
    </row>
    <row r="162" spans="1:15" x14ac:dyDescent="0.25">
      <c r="A162">
        <v>161</v>
      </c>
      <c r="B162">
        <v>676738.40500000003</v>
      </c>
      <c r="C162">
        <v>8853.2450000000008</v>
      </c>
      <c r="D162">
        <v>1172954.585</v>
      </c>
      <c r="E162">
        <v>7644.7160000000003</v>
      </c>
      <c r="F162">
        <v>1559221.1610000001</v>
      </c>
      <c r="G162">
        <v>2218.0632300000002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3955062.3699167846</v>
      </c>
      <c r="M162" s="1">
        <f t="shared" si="11"/>
        <v>1145395.1683175648</v>
      </c>
      <c r="N162" s="1">
        <f t="shared" si="12"/>
        <v>155493.26799852587</v>
      </c>
      <c r="O162" s="1"/>
    </row>
    <row r="163" spans="1:15" x14ac:dyDescent="0.25">
      <c r="A163">
        <v>162</v>
      </c>
      <c r="B163">
        <v>664079.1875</v>
      </c>
      <c r="C163">
        <v>6687.0159999999996</v>
      </c>
      <c r="D163">
        <v>1125072.8940000001</v>
      </c>
      <c r="E163">
        <v>1255.499</v>
      </c>
      <c r="F163">
        <v>1518312.091</v>
      </c>
      <c r="G163">
        <v>4.4541999999999997E-4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2203426.7425882798</v>
      </c>
      <c r="M163" s="1">
        <f t="shared" si="11"/>
        <v>138747.69016729636</v>
      </c>
      <c r="N163" s="1">
        <f t="shared" si="12"/>
        <v>2.3031529631506904E-2</v>
      </c>
      <c r="O163" s="1"/>
    </row>
    <row r="164" spans="1:15" x14ac:dyDescent="0.25">
      <c r="A164">
        <v>163</v>
      </c>
      <c r="B164">
        <v>102828.5062</v>
      </c>
      <c r="C164">
        <v>0</v>
      </c>
      <c r="D164">
        <v>572403.46440000006</v>
      </c>
      <c r="E164">
        <v>10201.742700000001</v>
      </c>
      <c r="F164">
        <v>956857.34400000004</v>
      </c>
      <c r="G164">
        <v>10602.98337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0</v>
      </c>
      <c r="M164" s="1">
        <f t="shared" si="11"/>
        <v>42387507.202568568</v>
      </c>
      <c r="N164" s="1">
        <f t="shared" si="12"/>
        <v>20612718.346563648</v>
      </c>
      <c r="O164" s="1"/>
    </row>
    <row r="165" spans="1:15" x14ac:dyDescent="0.25">
      <c r="A165">
        <v>164</v>
      </c>
      <c r="B165">
        <v>245372.50649999999</v>
      </c>
      <c r="C165">
        <v>0</v>
      </c>
      <c r="D165">
        <v>637800.96369999996</v>
      </c>
      <c r="E165">
        <v>21327.341100000001</v>
      </c>
      <c r="F165">
        <v>1051222.3589999999</v>
      </c>
      <c r="G165">
        <v>10011.81371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0</v>
      </c>
      <c r="M165" s="1">
        <f t="shared" si="11"/>
        <v>12109308.722217375</v>
      </c>
      <c r="N165" s="1">
        <f t="shared" si="12"/>
        <v>2659739.327039652</v>
      </c>
      <c r="O165" s="1"/>
    </row>
    <row r="166" spans="1:15" x14ac:dyDescent="0.25">
      <c r="A166">
        <v>165</v>
      </c>
      <c r="B166">
        <v>394722.24339999998</v>
      </c>
      <c r="C166">
        <v>830.83360000000005</v>
      </c>
      <c r="D166">
        <v>752523.54489999998</v>
      </c>
      <c r="E166">
        <v>24090.954099999999</v>
      </c>
      <c r="F166">
        <v>1184271.48</v>
      </c>
      <c r="G166">
        <v>5315.727707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4086258.5711443466</v>
      </c>
      <c r="M166" s="1">
        <f t="shared" si="11"/>
        <v>39738267.601341896</v>
      </c>
      <c r="N166" s="1">
        <f t="shared" si="12"/>
        <v>4102620.3937624902</v>
      </c>
      <c r="O166" s="1"/>
    </row>
    <row r="167" spans="1:15" x14ac:dyDescent="0.25">
      <c r="A167">
        <v>166</v>
      </c>
      <c r="B167">
        <v>277078.3322</v>
      </c>
      <c r="C167">
        <v>6940.3855999999996</v>
      </c>
      <c r="D167">
        <v>675012.2709</v>
      </c>
      <c r="E167">
        <v>26045.894199999999</v>
      </c>
      <c r="F167">
        <v>1074091.0549999999</v>
      </c>
      <c r="G167">
        <v>13970.529570000001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19418458.123616338</v>
      </c>
      <c r="M167" s="1">
        <f t="shared" si="11"/>
        <v>24440695.023683164</v>
      </c>
      <c r="N167" s="1">
        <f t="shared" si="12"/>
        <v>6133817.1688945349</v>
      </c>
      <c r="O167" s="1"/>
    </row>
    <row r="168" spans="1:15" x14ac:dyDescent="0.25">
      <c r="A168">
        <v>167</v>
      </c>
      <c r="B168">
        <v>185414.20689999999</v>
      </c>
      <c r="C168">
        <v>3925.9695000000002</v>
      </c>
      <c r="D168">
        <v>611072.92929999996</v>
      </c>
      <c r="E168">
        <v>22456.506099999999</v>
      </c>
      <c r="F168">
        <v>1010780.121</v>
      </c>
      <c r="G168">
        <v>8136.4070389999997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21711271.142905574</v>
      </c>
      <c r="M168" s="1">
        <f t="shared" si="11"/>
        <v>41650829.409869142</v>
      </c>
      <c r="N168" s="1">
        <f t="shared" si="12"/>
        <v>7060863.433363596</v>
      </c>
      <c r="O168" s="1"/>
    </row>
    <row r="169" spans="1:15" x14ac:dyDescent="0.25">
      <c r="A169">
        <v>168</v>
      </c>
      <c r="B169">
        <v>548999.27469999995</v>
      </c>
      <c r="C169">
        <v>0</v>
      </c>
      <c r="D169">
        <v>926535.13150000002</v>
      </c>
      <c r="E169">
        <v>8181.7560999999996</v>
      </c>
      <c r="F169">
        <v>1321189.67</v>
      </c>
      <c r="G169">
        <v>-1.3611999999999999E-4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0</v>
      </c>
      <c r="M169" s="1">
        <f t="shared" si="11"/>
        <v>8154845.6281415205</v>
      </c>
      <c r="N169" s="1">
        <f t="shared" si="12"/>
        <v>-6.3479695355078844E-2</v>
      </c>
      <c r="O169" s="1"/>
    </row>
    <row r="170" spans="1:15" x14ac:dyDescent="0.25">
      <c r="A170">
        <v>169</v>
      </c>
      <c r="B170">
        <v>477002.73109999998</v>
      </c>
      <c r="C170">
        <v>830.83360000000005</v>
      </c>
      <c r="D170">
        <v>850222.68319999997</v>
      </c>
      <c r="E170">
        <v>7531.5129999999999</v>
      </c>
      <c r="F170">
        <v>1243095.9099999999</v>
      </c>
      <c r="G170">
        <v>2049.7595660000002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2295099.3258501282</v>
      </c>
      <c r="M170" s="1">
        <f t="shared" si="11"/>
        <v>6977708.1515518529</v>
      </c>
      <c r="N170" s="1">
        <f t="shared" si="12"/>
        <v>888540.38310125761</v>
      </c>
      <c r="O170" s="1"/>
    </row>
    <row r="171" spans="1:15" x14ac:dyDescent="0.25">
      <c r="A171">
        <v>170</v>
      </c>
      <c r="B171">
        <v>489271.78539999999</v>
      </c>
      <c r="C171">
        <v>11398.0118</v>
      </c>
      <c r="D171">
        <v>865039.95</v>
      </c>
      <c r="E171">
        <v>20401.9447</v>
      </c>
      <c r="F171">
        <v>1252649.8470000001</v>
      </c>
      <c r="G171">
        <v>6617.8499570000004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38024650.919070154</v>
      </c>
      <c r="M171" s="1">
        <f t="shared" si="11"/>
        <v>22827105.002067495</v>
      </c>
      <c r="N171" s="1">
        <f t="shared" si="12"/>
        <v>3464494.4107870655</v>
      </c>
      <c r="O171" s="1"/>
    </row>
    <row r="172" spans="1:15" x14ac:dyDescent="0.25">
      <c r="A172">
        <v>171</v>
      </c>
      <c r="B172">
        <v>532755.79310000001</v>
      </c>
      <c r="C172">
        <v>12458.8411</v>
      </c>
      <c r="D172">
        <v>914735.38450000004</v>
      </c>
      <c r="E172">
        <v>12489.139800000001</v>
      </c>
      <c r="F172">
        <v>1307230.7150000001</v>
      </c>
      <c r="G172">
        <v>5918.4487689999996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40268873.418438405</v>
      </c>
      <c r="M172" s="1">
        <f t="shared" si="11"/>
        <v>13538404.844347978</v>
      </c>
      <c r="N172" s="1">
        <f t="shared" si="12"/>
        <v>3001833.0899742302</v>
      </c>
      <c r="O172" s="1"/>
    </row>
    <row r="173" spans="1:15" x14ac:dyDescent="0.25">
      <c r="A173">
        <v>172</v>
      </c>
      <c r="B173">
        <v>450180.64510000002</v>
      </c>
      <c r="C173">
        <v>11695.7179</v>
      </c>
      <c r="D173">
        <v>796820.15319999994</v>
      </c>
      <c r="E173">
        <v>36929.029900000001</v>
      </c>
      <c r="F173">
        <v>1218190.4010000001</v>
      </c>
      <c r="G173">
        <v>8674.5560110000006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12197563.724826114</v>
      </c>
      <c r="M173" s="1">
        <f t="shared" si="11"/>
        <v>12916868.767878046</v>
      </c>
      <c r="N173" s="1">
        <f t="shared" si="12"/>
        <v>1419646.7149652706</v>
      </c>
      <c r="O173" s="1"/>
    </row>
    <row r="174" spans="1:15" x14ac:dyDescent="0.25">
      <c r="A174">
        <v>173</v>
      </c>
      <c r="B174">
        <v>320642.55940000003</v>
      </c>
      <c r="C174">
        <v>830.83360000000005</v>
      </c>
      <c r="D174">
        <v>693439.7548</v>
      </c>
      <c r="E174">
        <v>37000.595699999998</v>
      </c>
      <c r="F174">
        <v>1105440.7150000001</v>
      </c>
      <c r="G174">
        <v>14244.770710000001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5548041.3935490726</v>
      </c>
      <c r="M174" s="1">
        <f t="shared" si="11"/>
        <v>82866213.409403771</v>
      </c>
      <c r="N174" s="1">
        <f t="shared" si="12"/>
        <v>14926841.426121598</v>
      </c>
      <c r="O174" s="1"/>
    </row>
    <row r="175" spans="1:15" x14ac:dyDescent="0.25">
      <c r="A175">
        <v>174</v>
      </c>
      <c r="B175">
        <v>648546.16240000003</v>
      </c>
      <c r="C175">
        <v>8282.4917999999998</v>
      </c>
      <c r="D175">
        <v>1120177.7490000001</v>
      </c>
      <c r="E175">
        <v>6864.558</v>
      </c>
      <c r="F175">
        <v>1525823.693</v>
      </c>
      <c r="G175">
        <v>473.1044703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2274168.4115856946</v>
      </c>
      <c r="M175" s="1">
        <f t="shared" si="11"/>
        <v>632145.89784633438</v>
      </c>
      <c r="N175" s="1">
        <f t="shared" si="12"/>
        <v>20384.754010139197</v>
      </c>
      <c r="O175" s="1"/>
    </row>
    <row r="176" spans="1:15" x14ac:dyDescent="0.25">
      <c r="A176">
        <v>175</v>
      </c>
      <c r="B176">
        <v>481084.4472</v>
      </c>
      <c r="C176">
        <v>830.83360000000005</v>
      </c>
      <c r="D176">
        <v>837568.92920000001</v>
      </c>
      <c r="E176">
        <v>590.55769999999995</v>
      </c>
      <c r="F176">
        <v>1231243.8189999999</v>
      </c>
      <c r="G176">
        <v>473.10361110000002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1460256.2993153196</v>
      </c>
      <c r="M176" s="1">
        <f t="shared" si="11"/>
        <v>348113.21495839715</v>
      </c>
      <c r="N176" s="1">
        <f t="shared" si="12"/>
        <v>130484.25635027689</v>
      </c>
      <c r="O176" s="1"/>
    </row>
    <row r="177" spans="1:15" x14ac:dyDescent="0.25">
      <c r="A177">
        <v>176</v>
      </c>
      <c r="B177">
        <v>586009.43830000004</v>
      </c>
      <c r="C177">
        <v>6940.3855999999996</v>
      </c>
      <c r="D177">
        <v>969485.76910000003</v>
      </c>
      <c r="E177">
        <v>7452.1787999999997</v>
      </c>
      <c r="F177">
        <v>1359123.6769999999</v>
      </c>
      <c r="G177">
        <v>-3.1180999999999998E-4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10050244.434256654</v>
      </c>
      <c r="M177" s="1">
        <f t="shared" si="11"/>
        <v>3619257.0392624484</v>
      </c>
      <c r="N177" s="1">
        <f t="shared" si="12"/>
        <v>-7.0854898263566196E-2</v>
      </c>
      <c r="O177" s="1"/>
    </row>
    <row r="178" spans="1:15" x14ac:dyDescent="0.25">
      <c r="A178">
        <v>177</v>
      </c>
      <c r="B178">
        <v>614430.53370000003</v>
      </c>
      <c r="C178">
        <v>0</v>
      </c>
      <c r="D178">
        <v>957222.26679999998</v>
      </c>
      <c r="E178">
        <v>590.55769999999995</v>
      </c>
      <c r="F178">
        <v>1354775.6189999999</v>
      </c>
      <c r="G178" s="1">
        <v>-8.5699999999999996E-5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0</v>
      </c>
      <c r="M178" s="1">
        <f t="shared" si="11"/>
        <v>50451.005735974431</v>
      </c>
      <c r="N178" s="1">
        <f t="shared" si="12"/>
        <v>-3.4255632588650496E-3</v>
      </c>
      <c r="O178" s="1"/>
    </row>
    <row r="179" spans="1:15" x14ac:dyDescent="0.25">
      <c r="A179">
        <v>178</v>
      </c>
      <c r="B179">
        <v>543579.96250000002</v>
      </c>
      <c r="C179">
        <v>0</v>
      </c>
      <c r="D179">
        <v>917518.48730000004</v>
      </c>
      <c r="E179">
        <v>1451.1527000000001</v>
      </c>
      <c r="F179">
        <v>1290791.0630000001</v>
      </c>
      <c r="G179">
        <v>-1.7328999999999999E-4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0</v>
      </c>
      <c r="M179" s="1">
        <f t="shared" si="11"/>
        <v>2374246.3749494771</v>
      </c>
      <c r="N179" s="1">
        <f t="shared" si="12"/>
        <v>-0.13265690152820034</v>
      </c>
      <c r="O179" s="1"/>
    </row>
    <row r="180" spans="1:15" x14ac:dyDescent="0.25">
      <c r="A180">
        <v>179</v>
      </c>
      <c r="B180">
        <v>494666.22379999998</v>
      </c>
      <c r="C180">
        <v>11398.0118</v>
      </c>
      <c r="D180">
        <v>861392.56079999998</v>
      </c>
      <c r="E180">
        <v>18126.294900000001</v>
      </c>
      <c r="F180">
        <v>1253545.3729999999</v>
      </c>
      <c r="G180">
        <v>5722.3239569999996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38431558.882195733</v>
      </c>
      <c r="M180" s="1">
        <f t="shared" si="11"/>
        <v>20497980.561953519</v>
      </c>
      <c r="N180" s="1">
        <f t="shared" si="12"/>
        <v>3027737.0452433261</v>
      </c>
      <c r="O180" s="1"/>
    </row>
    <row r="181" spans="1:15" x14ac:dyDescent="0.25">
      <c r="A181">
        <v>180</v>
      </c>
      <c r="B181">
        <v>388003.53320000001</v>
      </c>
      <c r="C181">
        <v>6687.0159999999996</v>
      </c>
      <c r="D181">
        <v>750599.91760000004</v>
      </c>
      <c r="E181">
        <v>22662.957600000002</v>
      </c>
      <c r="F181">
        <v>1150846.422</v>
      </c>
      <c r="G181">
        <v>9130.3380300000008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42536392.788498282</v>
      </c>
      <c r="M181" s="1">
        <f t="shared" si="11"/>
        <v>48349058.174032219</v>
      </c>
      <c r="N181" s="1">
        <f t="shared" si="12"/>
        <v>9113851.9007020034</v>
      </c>
      <c r="O181" s="1"/>
    </row>
    <row r="182" spans="1:15" x14ac:dyDescent="0.25">
      <c r="A182">
        <v>181</v>
      </c>
      <c r="B182">
        <v>554074.38130000001</v>
      </c>
      <c r="C182">
        <v>0</v>
      </c>
      <c r="D182">
        <v>931861.77980000002</v>
      </c>
      <c r="E182">
        <v>0</v>
      </c>
      <c r="F182">
        <v>1339014.67</v>
      </c>
      <c r="G182">
        <v>-3.8947999999999999E-4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0</v>
      </c>
      <c r="M182" s="1">
        <f t="shared" si="11"/>
        <v>0</v>
      </c>
      <c r="N182" s="1">
        <f t="shared" si="12"/>
        <v>-1.659835647927713E-2</v>
      </c>
      <c r="O182" s="1"/>
    </row>
    <row r="183" spans="1:15" x14ac:dyDescent="0.25">
      <c r="A183">
        <v>182</v>
      </c>
      <c r="B183">
        <v>520149.02399999998</v>
      </c>
      <c r="C183">
        <v>5856.1823999999997</v>
      </c>
      <c r="D183">
        <v>885604.85679999995</v>
      </c>
      <c r="E183">
        <v>0</v>
      </c>
      <c r="F183">
        <v>1250715.973</v>
      </c>
      <c r="G183">
        <v>-3.3490000000000001E-4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18378851.396688156</v>
      </c>
      <c r="M183" s="1">
        <f t="shared" si="11"/>
        <v>0</v>
      </c>
      <c r="N183" s="1">
        <f t="shared" si="12"/>
        <v>-0.16493230705292766</v>
      </c>
      <c r="O183" s="1"/>
    </row>
    <row r="184" spans="1:15" x14ac:dyDescent="0.25">
      <c r="A184">
        <v>183</v>
      </c>
      <c r="B184">
        <v>419907.26770000003</v>
      </c>
      <c r="C184">
        <v>830.83360000000005</v>
      </c>
      <c r="D184">
        <v>810270.24639999995</v>
      </c>
      <c r="E184">
        <v>590.55769999999995</v>
      </c>
      <c r="F184">
        <v>1214547.095</v>
      </c>
      <c r="G184">
        <v>-4.1164000000000001E-4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2967337.2360224295</v>
      </c>
      <c r="M184" s="1">
        <f t="shared" si="11"/>
        <v>707389.0423084409</v>
      </c>
      <c r="N184" s="1">
        <f t="shared" si="12"/>
        <v>-0.23070512348320979</v>
      </c>
      <c r="O184" s="1"/>
    </row>
    <row r="185" spans="1:15" x14ac:dyDescent="0.25">
      <c r="A185">
        <v>184</v>
      </c>
      <c r="B185">
        <v>531156.76379999996</v>
      </c>
      <c r="C185">
        <v>5856.1823999999997</v>
      </c>
      <c r="D185">
        <v>885742.26540000003</v>
      </c>
      <c r="E185">
        <v>0</v>
      </c>
      <c r="F185">
        <v>1255293.19</v>
      </c>
      <c r="G185">
        <v>-4.751E-4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7188855.3929070095</v>
      </c>
      <c r="M185" s="1">
        <f t="shared" si="11"/>
        <v>0</v>
      </c>
      <c r="N185" s="1">
        <f t="shared" si="12"/>
        <v>-9.1520207932823616E-2</v>
      </c>
      <c r="O185" s="1"/>
    </row>
    <row r="186" spans="1:15" x14ac:dyDescent="0.25">
      <c r="A186">
        <v>185</v>
      </c>
      <c r="B186">
        <v>441353.17739999999</v>
      </c>
      <c r="C186">
        <v>0</v>
      </c>
      <c r="D186">
        <v>838850.5736</v>
      </c>
      <c r="E186">
        <v>0</v>
      </c>
      <c r="F186">
        <v>1224997.7320000001</v>
      </c>
      <c r="G186">
        <v>2.0738000000000001E-4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0</v>
      </c>
      <c r="M186" s="1">
        <f t="shared" si="11"/>
        <v>0</v>
      </c>
      <c r="N186" s="1">
        <f t="shared" si="12"/>
        <v>4.9581125236954182E-2</v>
      </c>
      <c r="O186" s="1"/>
    </row>
    <row r="187" spans="1:15" x14ac:dyDescent="0.25">
      <c r="A187">
        <v>186</v>
      </c>
      <c r="B187">
        <v>404581.50770000002</v>
      </c>
      <c r="C187">
        <v>0</v>
      </c>
      <c r="D187">
        <v>715590.88910000003</v>
      </c>
      <c r="E187">
        <v>0</v>
      </c>
      <c r="F187">
        <v>1179532.9909999999</v>
      </c>
      <c r="G187">
        <v>8675.7842529999998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0</v>
      </c>
      <c r="M187" s="1">
        <f t="shared" si="11"/>
        <v>0</v>
      </c>
      <c r="N187" s="1">
        <f t="shared" si="12"/>
        <v>6320053.5995935537</v>
      </c>
      <c r="O187" s="1"/>
    </row>
    <row r="188" spans="1:15" x14ac:dyDescent="0.25">
      <c r="A188">
        <v>187</v>
      </c>
      <c r="B188">
        <v>531248.28249999997</v>
      </c>
      <c r="C188">
        <v>0</v>
      </c>
      <c r="D188">
        <v>944944.00269999995</v>
      </c>
      <c r="E188">
        <v>9704.1623999999993</v>
      </c>
      <c r="F188">
        <v>1370307.1170000001</v>
      </c>
      <c r="G188">
        <v>1362.524527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0</v>
      </c>
      <c r="M188" s="1">
        <f t="shared" si="11"/>
        <v>13376627.509281281</v>
      </c>
      <c r="N188" s="1">
        <f t="shared" si="12"/>
        <v>878772.75698571012</v>
      </c>
      <c r="O188" s="1"/>
    </row>
    <row r="189" spans="1:15" x14ac:dyDescent="0.25">
      <c r="A189">
        <v>188</v>
      </c>
      <c r="B189">
        <v>579759.68830000004</v>
      </c>
      <c r="C189">
        <v>0</v>
      </c>
      <c r="D189">
        <v>939626.61769999994</v>
      </c>
      <c r="E189">
        <v>590.55769999999995</v>
      </c>
      <c r="F189">
        <v>1342467.5919999999</v>
      </c>
      <c r="G189" s="1">
        <v>-6.6600000000000006E-5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0</v>
      </c>
      <c r="M189" s="1">
        <f t="shared" si="11"/>
        <v>306275.70045549626</v>
      </c>
      <c r="N189" s="1">
        <f t="shared" si="12"/>
        <v>-1.6160995623633573E-2</v>
      </c>
      <c r="O189" s="1"/>
    </row>
    <row r="190" spans="1:15" x14ac:dyDescent="0.25">
      <c r="A190">
        <v>189</v>
      </c>
      <c r="B190">
        <v>573563.61809999996</v>
      </c>
      <c r="C190">
        <v>0</v>
      </c>
      <c r="D190">
        <v>956348.83589999995</v>
      </c>
      <c r="E190">
        <v>412.54829999999998</v>
      </c>
      <c r="F190">
        <v>1342688.8049999999</v>
      </c>
      <c r="G190">
        <v>-1.3613000000000001E-4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0</v>
      </c>
      <c r="M190" s="1">
        <f t="shared" si="11"/>
        <v>131085.52544621305</v>
      </c>
      <c r="N190" s="1">
        <f t="shared" si="12"/>
        <v>-2.0238459874538577E-2</v>
      </c>
      <c r="O190" s="1"/>
    </row>
    <row r="191" spans="1:15" x14ac:dyDescent="0.25">
      <c r="A191">
        <v>190</v>
      </c>
      <c r="B191">
        <v>532768.24300000002</v>
      </c>
      <c r="C191">
        <v>0</v>
      </c>
      <c r="D191">
        <v>896551.15049999999</v>
      </c>
      <c r="E191">
        <v>412.54829999999998</v>
      </c>
      <c r="F191">
        <v>1282580.7309999999</v>
      </c>
      <c r="G191">
        <v>-4.7439999999999998E-4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0</v>
      </c>
      <c r="M191" s="1">
        <f t="shared" si="11"/>
        <v>136327.19891918128</v>
      </c>
      <c r="N191" s="1">
        <f t="shared" si="12"/>
        <v>-7.3349315971897519E-2</v>
      </c>
      <c r="O191" s="1"/>
    </row>
    <row r="192" spans="1:15" x14ac:dyDescent="0.25">
      <c r="A192">
        <v>191</v>
      </c>
      <c r="B192">
        <v>514073.04979999998</v>
      </c>
      <c r="C192">
        <v>0</v>
      </c>
      <c r="D192">
        <v>876823.60360000003</v>
      </c>
      <c r="E192">
        <v>0</v>
      </c>
      <c r="F192">
        <v>1258174.6029999999</v>
      </c>
      <c r="G192">
        <v>-4.8710000000000002E-4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0</v>
      </c>
      <c r="M192" s="1">
        <f t="shared" si="11"/>
        <v>0</v>
      </c>
      <c r="N192" s="1">
        <f t="shared" si="12"/>
        <v>-2.6992105451955541E-2</v>
      </c>
      <c r="O192" s="1"/>
    </row>
    <row r="193" spans="1:15" x14ac:dyDescent="0.25">
      <c r="A193">
        <v>192</v>
      </c>
      <c r="B193">
        <v>643873.63230000006</v>
      </c>
      <c r="C193">
        <v>0</v>
      </c>
      <c r="D193">
        <v>1009040.7070000001</v>
      </c>
      <c r="E193">
        <v>0</v>
      </c>
      <c r="F193">
        <v>1429353.1980000001</v>
      </c>
      <c r="G193">
        <v>-3.4337000000000001E-4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0</v>
      </c>
      <c r="M193" s="1">
        <f t="shared" si="11"/>
        <v>0</v>
      </c>
      <c r="N193" s="1">
        <f t="shared" si="12"/>
        <v>-4.8829157144104685E-2</v>
      </c>
      <c r="O193" s="1"/>
    </row>
    <row r="194" spans="1:15" x14ac:dyDescent="0.25">
      <c r="A194">
        <v>193</v>
      </c>
      <c r="B194">
        <v>539487.03980000003</v>
      </c>
      <c r="C194">
        <v>0</v>
      </c>
      <c r="D194">
        <v>942763.63540000003</v>
      </c>
      <c r="E194">
        <v>0</v>
      </c>
      <c r="F194">
        <v>1335857.3759999999</v>
      </c>
      <c r="G194">
        <v>-1.2732999999999999E-4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0</v>
      </c>
      <c r="M194" s="1">
        <f t="shared" si="11"/>
        <v>0</v>
      </c>
      <c r="N194" s="1">
        <f t="shared" si="12"/>
        <v>-5.7030781735182667E-2</v>
      </c>
      <c r="O194" s="1"/>
    </row>
    <row r="195" spans="1:15" x14ac:dyDescent="0.25">
      <c r="A195">
        <v>194</v>
      </c>
      <c r="B195">
        <v>745287.24690000003</v>
      </c>
      <c r="C195">
        <v>830.83360000000005</v>
      </c>
      <c r="D195">
        <v>1133185.8160000001</v>
      </c>
      <c r="E195">
        <v>0</v>
      </c>
      <c r="F195">
        <v>1511271.585</v>
      </c>
      <c r="G195" s="1">
        <v>1.8099999999999999E-5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515196.52131044434</v>
      </c>
      <c r="M195" s="1">
        <f t="shared" ref="M195:M258" si="15">$U$3*$K195*E195</f>
        <v>0</v>
      </c>
      <c r="N195" s="1">
        <f t="shared" ref="N195:N258" si="16">$U$4*$K195*G195</f>
        <v>1.7612631970207019E-3</v>
      </c>
      <c r="O195" s="1"/>
    </row>
    <row r="196" spans="1:15" x14ac:dyDescent="0.25">
      <c r="A196">
        <v>195</v>
      </c>
      <c r="B196">
        <v>617195.20539999998</v>
      </c>
      <c r="C196">
        <v>0</v>
      </c>
      <c r="D196">
        <v>1004056.251</v>
      </c>
      <c r="E196">
        <v>590.55700000000002</v>
      </c>
      <c r="F196">
        <v>1428525.737</v>
      </c>
      <c r="G196">
        <v>-2.3247E-4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0</v>
      </c>
      <c r="M196" s="1">
        <f t="shared" si="15"/>
        <v>398700.42856905347</v>
      </c>
      <c r="N196" s="1">
        <f t="shared" si="16"/>
        <v>-7.3433710763804047E-2</v>
      </c>
      <c r="O196" s="1"/>
    </row>
    <row r="197" spans="1:15" x14ac:dyDescent="0.25">
      <c r="A197">
        <v>196</v>
      </c>
      <c r="B197">
        <v>439019.63370000001</v>
      </c>
      <c r="C197">
        <v>0</v>
      </c>
      <c r="D197">
        <v>855608.03189999994</v>
      </c>
      <c r="E197">
        <v>0</v>
      </c>
      <c r="F197">
        <v>1265290.149</v>
      </c>
      <c r="G197" s="1">
        <v>-8.3399999999999994E-5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0</v>
      </c>
      <c r="M197" s="1">
        <f t="shared" si="15"/>
        <v>0</v>
      </c>
      <c r="N197" s="1">
        <f t="shared" si="16"/>
        <v>-8.5339047453506109E-2</v>
      </c>
      <c r="O197" s="1"/>
    </row>
    <row r="198" spans="1:15" x14ac:dyDescent="0.25">
      <c r="A198">
        <v>197</v>
      </c>
      <c r="B198">
        <v>744884.93689999997</v>
      </c>
      <c r="C198">
        <v>830.83349999999996</v>
      </c>
      <c r="D198">
        <v>1145572.598</v>
      </c>
      <c r="E198">
        <v>424.71199999999999</v>
      </c>
      <c r="F198">
        <v>1526475.977</v>
      </c>
      <c r="G198">
        <v>-2.8751999999999998E-4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1300236.2512047242</v>
      </c>
      <c r="M198" s="1">
        <f t="shared" si="15"/>
        <v>222918.41152718611</v>
      </c>
      <c r="N198" s="1">
        <f t="shared" si="16"/>
        <v>-7.0609501549266249E-2</v>
      </c>
      <c r="O198" s="1"/>
    </row>
    <row r="199" spans="1:15" x14ac:dyDescent="0.25">
      <c r="A199">
        <v>198</v>
      </c>
      <c r="B199">
        <v>608295.50289999996</v>
      </c>
      <c r="C199">
        <v>723.46579999999994</v>
      </c>
      <c r="D199">
        <v>994672.05009999999</v>
      </c>
      <c r="E199">
        <v>590.55769999999995</v>
      </c>
      <c r="F199">
        <v>1422400.8419999999</v>
      </c>
      <c r="G199">
        <v>2.9160999999999998E-4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2522565.7120929472</v>
      </c>
      <c r="M199" s="1">
        <f t="shared" si="15"/>
        <v>690605.37782069645</v>
      </c>
      <c r="N199" s="1">
        <f t="shared" si="16"/>
        <v>0.15955620953588276</v>
      </c>
      <c r="O199" s="1"/>
    </row>
    <row r="200" spans="1:15" x14ac:dyDescent="0.25">
      <c r="A200">
        <v>199</v>
      </c>
      <c r="B200">
        <v>419798.50959999999</v>
      </c>
      <c r="C200">
        <v>0</v>
      </c>
      <c r="D200">
        <v>855397.5355</v>
      </c>
      <c r="E200">
        <v>0</v>
      </c>
      <c r="F200">
        <v>1259111.142</v>
      </c>
      <c r="G200" s="1">
        <v>6.9099999999999999E-5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0</v>
      </c>
      <c r="M200" s="1">
        <f t="shared" si="15"/>
        <v>0</v>
      </c>
      <c r="N200" s="1">
        <f t="shared" si="16"/>
        <v>7.302094673841876E-2</v>
      </c>
      <c r="O200" s="1"/>
    </row>
    <row r="201" spans="1:15" x14ac:dyDescent="0.25">
      <c r="A201">
        <v>200</v>
      </c>
      <c r="B201">
        <v>629711.44350000005</v>
      </c>
      <c r="C201">
        <v>830.83360000000005</v>
      </c>
      <c r="D201">
        <v>1023370.822</v>
      </c>
      <c r="E201">
        <v>590.55799999999999</v>
      </c>
      <c r="F201">
        <v>1415433.0819999999</v>
      </c>
      <c r="G201" s="1">
        <v>5.8199999999999998E-5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2449969.6347940299</v>
      </c>
      <c r="M201" s="1">
        <f t="shared" si="15"/>
        <v>584053.11435399693</v>
      </c>
      <c r="N201" s="1">
        <f t="shared" si="16"/>
        <v>2.6931246178983608E-2</v>
      </c>
      <c r="O201" s="1"/>
    </row>
    <row r="202" spans="1:15" x14ac:dyDescent="0.25">
      <c r="A202">
        <v>201</v>
      </c>
      <c r="B202">
        <v>580883.29169999994</v>
      </c>
      <c r="C202">
        <v>723.46590000000003</v>
      </c>
      <c r="D202">
        <v>979167.30790000001</v>
      </c>
      <c r="E202">
        <v>590.55769999999995</v>
      </c>
      <c r="F202">
        <v>1382153.2590000001</v>
      </c>
      <c r="G202">
        <v>3.2665999999999999E-4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4482755.0625497075</v>
      </c>
      <c r="M202" s="1">
        <f t="shared" si="15"/>
        <v>1227248.2381308577</v>
      </c>
      <c r="N202" s="1">
        <f t="shared" si="16"/>
        <v>0.31762137151329178</v>
      </c>
      <c r="O202" s="1"/>
    </row>
    <row r="203" spans="1:15" x14ac:dyDescent="0.25">
      <c r="A203">
        <v>202</v>
      </c>
      <c r="B203">
        <v>415699.413</v>
      </c>
      <c r="C203">
        <v>0</v>
      </c>
      <c r="D203">
        <v>860464.37179999996</v>
      </c>
      <c r="E203">
        <v>881.20270000000005</v>
      </c>
      <c r="F203">
        <v>1263096.2590000001</v>
      </c>
      <c r="G203">
        <v>-3.4341999999999999E-4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0</v>
      </c>
      <c r="M203" s="1">
        <f t="shared" si="15"/>
        <v>1485134.4102937877</v>
      </c>
      <c r="N203" s="1">
        <f t="shared" si="16"/>
        <v>-0.27080657443730677</v>
      </c>
      <c r="O203" s="1"/>
    </row>
    <row r="204" spans="1:15" x14ac:dyDescent="0.25">
      <c r="A204">
        <v>205</v>
      </c>
      <c r="B204">
        <v>563691.94189999998</v>
      </c>
      <c r="C204">
        <v>0</v>
      </c>
      <c r="D204">
        <v>944485.76100000006</v>
      </c>
      <c r="E204">
        <v>7603.6278000000002</v>
      </c>
      <c r="F204">
        <v>1333460.08</v>
      </c>
      <c r="G204">
        <v>3.5277000000000003E-4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0</v>
      </c>
      <c r="M204" s="1">
        <f t="shared" si="15"/>
        <v>2720319.5731020588</v>
      </c>
      <c r="N204" s="1">
        <f t="shared" si="16"/>
        <v>5.9051971261657996E-2</v>
      </c>
      <c r="O204" s="1"/>
    </row>
    <row r="205" spans="1:15" x14ac:dyDescent="0.25">
      <c r="A205">
        <v>206</v>
      </c>
      <c r="B205">
        <v>470594.70309999998</v>
      </c>
      <c r="C205">
        <v>0</v>
      </c>
      <c r="D205">
        <v>867482.14370000002</v>
      </c>
      <c r="E205">
        <v>3304.223</v>
      </c>
      <c r="F205">
        <v>1279752.2649999999</v>
      </c>
      <c r="G205">
        <v>420.41241309999998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0</v>
      </c>
      <c r="M205" s="1">
        <f t="shared" si="15"/>
        <v>2441489.0667638681</v>
      </c>
      <c r="N205" s="1">
        <f t="shared" si="16"/>
        <v>145346.5215307269</v>
      </c>
      <c r="O205" s="1"/>
    </row>
    <row r="206" spans="1:15" x14ac:dyDescent="0.25">
      <c r="A206">
        <v>207</v>
      </c>
      <c r="B206">
        <v>334235.24349999998</v>
      </c>
      <c r="C206">
        <v>0</v>
      </c>
      <c r="D206">
        <v>829655.38630000001</v>
      </c>
      <c r="E206">
        <v>6687.0159999999996</v>
      </c>
      <c r="F206">
        <v>1261879.8459999999</v>
      </c>
      <c r="G206">
        <v>1179.2402400000001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0</v>
      </c>
      <c r="M206" s="1">
        <f t="shared" si="15"/>
        <v>13641749.359041702</v>
      </c>
      <c r="N206" s="1">
        <f t="shared" si="16"/>
        <v>1125598.9317249113</v>
      </c>
      <c r="O206" s="1"/>
    </row>
    <row r="207" spans="1:15" x14ac:dyDescent="0.25">
      <c r="A207">
        <v>208</v>
      </c>
      <c r="B207">
        <v>639296.00589999999</v>
      </c>
      <c r="C207">
        <v>3925.9695000000002</v>
      </c>
      <c r="D207">
        <v>1086530.5589999999</v>
      </c>
      <c r="E207">
        <v>1235.43</v>
      </c>
      <c r="F207">
        <v>1474526.3870000001</v>
      </c>
      <c r="G207">
        <v>-1.8284E-4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12618850.853431948</v>
      </c>
      <c r="M207" s="1">
        <f t="shared" si="15"/>
        <v>1331785.1440060206</v>
      </c>
      <c r="N207" s="1">
        <f t="shared" si="16"/>
        <v>-9.2221230718339944E-2</v>
      </c>
      <c r="O207" s="1"/>
    </row>
    <row r="208" spans="1:15" x14ac:dyDescent="0.25">
      <c r="A208">
        <v>209</v>
      </c>
      <c r="B208">
        <v>416643.86499999999</v>
      </c>
      <c r="C208">
        <v>0</v>
      </c>
      <c r="D208">
        <v>899219.82</v>
      </c>
      <c r="E208">
        <v>2757.2125999999998</v>
      </c>
      <c r="F208">
        <v>1331963.4809999999</v>
      </c>
      <c r="G208">
        <v>183.28415519999999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0</v>
      </c>
      <c r="M208" s="1">
        <f t="shared" si="15"/>
        <v>2295971.6693814173</v>
      </c>
      <c r="N208" s="1">
        <f t="shared" si="16"/>
        <v>71410.959866407371</v>
      </c>
      <c r="O208" s="1"/>
    </row>
    <row r="209" spans="1:15" x14ac:dyDescent="0.25">
      <c r="A209">
        <v>210</v>
      </c>
      <c r="B209">
        <v>590325.72459999996</v>
      </c>
      <c r="C209">
        <v>0</v>
      </c>
      <c r="D209">
        <v>1058987.7250000001</v>
      </c>
      <c r="E209">
        <v>6791.4179999999997</v>
      </c>
      <c r="F209">
        <v>1471351.31</v>
      </c>
      <c r="G209">
        <v>397.67597910000001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0</v>
      </c>
      <c r="M209" s="1">
        <f t="shared" si="15"/>
        <v>6100348.2287582504</v>
      </c>
      <c r="N209" s="1">
        <f t="shared" si="16"/>
        <v>167134.92181305014</v>
      </c>
      <c r="O209" s="1"/>
    </row>
    <row r="210" spans="1:15" x14ac:dyDescent="0.25">
      <c r="A210">
        <v>211</v>
      </c>
      <c r="B210">
        <v>573895.95030000003</v>
      </c>
      <c r="C210">
        <v>3925.9695000000002</v>
      </c>
      <c r="D210">
        <v>1053177.3770000001</v>
      </c>
      <c r="E210">
        <v>7696.2120000000004</v>
      </c>
      <c r="F210">
        <v>1468726.554</v>
      </c>
      <c r="G210">
        <v>-4.4202E-4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6179060.9938349715</v>
      </c>
      <c r="M210" s="1">
        <f t="shared" si="15"/>
        <v>4062521.9460187429</v>
      </c>
      <c r="N210" s="1">
        <f t="shared" si="16"/>
        <v>-0.10917024782736252</v>
      </c>
      <c r="O210" s="1"/>
    </row>
    <row r="211" spans="1:15" x14ac:dyDescent="0.25">
      <c r="A211">
        <v>212</v>
      </c>
      <c r="B211">
        <v>450404.78600000002</v>
      </c>
      <c r="C211">
        <v>0</v>
      </c>
      <c r="D211">
        <v>928431.35959999997</v>
      </c>
      <c r="E211">
        <v>6118.4744000000001</v>
      </c>
      <c r="F211">
        <v>1362611.6769999999</v>
      </c>
      <c r="G211">
        <v>-2.7277999999999997E-4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</v>
      </c>
      <c r="M211" s="1">
        <f t="shared" si="15"/>
        <v>12213969.596805638</v>
      </c>
      <c r="N211" s="1">
        <f t="shared" si="16"/>
        <v>-0.25478267354761952</v>
      </c>
      <c r="O211" s="1"/>
    </row>
    <row r="212" spans="1:15" x14ac:dyDescent="0.25">
      <c r="A212">
        <v>213</v>
      </c>
      <c r="B212">
        <v>421201.83020000003</v>
      </c>
      <c r="C212">
        <v>0</v>
      </c>
      <c r="D212">
        <v>866398.30330000003</v>
      </c>
      <c r="E212">
        <v>1899.2626</v>
      </c>
      <c r="F212">
        <v>1281586.537</v>
      </c>
      <c r="G212" s="1">
        <v>-8.42E-5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0</v>
      </c>
      <c r="M212" s="1">
        <f t="shared" si="15"/>
        <v>1750951.9146378343</v>
      </c>
      <c r="N212" s="1">
        <f t="shared" si="16"/>
        <v>-3.631992749455358E-2</v>
      </c>
      <c r="O212" s="1"/>
    </row>
    <row r="213" spans="1:15" x14ac:dyDescent="0.25">
      <c r="A213">
        <v>214</v>
      </c>
      <c r="B213">
        <v>263222.04350000003</v>
      </c>
      <c r="C213">
        <v>0</v>
      </c>
      <c r="D213">
        <v>798583.83829999994</v>
      </c>
      <c r="E213">
        <v>1148.6234999999999</v>
      </c>
      <c r="F213">
        <v>1180350.307</v>
      </c>
      <c r="G213">
        <v>4.7194000000000001E-4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0</v>
      </c>
      <c r="M213" s="1">
        <f t="shared" si="15"/>
        <v>2481995.8552444554</v>
      </c>
      <c r="N213" s="1">
        <f t="shared" si="16"/>
        <v>0.47714878346929435</v>
      </c>
      <c r="O213" s="1"/>
    </row>
    <row r="214" spans="1:15" x14ac:dyDescent="0.25">
      <c r="A214">
        <v>215</v>
      </c>
      <c r="B214">
        <v>685872.31259999995</v>
      </c>
      <c r="C214">
        <v>830.83360000000005</v>
      </c>
      <c r="D214">
        <v>1140160.429</v>
      </c>
      <c r="E214">
        <v>822.88199999999995</v>
      </c>
      <c r="F214">
        <v>1571641.0689999999</v>
      </c>
      <c r="G214" s="1">
        <v>-9.5799999999999998E-5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3402239.7764788815</v>
      </c>
      <c r="M214" s="1">
        <f t="shared" si="15"/>
        <v>1130138.2278846614</v>
      </c>
      <c r="N214" s="1">
        <f t="shared" si="16"/>
        <v>-6.156064907830297E-2</v>
      </c>
      <c r="O214" s="1"/>
    </row>
    <row r="215" spans="1:15" x14ac:dyDescent="0.25">
      <c r="A215">
        <v>216</v>
      </c>
      <c r="B215">
        <v>395633.13380000001</v>
      </c>
      <c r="C215">
        <v>0</v>
      </c>
      <c r="D215">
        <v>891529.75109999999</v>
      </c>
      <c r="E215">
        <v>7835.1850999999997</v>
      </c>
      <c r="F215">
        <v>1345783.6669999999</v>
      </c>
      <c r="G215">
        <v>777.33814870000003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0</v>
      </c>
      <c r="M215" s="1">
        <f t="shared" si="15"/>
        <v>12209329.894040877</v>
      </c>
      <c r="N215" s="1">
        <f t="shared" si="16"/>
        <v>566756.13182054937</v>
      </c>
      <c r="O215" s="1"/>
    </row>
    <row r="216" spans="1:15" x14ac:dyDescent="0.25">
      <c r="A216">
        <v>217</v>
      </c>
      <c r="B216">
        <v>517120.9486</v>
      </c>
      <c r="C216">
        <v>0</v>
      </c>
      <c r="D216">
        <v>1016032.284</v>
      </c>
      <c r="E216">
        <v>7361.2690000000002</v>
      </c>
      <c r="F216">
        <v>1427141.686</v>
      </c>
      <c r="G216">
        <v>4.4613999999999998E-4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0</v>
      </c>
      <c r="M216" s="1">
        <f t="shared" si="15"/>
        <v>4139104.0597165134</v>
      </c>
      <c r="N216" s="1">
        <f t="shared" si="16"/>
        <v>0.11737307910802613</v>
      </c>
      <c r="O216" s="1"/>
    </row>
    <row r="217" spans="1:15" x14ac:dyDescent="0.25">
      <c r="A217">
        <v>218</v>
      </c>
      <c r="B217">
        <v>432414.26069999998</v>
      </c>
      <c r="C217">
        <v>0</v>
      </c>
      <c r="D217">
        <v>912218.92359999998</v>
      </c>
      <c r="E217">
        <v>2909.2685000000001</v>
      </c>
      <c r="F217">
        <v>1348244.6</v>
      </c>
      <c r="G217">
        <v>3.5769000000000003E-4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0</v>
      </c>
      <c r="M217" s="1">
        <f t="shared" si="15"/>
        <v>3180632.5174620906</v>
      </c>
      <c r="N217" s="1">
        <f t="shared" si="16"/>
        <v>0.18297011744248201</v>
      </c>
      <c r="O217" s="1"/>
    </row>
    <row r="218" spans="1:15" x14ac:dyDescent="0.25">
      <c r="A218">
        <v>219</v>
      </c>
      <c r="B218">
        <v>433588.02720000001</v>
      </c>
      <c r="C218">
        <v>0</v>
      </c>
      <c r="D218">
        <v>887833.22770000005</v>
      </c>
      <c r="E218">
        <v>2294.2170999999998</v>
      </c>
      <c r="F218">
        <v>1309968.9439999999</v>
      </c>
      <c r="G218">
        <v>-4.0850000000000001E-4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0</v>
      </c>
      <c r="M218" s="1">
        <f t="shared" si="15"/>
        <v>3630250.7052068049</v>
      </c>
      <c r="N218" s="1">
        <f t="shared" si="16"/>
        <v>-0.30243903593668159</v>
      </c>
      <c r="O218" s="1"/>
    </row>
    <row r="219" spans="1:15" x14ac:dyDescent="0.25">
      <c r="A219">
        <v>220</v>
      </c>
      <c r="B219">
        <v>324633.54479999997</v>
      </c>
      <c r="C219">
        <v>0</v>
      </c>
      <c r="D219">
        <v>806126.68720000004</v>
      </c>
      <c r="E219">
        <v>830.83360000000005</v>
      </c>
      <c r="F219">
        <v>1198479.8529999999</v>
      </c>
      <c r="G219">
        <v>-1.4465999999999999E-4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0</v>
      </c>
      <c r="M219" s="1">
        <f t="shared" si="15"/>
        <v>829889.26798995945</v>
      </c>
      <c r="N219" s="1">
        <f t="shared" si="16"/>
        <v>-6.7608022876765414E-2</v>
      </c>
      <c r="O219" s="1"/>
    </row>
    <row r="220" spans="1:15" x14ac:dyDescent="0.25">
      <c r="A220">
        <v>221</v>
      </c>
      <c r="B220">
        <v>143340.44750000001</v>
      </c>
      <c r="C220">
        <v>0</v>
      </c>
      <c r="D220">
        <v>721273.96349999995</v>
      </c>
      <c r="E220">
        <v>830.83360000000005</v>
      </c>
      <c r="F220">
        <v>1045809.287</v>
      </c>
      <c r="G220">
        <v>-3.9011999999999999E-4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0</v>
      </c>
      <c r="M220" s="1">
        <f t="shared" si="15"/>
        <v>526593.63425219432</v>
      </c>
      <c r="N220" s="1">
        <f t="shared" si="16"/>
        <v>-0.11569203142126626</v>
      </c>
      <c r="O220" s="1"/>
    </row>
    <row r="221" spans="1:15" x14ac:dyDescent="0.25">
      <c r="A221">
        <v>222</v>
      </c>
      <c r="B221">
        <v>433501.27429999999</v>
      </c>
      <c r="C221">
        <v>0</v>
      </c>
      <c r="D221">
        <v>913641.94559999998</v>
      </c>
      <c r="E221">
        <v>3666.7494999999999</v>
      </c>
      <c r="F221">
        <v>1351069.3970000001</v>
      </c>
      <c r="G221">
        <v>183.28404839999999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0</v>
      </c>
      <c r="M221" s="1">
        <f t="shared" si="15"/>
        <v>3985017.8306379262</v>
      </c>
      <c r="N221" s="1">
        <f t="shared" si="16"/>
        <v>93200.31382348777</v>
      </c>
      <c r="O221" s="1"/>
    </row>
    <row r="222" spans="1:15" x14ac:dyDescent="0.25">
      <c r="A222">
        <v>223</v>
      </c>
      <c r="B222">
        <v>58253.439870000002</v>
      </c>
      <c r="C222">
        <v>0</v>
      </c>
      <c r="D222">
        <v>679660.28099999996</v>
      </c>
      <c r="E222">
        <v>6940.3855000000003</v>
      </c>
      <c r="F222">
        <v>1153734.2279999999</v>
      </c>
      <c r="G222">
        <v>822.88132229999997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0</v>
      </c>
      <c r="M222" s="1">
        <f t="shared" si="15"/>
        <v>3218481.6423582193</v>
      </c>
      <c r="N222" s="1">
        <f t="shared" si="16"/>
        <v>178545.26019908709</v>
      </c>
      <c r="O222" s="1"/>
    </row>
    <row r="223" spans="1:15" x14ac:dyDescent="0.25">
      <c r="A223">
        <v>224</v>
      </c>
      <c r="B223">
        <v>503984.79830000002</v>
      </c>
      <c r="C223">
        <v>0</v>
      </c>
      <c r="D223">
        <v>1004836.806</v>
      </c>
      <c r="E223">
        <v>2184.366</v>
      </c>
      <c r="F223">
        <v>1432453.6950000001</v>
      </c>
      <c r="G223">
        <v>183.2848094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0</v>
      </c>
      <c r="M223" s="1">
        <f t="shared" si="15"/>
        <v>2470532.4745660168</v>
      </c>
      <c r="N223" s="1">
        <f t="shared" si="16"/>
        <v>96991.864797065689</v>
      </c>
      <c r="O223" s="1"/>
    </row>
    <row r="224" spans="1:15" x14ac:dyDescent="0.25">
      <c r="A224">
        <v>225</v>
      </c>
      <c r="B224">
        <v>78841.585590000002</v>
      </c>
      <c r="C224">
        <v>0</v>
      </c>
      <c r="D224">
        <v>711902.12679999997</v>
      </c>
      <c r="E224">
        <v>0</v>
      </c>
      <c r="F224">
        <v>1146856.064</v>
      </c>
      <c r="G224">
        <v>590.55820830000005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0</v>
      </c>
      <c r="M224" s="1">
        <f t="shared" si="15"/>
        <v>0</v>
      </c>
      <c r="N224" s="1">
        <f t="shared" si="16"/>
        <v>413226.4345743478</v>
      </c>
      <c r="O224" s="1"/>
    </row>
    <row r="225" spans="1:15" x14ac:dyDescent="0.25">
      <c r="A225">
        <v>226</v>
      </c>
      <c r="B225">
        <v>90553.539789999995</v>
      </c>
      <c r="C225">
        <v>0</v>
      </c>
      <c r="D225">
        <v>541348.47629999998</v>
      </c>
      <c r="E225">
        <v>0</v>
      </c>
      <c r="F225">
        <v>935771.42350000003</v>
      </c>
      <c r="G225">
        <v>1848.89348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0</v>
      </c>
      <c r="M225" s="1">
        <f t="shared" si="15"/>
        <v>0</v>
      </c>
      <c r="N225" s="1">
        <f t="shared" si="16"/>
        <v>1516338.2072744833</v>
      </c>
      <c r="O225" s="1"/>
    </row>
    <row r="226" spans="1:15" x14ac:dyDescent="0.25">
      <c r="A226">
        <v>227</v>
      </c>
      <c r="B226">
        <v>208498.3518</v>
      </c>
      <c r="C226">
        <v>0</v>
      </c>
      <c r="D226">
        <v>642340.67420000001</v>
      </c>
      <c r="E226">
        <v>0</v>
      </c>
      <c r="F226">
        <v>1052352.6129999999</v>
      </c>
      <c r="G226">
        <v>4084.7987870000002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</v>
      </c>
      <c r="M226" s="1">
        <f t="shared" si="15"/>
        <v>0</v>
      </c>
      <c r="N226" s="1">
        <f t="shared" si="16"/>
        <v>8317172.1916650888</v>
      </c>
      <c r="O226" s="1"/>
    </row>
    <row r="227" spans="1:15" x14ac:dyDescent="0.25">
      <c r="A227">
        <v>228</v>
      </c>
      <c r="B227">
        <v>218467.32519999999</v>
      </c>
      <c r="C227">
        <v>0</v>
      </c>
      <c r="D227">
        <v>658704.73389999999</v>
      </c>
      <c r="E227">
        <v>0</v>
      </c>
      <c r="F227">
        <v>1069946.9339999999</v>
      </c>
      <c r="G227">
        <v>3597.380075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0</v>
      </c>
      <c r="M227" s="1">
        <f t="shared" si="15"/>
        <v>0</v>
      </c>
      <c r="N227" s="1">
        <f t="shared" si="16"/>
        <v>8993820.0326061919</v>
      </c>
      <c r="O227" s="1"/>
    </row>
    <row r="228" spans="1:15" x14ac:dyDescent="0.25">
      <c r="A228">
        <v>229</v>
      </c>
      <c r="B228">
        <v>164668.56630000001</v>
      </c>
      <c r="C228">
        <v>0</v>
      </c>
      <c r="D228">
        <v>611497.58909999998</v>
      </c>
      <c r="E228">
        <v>0</v>
      </c>
      <c r="F228">
        <v>1032709.1139999999</v>
      </c>
      <c r="G228">
        <v>7675.4154790000002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0</v>
      </c>
      <c r="M228" s="1">
        <f t="shared" si="15"/>
        <v>0</v>
      </c>
      <c r="N228" s="1">
        <f t="shared" si="16"/>
        <v>12332422.724165658</v>
      </c>
      <c r="O228" s="1"/>
    </row>
    <row r="229" spans="1:15" x14ac:dyDescent="0.25">
      <c r="A229">
        <v>230</v>
      </c>
      <c r="B229">
        <v>75715.346449999997</v>
      </c>
      <c r="C229">
        <v>0</v>
      </c>
      <c r="D229">
        <v>561528.50349999999</v>
      </c>
      <c r="E229">
        <v>0</v>
      </c>
      <c r="F229">
        <v>915157.17830000003</v>
      </c>
      <c r="G229">
        <v>2595.1270140000001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0</v>
      </c>
      <c r="M229" s="1">
        <f t="shared" si="15"/>
        <v>0</v>
      </c>
      <c r="N229" s="1">
        <f t="shared" si="16"/>
        <v>3500834.523383596</v>
      </c>
      <c r="O229" s="1"/>
    </row>
    <row r="230" spans="1:15" x14ac:dyDescent="0.25">
      <c r="A230">
        <v>231</v>
      </c>
      <c r="B230">
        <v>161914.2738</v>
      </c>
      <c r="C230">
        <v>0</v>
      </c>
      <c r="D230">
        <v>699212.45039999997</v>
      </c>
      <c r="E230">
        <v>0</v>
      </c>
      <c r="F230">
        <v>1036218.785</v>
      </c>
      <c r="G230">
        <v>822.88216969999996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</v>
      </c>
      <c r="M230" s="1">
        <f t="shared" si="15"/>
        <v>0</v>
      </c>
      <c r="N230" s="1">
        <f t="shared" si="16"/>
        <v>727032.03204015864</v>
      </c>
      <c r="O230" s="1"/>
    </row>
    <row r="231" spans="1:15" x14ac:dyDescent="0.25">
      <c r="A231">
        <v>232</v>
      </c>
      <c r="B231">
        <v>237218.9607</v>
      </c>
      <c r="C231">
        <v>0</v>
      </c>
      <c r="D231">
        <v>714453.29779999994</v>
      </c>
      <c r="E231">
        <v>830.83349999999996</v>
      </c>
      <c r="F231">
        <v>1051640.0249999999</v>
      </c>
      <c r="G231">
        <v>590.55794130000004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</v>
      </c>
      <c r="M231" s="1">
        <f t="shared" si="15"/>
        <v>2109634.5014215107</v>
      </c>
      <c r="N231" s="1">
        <f t="shared" si="16"/>
        <v>701615.88322523574</v>
      </c>
      <c r="O231" s="1"/>
    </row>
    <row r="232" spans="1:15" x14ac:dyDescent="0.25">
      <c r="A232">
        <v>233</v>
      </c>
      <c r="B232">
        <v>210765.98149999999</v>
      </c>
      <c r="C232">
        <v>0</v>
      </c>
      <c r="D232">
        <v>712997.05429999996</v>
      </c>
      <c r="E232">
        <v>6940.3855000000003</v>
      </c>
      <c r="F232">
        <v>1090560.193</v>
      </c>
      <c r="G232">
        <v>590.55808569999999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</v>
      </c>
      <c r="M232" s="1">
        <f t="shared" si="15"/>
        <v>19781025.789387524</v>
      </c>
      <c r="N232" s="1">
        <f t="shared" si="16"/>
        <v>787537.99135299504</v>
      </c>
      <c r="O232" s="1"/>
    </row>
    <row r="233" spans="1:15" x14ac:dyDescent="0.25">
      <c r="A233">
        <v>236</v>
      </c>
      <c r="B233">
        <v>140646.4762</v>
      </c>
      <c r="C233">
        <v>0</v>
      </c>
      <c r="D233">
        <v>686204.73910000001</v>
      </c>
      <c r="E233">
        <v>0</v>
      </c>
      <c r="F233">
        <v>1027487.201</v>
      </c>
      <c r="G233">
        <v>860.59526630000005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</v>
      </c>
      <c r="M233" s="1">
        <f t="shared" si="15"/>
        <v>0</v>
      </c>
      <c r="N233" s="1">
        <f t="shared" si="16"/>
        <v>2970345.7350986954</v>
      </c>
      <c r="O233" s="1"/>
    </row>
    <row r="234" spans="1:15" x14ac:dyDescent="0.25">
      <c r="A234">
        <v>237</v>
      </c>
      <c r="B234">
        <v>86075.258010000005</v>
      </c>
      <c r="C234">
        <v>0</v>
      </c>
      <c r="D234">
        <v>585019.67729999998</v>
      </c>
      <c r="E234">
        <v>0</v>
      </c>
      <c r="F234">
        <v>972521.37930000003</v>
      </c>
      <c r="G234">
        <v>1764.7477799999999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0</v>
      </c>
      <c r="M234" s="1">
        <f t="shared" si="15"/>
        <v>0</v>
      </c>
      <c r="N234" s="1">
        <f t="shared" si="16"/>
        <v>1963129.3098135178</v>
      </c>
      <c r="O234" s="1"/>
    </row>
    <row r="235" spans="1:15" x14ac:dyDescent="0.25">
      <c r="A235">
        <v>238</v>
      </c>
      <c r="B235">
        <v>95617.404110000003</v>
      </c>
      <c r="C235">
        <v>0</v>
      </c>
      <c r="D235">
        <v>627293.06980000006</v>
      </c>
      <c r="E235">
        <v>0</v>
      </c>
      <c r="F235">
        <v>990812.9277</v>
      </c>
      <c r="G235">
        <v>1437.677958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0</v>
      </c>
      <c r="M235" s="1">
        <f t="shared" si="15"/>
        <v>0</v>
      </c>
      <c r="N235" s="1">
        <f t="shared" si="16"/>
        <v>888031.12302349287</v>
      </c>
      <c r="O235" s="1"/>
    </row>
    <row r="236" spans="1:15" x14ac:dyDescent="0.25">
      <c r="A236">
        <v>239</v>
      </c>
      <c r="B236">
        <v>334482.40590000001</v>
      </c>
      <c r="C236">
        <v>0</v>
      </c>
      <c r="D236">
        <v>844420.6</v>
      </c>
      <c r="E236">
        <v>6687.0159999999996</v>
      </c>
      <c r="F236">
        <v>1282980.9709999999</v>
      </c>
      <c r="G236">
        <v>1365.153941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</v>
      </c>
      <c r="M236" s="1">
        <f t="shared" si="15"/>
        <v>11967639.881801846</v>
      </c>
      <c r="N236" s="1">
        <f t="shared" si="16"/>
        <v>1143145.3533134162</v>
      </c>
      <c r="O236" s="1"/>
    </row>
    <row r="237" spans="1:15" x14ac:dyDescent="0.25">
      <c r="A237">
        <v>240</v>
      </c>
      <c r="B237">
        <v>549104.14610000001</v>
      </c>
      <c r="C237">
        <v>0</v>
      </c>
      <c r="D237">
        <v>1031867.723</v>
      </c>
      <c r="E237">
        <v>7496.5079999999998</v>
      </c>
      <c r="F237">
        <v>1438010.067</v>
      </c>
      <c r="G237">
        <v>1015.070254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0</v>
      </c>
      <c r="M237" s="1">
        <f t="shared" si="15"/>
        <v>8279884.090303597</v>
      </c>
      <c r="N237" s="1">
        <f t="shared" si="16"/>
        <v>524571.90597408405</v>
      </c>
      <c r="O237" s="1"/>
    </row>
    <row r="238" spans="1:15" x14ac:dyDescent="0.25">
      <c r="A238">
        <v>241</v>
      </c>
      <c r="B238">
        <v>99051.173569999999</v>
      </c>
      <c r="C238">
        <v>0</v>
      </c>
      <c r="D238">
        <v>656601.37910000002</v>
      </c>
      <c r="E238">
        <v>0</v>
      </c>
      <c r="F238">
        <v>1112541.929</v>
      </c>
      <c r="G238">
        <v>5969.2441019999997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0</v>
      </c>
      <c r="M238" s="1">
        <f t="shared" si="15"/>
        <v>0</v>
      </c>
      <c r="N238" s="1">
        <f t="shared" si="16"/>
        <v>4691894.9763267431</v>
      </c>
      <c r="O238" s="1"/>
    </row>
    <row r="239" spans="1:15" x14ac:dyDescent="0.25">
      <c r="A239">
        <v>242</v>
      </c>
      <c r="B239">
        <v>192899.9613</v>
      </c>
      <c r="C239">
        <v>0</v>
      </c>
      <c r="D239">
        <v>754482.21010000003</v>
      </c>
      <c r="E239">
        <v>0</v>
      </c>
      <c r="F239">
        <v>1168448.0589999999</v>
      </c>
      <c r="G239">
        <v>1457.6565880000001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0</v>
      </c>
      <c r="M239" s="1">
        <f t="shared" si="15"/>
        <v>0</v>
      </c>
      <c r="N239" s="1">
        <f t="shared" si="16"/>
        <v>1355640.4679628117</v>
      </c>
      <c r="O239" s="1"/>
    </row>
    <row r="240" spans="1:15" x14ac:dyDescent="0.25">
      <c r="A240">
        <v>243</v>
      </c>
      <c r="B240">
        <v>213602.50959999999</v>
      </c>
      <c r="C240">
        <v>0</v>
      </c>
      <c r="D240">
        <v>768350.11179999996</v>
      </c>
      <c r="E240">
        <v>830.83360000000005</v>
      </c>
      <c r="F240">
        <v>1214351.2549999999</v>
      </c>
      <c r="G240">
        <v>418.23851009999998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0</v>
      </c>
      <c r="M240" s="1">
        <f t="shared" si="15"/>
        <v>964143.87019914773</v>
      </c>
      <c r="N240" s="1">
        <f t="shared" si="16"/>
        <v>227088.68202541658</v>
      </c>
      <c r="O240" s="1"/>
    </row>
    <row r="241" spans="1:15" x14ac:dyDescent="0.25">
      <c r="A241">
        <v>244</v>
      </c>
      <c r="B241">
        <v>545795.65090000001</v>
      </c>
      <c r="C241">
        <v>0</v>
      </c>
      <c r="D241">
        <v>1026367.024</v>
      </c>
      <c r="E241">
        <v>2671.7840000000001</v>
      </c>
      <c r="F241">
        <v>1435883.8049999999</v>
      </c>
      <c r="G241">
        <v>800.67868469999996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0</v>
      </c>
      <c r="M241" s="1">
        <f t="shared" si="15"/>
        <v>1370409.7724082731</v>
      </c>
      <c r="N241" s="1">
        <f t="shared" si="16"/>
        <v>192154.71587202829</v>
      </c>
      <c r="O241" s="1"/>
    </row>
    <row r="242" spans="1:15" x14ac:dyDescent="0.25">
      <c r="A242">
        <v>245</v>
      </c>
      <c r="B242">
        <v>307154.05619999999</v>
      </c>
      <c r="C242">
        <v>0</v>
      </c>
      <c r="D242">
        <v>814966.17870000005</v>
      </c>
      <c r="E242">
        <v>830.83360000000005</v>
      </c>
      <c r="F242">
        <v>1247363.5049999999</v>
      </c>
      <c r="G242">
        <v>3.5073999999999999E-4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0</v>
      </c>
      <c r="M242" s="1">
        <f t="shared" si="15"/>
        <v>2745475.5236589322</v>
      </c>
      <c r="N242" s="1">
        <f t="shared" si="16"/>
        <v>0.54229112932536316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>
        <v>830.83360000000005</v>
      </c>
      <c r="F243">
        <v>1226550.5</v>
      </c>
      <c r="G243">
        <v>-1.2072E-4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0</v>
      </c>
      <c r="M243" s="1">
        <f t="shared" si="15"/>
        <v>1360719.7185789519</v>
      </c>
      <c r="N243" s="1">
        <f t="shared" si="16"/>
        <v>-9.2507625079433928E-2</v>
      </c>
      <c r="O243" s="1"/>
    </row>
    <row r="244" spans="1:15" x14ac:dyDescent="0.25">
      <c r="A244">
        <v>247</v>
      </c>
      <c r="B244">
        <v>321713.114</v>
      </c>
      <c r="C244">
        <v>0</v>
      </c>
      <c r="D244">
        <v>821737.25390000001</v>
      </c>
      <c r="E244">
        <v>6687.0159999999996</v>
      </c>
      <c r="F244">
        <v>1264659.6440000001</v>
      </c>
      <c r="G244">
        <v>185.91348690000001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0</v>
      </c>
      <c r="M244" s="1">
        <f t="shared" si="15"/>
        <v>9243083.1757800244</v>
      </c>
      <c r="N244" s="1">
        <f t="shared" si="16"/>
        <v>120237.26067823351</v>
      </c>
      <c r="O244" s="1"/>
    </row>
    <row r="245" spans="1:15" x14ac:dyDescent="0.25">
      <c r="A245">
        <v>248</v>
      </c>
      <c r="B245">
        <v>360390.43219999998</v>
      </c>
      <c r="C245">
        <v>0</v>
      </c>
      <c r="D245">
        <v>846876.51749999996</v>
      </c>
      <c r="E245">
        <v>6687.0159999999996</v>
      </c>
      <c r="F245">
        <v>1289923.8529999999</v>
      </c>
      <c r="G245">
        <v>610.62644939999996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</v>
      </c>
      <c r="M245" s="1">
        <f t="shared" si="15"/>
        <v>11995034.72728717</v>
      </c>
      <c r="N245" s="1">
        <f t="shared" si="16"/>
        <v>512493.58947154216</v>
      </c>
      <c r="O245" s="1"/>
    </row>
    <row r="246" spans="1:15" x14ac:dyDescent="0.25">
      <c r="A246">
        <v>249</v>
      </c>
      <c r="B246">
        <v>364607.7169</v>
      </c>
      <c r="C246">
        <v>0</v>
      </c>
      <c r="D246">
        <v>863023.20479999995</v>
      </c>
      <c r="E246">
        <v>6687.0159999999996</v>
      </c>
      <c r="F246">
        <v>1295520.952</v>
      </c>
      <c r="G246">
        <v>610.62660040000003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0</v>
      </c>
      <c r="M246" s="1">
        <f t="shared" si="15"/>
        <v>14324595.44793571</v>
      </c>
      <c r="N246" s="1">
        <f t="shared" si="16"/>
        <v>612025.33557814907</v>
      </c>
      <c r="O246" s="1"/>
    </row>
    <row r="247" spans="1:15" x14ac:dyDescent="0.25">
      <c r="A247">
        <v>250</v>
      </c>
      <c r="B247">
        <v>126703.47380000001</v>
      </c>
      <c r="C247">
        <v>0</v>
      </c>
      <c r="D247">
        <v>741702.57449999999</v>
      </c>
      <c r="E247">
        <v>0</v>
      </c>
      <c r="F247">
        <v>1176518.0619999999</v>
      </c>
      <c r="G247">
        <v>822.88207190000003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0</v>
      </c>
      <c r="M247" s="1">
        <f t="shared" si="15"/>
        <v>0</v>
      </c>
      <c r="N247" s="1">
        <f t="shared" si="16"/>
        <v>470667.83319772268</v>
      </c>
      <c r="O247" s="1"/>
    </row>
    <row r="248" spans="1:15" x14ac:dyDescent="0.25">
      <c r="A248">
        <v>251</v>
      </c>
      <c r="B248">
        <v>73531.840920000002</v>
      </c>
      <c r="C248">
        <v>0</v>
      </c>
      <c r="D248">
        <v>720384.80379999999</v>
      </c>
      <c r="E248">
        <v>0</v>
      </c>
      <c r="F248">
        <v>1139335.8459999999</v>
      </c>
      <c r="G248">
        <v>-3.681E-4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0</v>
      </c>
      <c r="M248" s="1">
        <f t="shared" si="15"/>
        <v>0</v>
      </c>
      <c r="N248" s="1">
        <f t="shared" si="16"/>
        <v>-0.61556011186744042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>
        <v>0</v>
      </c>
      <c r="F249">
        <v>976513.24979999999</v>
      </c>
      <c r="G249">
        <v>7600.7050980000004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0</v>
      </c>
      <c r="M249" s="1">
        <f t="shared" si="15"/>
        <v>0</v>
      </c>
      <c r="N249" s="1">
        <f t="shared" si="16"/>
        <v>4738696.7786371652</v>
      </c>
      <c r="O249" s="1"/>
    </row>
    <row r="250" spans="1:15" x14ac:dyDescent="0.25">
      <c r="A250">
        <v>253</v>
      </c>
      <c r="B250">
        <v>57746.273459999997</v>
      </c>
      <c r="C250">
        <v>0</v>
      </c>
      <c r="D250">
        <v>678978.64760000003</v>
      </c>
      <c r="E250">
        <v>0</v>
      </c>
      <c r="F250">
        <v>1098176.0260000001</v>
      </c>
      <c r="G250">
        <v>885.98251749999997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0</v>
      </c>
      <c r="M250" s="1">
        <f t="shared" si="15"/>
        <v>0</v>
      </c>
      <c r="N250" s="1">
        <f t="shared" si="16"/>
        <v>366682.2676995885</v>
      </c>
      <c r="O250" s="1"/>
    </row>
    <row r="251" spans="1:15" x14ac:dyDescent="0.25">
      <c r="A251">
        <v>254</v>
      </c>
      <c r="B251">
        <v>452590.24739999999</v>
      </c>
      <c r="C251">
        <v>0</v>
      </c>
      <c r="D251">
        <v>900877.53769999999</v>
      </c>
      <c r="E251">
        <v>8853.2450000000008</v>
      </c>
      <c r="F251">
        <v>1333610.226</v>
      </c>
      <c r="G251">
        <v>1859.070915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0</v>
      </c>
      <c r="M251" s="1">
        <f t="shared" si="15"/>
        <v>8042199.8677414628</v>
      </c>
      <c r="N251" s="1">
        <f t="shared" si="16"/>
        <v>790154.49293377076</v>
      </c>
      <c r="O251" s="1"/>
    </row>
    <row r="252" spans="1:15" x14ac:dyDescent="0.25">
      <c r="A252">
        <v>255</v>
      </c>
      <c r="B252">
        <v>322396.67940000002</v>
      </c>
      <c r="C252">
        <v>0</v>
      </c>
      <c r="D252">
        <v>840665.87679999997</v>
      </c>
      <c r="E252">
        <v>6687.0159000000003</v>
      </c>
      <c r="F252">
        <v>1283212.915</v>
      </c>
      <c r="G252">
        <v>610.62669259999996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</v>
      </c>
      <c r="M252" s="1">
        <f t="shared" si="15"/>
        <v>7169524.2044536816</v>
      </c>
      <c r="N252" s="1">
        <f t="shared" si="16"/>
        <v>306321.47352976445</v>
      </c>
      <c r="O252" s="1"/>
    </row>
    <row r="253" spans="1:15" x14ac:dyDescent="0.25">
      <c r="A253">
        <v>256</v>
      </c>
      <c r="B253">
        <v>191964.511</v>
      </c>
      <c r="C253">
        <v>0</v>
      </c>
      <c r="D253">
        <v>793542.77969999996</v>
      </c>
      <c r="E253">
        <v>830.83360000000005</v>
      </c>
      <c r="F253">
        <v>1223839.54</v>
      </c>
      <c r="G253">
        <v>826.6156125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0</v>
      </c>
      <c r="M253" s="1">
        <f t="shared" si="15"/>
        <v>1943030.7511868533</v>
      </c>
      <c r="N253" s="1">
        <f t="shared" si="16"/>
        <v>904509.02419223706</v>
      </c>
      <c r="O253" s="1"/>
    </row>
    <row r="254" spans="1:15" x14ac:dyDescent="0.25">
      <c r="A254">
        <v>257</v>
      </c>
      <c r="B254">
        <v>93446.281390000004</v>
      </c>
      <c r="C254">
        <v>0</v>
      </c>
      <c r="D254">
        <v>745329.03969999996</v>
      </c>
      <c r="E254">
        <v>1681.7509</v>
      </c>
      <c r="F254">
        <v>1161602.848</v>
      </c>
      <c r="G254">
        <v>1224.5181849999999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0</v>
      </c>
      <c r="M254" s="1">
        <f t="shared" si="15"/>
        <v>2821329.0409006504</v>
      </c>
      <c r="N254" s="1">
        <f t="shared" si="16"/>
        <v>961171.72750685783</v>
      </c>
      <c r="O254" s="1"/>
    </row>
    <row r="255" spans="1:15" x14ac:dyDescent="0.25">
      <c r="A255">
        <v>258</v>
      </c>
      <c r="B255">
        <v>204693.90100000001</v>
      </c>
      <c r="C255">
        <v>0</v>
      </c>
      <c r="D255">
        <v>806926.60959999997</v>
      </c>
      <c r="E255">
        <v>830.83360000000005</v>
      </c>
      <c r="F255">
        <v>1234967.7509999999</v>
      </c>
      <c r="G255">
        <v>3.9434000000000002E-4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0</v>
      </c>
      <c r="M255" s="1">
        <f t="shared" si="15"/>
        <v>3020399.6406713994</v>
      </c>
      <c r="N255" s="1">
        <f t="shared" si="16"/>
        <v>0.67075646697265046</v>
      </c>
      <c r="O255" s="1"/>
    </row>
    <row r="256" spans="1:15" x14ac:dyDescent="0.25">
      <c r="A256">
        <v>259</v>
      </c>
      <c r="B256">
        <v>90204.001199999999</v>
      </c>
      <c r="C256">
        <v>0</v>
      </c>
      <c r="D256">
        <v>751085.20649999997</v>
      </c>
      <c r="E256">
        <v>0</v>
      </c>
      <c r="F256">
        <v>1171257.8030000001</v>
      </c>
      <c r="G256">
        <v>1045.107716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0</v>
      </c>
      <c r="M256" s="1">
        <f t="shared" si="15"/>
        <v>0</v>
      </c>
      <c r="N256" s="1">
        <f t="shared" si="16"/>
        <v>759893.05593249062</v>
      </c>
      <c r="O256" s="1"/>
    </row>
    <row r="257" spans="1:15" x14ac:dyDescent="0.25">
      <c r="A257">
        <v>260</v>
      </c>
      <c r="B257">
        <v>79086.844429999997</v>
      </c>
      <c r="C257">
        <v>0</v>
      </c>
      <c r="D257">
        <v>719881.79799999995</v>
      </c>
      <c r="E257">
        <v>723.46590000000003</v>
      </c>
      <c r="F257">
        <v>1139219.7320000001</v>
      </c>
      <c r="G257">
        <v>812.7839338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0</v>
      </c>
      <c r="M257" s="1">
        <f t="shared" si="15"/>
        <v>1519194.3985222627</v>
      </c>
      <c r="N257" s="1">
        <f t="shared" si="16"/>
        <v>798571.98992613226</v>
      </c>
      <c r="O257" s="1"/>
    </row>
    <row r="258" spans="1:15" x14ac:dyDescent="0.25">
      <c r="A258">
        <v>261</v>
      </c>
      <c r="B258">
        <v>61089.344449999997</v>
      </c>
      <c r="C258">
        <v>0</v>
      </c>
      <c r="D258">
        <v>658031.55169999995</v>
      </c>
      <c r="E258">
        <v>4178.3311999999996</v>
      </c>
      <c r="F258">
        <v>1058755.425</v>
      </c>
      <c r="G258">
        <v>7672.2298270000001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0</v>
      </c>
      <c r="M258" s="1">
        <f t="shared" si="15"/>
        <v>10579264.283833941</v>
      </c>
      <c r="N258" s="1">
        <f t="shared" si="16"/>
        <v>9089037.3225741237</v>
      </c>
      <c r="O258" s="1"/>
    </row>
    <row r="259" spans="1:15" x14ac:dyDescent="0.25">
      <c r="A259">
        <v>262</v>
      </c>
      <c r="B259">
        <v>94947.286030000003</v>
      </c>
      <c r="C259">
        <v>0</v>
      </c>
      <c r="D259">
        <v>720876.80610000005</v>
      </c>
      <c r="E259">
        <v>0</v>
      </c>
      <c r="F259">
        <v>1092001.7069999999</v>
      </c>
      <c r="G259">
        <v>1073.2135960000001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0</v>
      </c>
      <c r="M259" s="1">
        <f t="shared" ref="M259:M322" si="19">$U$3*$K259*E259</f>
        <v>0</v>
      </c>
      <c r="N259" s="1">
        <f t="shared" ref="N259:N322" si="20">$U$4*$K259*G259</f>
        <v>1675258.484940663</v>
      </c>
      <c r="O259" s="1"/>
    </row>
    <row r="260" spans="1:15" x14ac:dyDescent="0.25">
      <c r="A260">
        <v>263</v>
      </c>
      <c r="B260">
        <v>54043.056790000002</v>
      </c>
      <c r="C260">
        <v>0</v>
      </c>
      <c r="D260">
        <v>631301.70889999997</v>
      </c>
      <c r="E260">
        <v>3469.1549</v>
      </c>
      <c r="F260">
        <v>1005716.439</v>
      </c>
      <c r="G260">
        <v>7251.2590609999997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0</v>
      </c>
      <c r="M260" s="1">
        <f t="shared" si="19"/>
        <v>10389095.658905376</v>
      </c>
      <c r="N260" s="1">
        <f t="shared" si="20"/>
        <v>10160408.113533162</v>
      </c>
      <c r="O260" s="1"/>
    </row>
    <row r="261" spans="1:15" x14ac:dyDescent="0.25">
      <c r="A261">
        <v>264</v>
      </c>
      <c r="B261">
        <v>337505.43310000002</v>
      </c>
      <c r="C261">
        <v>0</v>
      </c>
      <c r="D261">
        <v>825189.86199999996</v>
      </c>
      <c r="E261">
        <v>6617.0880999999999</v>
      </c>
      <c r="F261">
        <v>1245265.625</v>
      </c>
      <c r="G261">
        <v>9944.8951479999996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0</v>
      </c>
      <c r="M261" s="1">
        <f t="shared" si="19"/>
        <v>16144467.23756464</v>
      </c>
      <c r="N261" s="1">
        <f t="shared" si="20"/>
        <v>11352739.897881901</v>
      </c>
      <c r="O261" s="1"/>
    </row>
    <row r="262" spans="1:15" x14ac:dyDescent="0.25">
      <c r="A262">
        <v>265</v>
      </c>
      <c r="B262">
        <v>47060.565990000003</v>
      </c>
      <c r="C262">
        <v>0</v>
      </c>
      <c r="D262">
        <v>596238.73380000005</v>
      </c>
      <c r="E262">
        <v>0</v>
      </c>
      <c r="F262">
        <v>1027556.211</v>
      </c>
      <c r="G262">
        <v>1174.3602430000001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0</v>
      </c>
      <c r="M262" s="1">
        <f t="shared" si="19"/>
        <v>0</v>
      </c>
      <c r="N262" s="1">
        <f t="shared" si="20"/>
        <v>4373884.2933991756</v>
      </c>
      <c r="O262" s="1"/>
    </row>
    <row r="263" spans="1:15" x14ac:dyDescent="0.25">
      <c r="A263">
        <v>266</v>
      </c>
      <c r="B263">
        <v>76903.596640000003</v>
      </c>
      <c r="C263">
        <v>0</v>
      </c>
      <c r="D263">
        <v>563705.15879999998</v>
      </c>
      <c r="E263">
        <v>27894.5635</v>
      </c>
      <c r="F263">
        <v>982278.18259999994</v>
      </c>
      <c r="G263">
        <v>41890.895600000003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0</v>
      </c>
      <c r="M263" s="1">
        <f t="shared" si="19"/>
        <v>244881519.45293921</v>
      </c>
      <c r="N263" s="1">
        <f t="shared" si="20"/>
        <v>172067863.00041094</v>
      </c>
      <c r="O263" s="1"/>
    </row>
    <row r="264" spans="1:15" x14ac:dyDescent="0.25">
      <c r="A264">
        <v>267</v>
      </c>
      <c r="B264">
        <v>43515.826520000002</v>
      </c>
      <c r="C264">
        <v>0</v>
      </c>
      <c r="D264">
        <v>559051.36690000002</v>
      </c>
      <c r="E264">
        <v>10154.582899999999</v>
      </c>
      <c r="F264">
        <v>921284.13379999995</v>
      </c>
      <c r="G264">
        <v>14956.09592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0</v>
      </c>
      <c r="M264" s="1">
        <f t="shared" si="19"/>
        <v>48676351.331696793</v>
      </c>
      <c r="N264" s="1">
        <f t="shared" si="20"/>
        <v>33544231.574599408</v>
      </c>
      <c r="O264" s="1"/>
    </row>
    <row r="265" spans="1:15" x14ac:dyDescent="0.25">
      <c r="A265">
        <v>268</v>
      </c>
      <c r="B265">
        <v>207485.71460000001</v>
      </c>
      <c r="C265">
        <v>0</v>
      </c>
      <c r="D265">
        <v>778677.28350000002</v>
      </c>
      <c r="E265">
        <v>830.83360000000005</v>
      </c>
      <c r="F265">
        <v>1186794.774</v>
      </c>
      <c r="G265">
        <v>1.0287E-4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0</v>
      </c>
      <c r="M265" s="1">
        <f t="shared" si="19"/>
        <v>972140.78837938001</v>
      </c>
      <c r="N265" s="1">
        <f t="shared" si="20"/>
        <v>5.6318039965241408E-2</v>
      </c>
      <c r="O265" s="1"/>
    </row>
    <row r="266" spans="1:15" x14ac:dyDescent="0.25">
      <c r="A266">
        <v>270</v>
      </c>
      <c r="B266">
        <v>371603.51650000003</v>
      </c>
      <c r="C266">
        <v>0</v>
      </c>
      <c r="D266">
        <v>892077.08120000002</v>
      </c>
      <c r="E266">
        <v>7554.3653000000004</v>
      </c>
      <c r="F266">
        <v>1317647.2760000001</v>
      </c>
      <c r="G266">
        <v>-4.4294000000000001E-4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0</v>
      </c>
      <c r="M266" s="1">
        <f t="shared" si="19"/>
        <v>10729795.752335384</v>
      </c>
      <c r="N266" s="1">
        <f t="shared" si="20"/>
        <v>-0.29436220852844319</v>
      </c>
      <c r="O266" s="1"/>
    </row>
    <row r="267" spans="1:15" x14ac:dyDescent="0.25">
      <c r="A267">
        <v>271</v>
      </c>
      <c r="B267">
        <v>386853.9118</v>
      </c>
      <c r="C267">
        <v>0</v>
      </c>
      <c r="D267">
        <v>846914.12479999999</v>
      </c>
      <c r="E267">
        <v>5107.1859999999997</v>
      </c>
      <c r="F267">
        <v>1246408.3230000001</v>
      </c>
      <c r="G267">
        <v>-4.3780000000000002E-4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0</v>
      </c>
      <c r="M267" s="1">
        <f t="shared" si="19"/>
        <v>10677907.437869737</v>
      </c>
      <c r="N267" s="1">
        <f t="shared" si="20"/>
        <v>-0.42827617215470343</v>
      </c>
      <c r="O267" s="1"/>
    </row>
    <row r="268" spans="1:15" x14ac:dyDescent="0.25">
      <c r="A268">
        <v>272</v>
      </c>
      <c r="B268">
        <v>146451.09229999999</v>
      </c>
      <c r="C268">
        <v>0</v>
      </c>
      <c r="D268">
        <v>717909.4253</v>
      </c>
      <c r="E268">
        <v>830.83360000000005</v>
      </c>
      <c r="F268">
        <v>1086133.56</v>
      </c>
      <c r="G268">
        <v>3.8634999999999999E-4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0</v>
      </c>
      <c r="M268" s="1">
        <f t="shared" si="19"/>
        <v>1280657.4380275649</v>
      </c>
      <c r="N268" s="1">
        <f t="shared" si="20"/>
        <v>0.27864003711474633</v>
      </c>
      <c r="O268" s="1"/>
    </row>
    <row r="269" spans="1:15" x14ac:dyDescent="0.25">
      <c r="A269">
        <v>273</v>
      </c>
      <c r="B269">
        <v>155405.3193</v>
      </c>
      <c r="C269">
        <v>0</v>
      </c>
      <c r="D269">
        <v>712261.5601</v>
      </c>
      <c r="E269">
        <v>830.83360000000005</v>
      </c>
      <c r="F269">
        <v>1046974.578</v>
      </c>
      <c r="G269">
        <v>2.0562999999999999E-4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0</v>
      </c>
      <c r="M269" s="1">
        <f t="shared" si="19"/>
        <v>1161195.1923560002</v>
      </c>
      <c r="N269" s="1">
        <f t="shared" si="20"/>
        <v>0.13446873864589412</v>
      </c>
      <c r="O269" s="1"/>
    </row>
    <row r="270" spans="1:15" x14ac:dyDescent="0.25">
      <c r="A270">
        <v>274</v>
      </c>
      <c r="B270">
        <v>327176.9363</v>
      </c>
      <c r="C270">
        <v>0</v>
      </c>
      <c r="D270">
        <v>836929.59219999996</v>
      </c>
      <c r="E270">
        <v>2796.3811999999998</v>
      </c>
      <c r="F270">
        <v>1235154.6880000001</v>
      </c>
      <c r="G270">
        <v>8018.8227690000003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0</v>
      </c>
      <c r="M270" s="1">
        <f t="shared" si="19"/>
        <v>4618003.4283670178</v>
      </c>
      <c r="N270" s="1">
        <f t="shared" si="20"/>
        <v>6196010.8600954814</v>
      </c>
      <c r="O270" s="1"/>
    </row>
    <row r="271" spans="1:15" x14ac:dyDescent="0.25">
      <c r="A271">
        <v>275</v>
      </c>
      <c r="B271">
        <v>241638.8063</v>
      </c>
      <c r="C271">
        <v>0</v>
      </c>
      <c r="D271">
        <v>790678.61860000005</v>
      </c>
      <c r="E271">
        <v>1179.4193</v>
      </c>
      <c r="F271">
        <v>1165050.361</v>
      </c>
      <c r="G271">
        <v>4064.6453609999999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0</v>
      </c>
      <c r="M271" s="1">
        <f t="shared" si="19"/>
        <v>1113301.1563705651</v>
      </c>
      <c r="N271" s="1">
        <f t="shared" si="20"/>
        <v>1795191.4351434573</v>
      </c>
      <c r="O271" s="1"/>
    </row>
    <row r="272" spans="1:15" x14ac:dyDescent="0.25">
      <c r="A272">
        <v>276</v>
      </c>
      <c r="B272">
        <v>89936.182539999994</v>
      </c>
      <c r="C272">
        <v>0</v>
      </c>
      <c r="D272">
        <v>666701.72470000002</v>
      </c>
      <c r="E272">
        <v>1217.6652999999999</v>
      </c>
      <c r="F272">
        <v>1019031.751</v>
      </c>
      <c r="G272">
        <v>866.52670739999996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0</v>
      </c>
      <c r="M272" s="1">
        <f t="shared" si="19"/>
        <v>2582107.7427077759</v>
      </c>
      <c r="N272" s="1">
        <f t="shared" si="20"/>
        <v>859749.75513296784</v>
      </c>
      <c r="O272" s="1"/>
    </row>
    <row r="273" spans="1:15" x14ac:dyDescent="0.25">
      <c r="A273">
        <v>277</v>
      </c>
      <c r="B273">
        <v>264170.80579999997</v>
      </c>
      <c r="C273">
        <v>0</v>
      </c>
      <c r="D273">
        <v>801619.90240000002</v>
      </c>
      <c r="E273">
        <v>2277.0753</v>
      </c>
      <c r="F273">
        <v>1179817.0549999999</v>
      </c>
      <c r="G273">
        <v>2774.884845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0</v>
      </c>
      <c r="M273" s="1">
        <f t="shared" si="19"/>
        <v>2394885.9131789617</v>
      </c>
      <c r="N273" s="1">
        <f t="shared" si="20"/>
        <v>1365513.7582362322</v>
      </c>
      <c r="O273" s="1"/>
    </row>
    <row r="274" spans="1:15" x14ac:dyDescent="0.25">
      <c r="A274">
        <v>278</v>
      </c>
      <c r="B274">
        <v>77731.703399999999</v>
      </c>
      <c r="C274">
        <v>0</v>
      </c>
      <c r="D274">
        <v>658944.20909999998</v>
      </c>
      <c r="E274">
        <v>1217.6654000000001</v>
      </c>
      <c r="F274">
        <v>1000907.385</v>
      </c>
      <c r="G274">
        <v>4430.8092459999998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0</v>
      </c>
      <c r="M274" s="1">
        <f t="shared" si="19"/>
        <v>1901687.4901654706</v>
      </c>
      <c r="N274" s="1">
        <f t="shared" si="20"/>
        <v>3237709.766678697</v>
      </c>
      <c r="O274" s="1"/>
    </row>
    <row r="275" spans="1:15" x14ac:dyDescent="0.25">
      <c r="A275">
        <v>279</v>
      </c>
      <c r="B275">
        <v>418131.7953</v>
      </c>
      <c r="C275">
        <v>0</v>
      </c>
      <c r="D275">
        <v>861999.4817</v>
      </c>
      <c r="E275">
        <v>7245.5820000000003</v>
      </c>
      <c r="F275">
        <v>1285190.3370000001</v>
      </c>
      <c r="G275">
        <v>10678.56561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0</v>
      </c>
      <c r="M275" s="1">
        <f t="shared" si="19"/>
        <v>8362073.0561904712</v>
      </c>
      <c r="N275" s="1">
        <f t="shared" si="20"/>
        <v>5766300.6204779493</v>
      </c>
      <c r="O275" s="1"/>
    </row>
    <row r="276" spans="1:15" x14ac:dyDescent="0.25">
      <c r="A276">
        <v>280</v>
      </c>
      <c r="B276">
        <v>62849.982669999998</v>
      </c>
      <c r="C276">
        <v>0</v>
      </c>
      <c r="D276">
        <v>612531.91850000003</v>
      </c>
      <c r="E276">
        <v>2967.2552999999998</v>
      </c>
      <c r="F276">
        <v>977324.74739999999</v>
      </c>
      <c r="G276">
        <v>2919.1407279999999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0</v>
      </c>
      <c r="M276" s="1">
        <f t="shared" si="19"/>
        <v>3303688.5411740639</v>
      </c>
      <c r="N276" s="1">
        <f t="shared" si="20"/>
        <v>1520697.714343369</v>
      </c>
      <c r="O276" s="1"/>
    </row>
    <row r="277" spans="1:15" x14ac:dyDescent="0.25">
      <c r="A277">
        <v>281</v>
      </c>
      <c r="B277">
        <v>140439.45259999999</v>
      </c>
      <c r="C277">
        <v>0</v>
      </c>
      <c r="D277">
        <v>732244.73439999996</v>
      </c>
      <c r="E277">
        <v>9336.4292999999998</v>
      </c>
      <c r="F277">
        <v>1079465.4569999999</v>
      </c>
      <c r="G277">
        <v>9375.4837630000002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0</v>
      </c>
      <c r="M277" s="1">
        <f t="shared" si="19"/>
        <v>10882924.904707702</v>
      </c>
      <c r="N277" s="1">
        <f t="shared" si="20"/>
        <v>5113310.7138906438</v>
      </c>
      <c r="O277" s="1"/>
    </row>
    <row r="278" spans="1:15" x14ac:dyDescent="0.25">
      <c r="A278">
        <v>282</v>
      </c>
      <c r="B278">
        <v>48231.631529999999</v>
      </c>
      <c r="C278">
        <v>0</v>
      </c>
      <c r="D278">
        <v>582344.12569999998</v>
      </c>
      <c r="E278">
        <v>8550.7898000000005</v>
      </c>
      <c r="F278">
        <v>946735.58530000004</v>
      </c>
      <c r="G278">
        <v>6562.7911569999997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0</v>
      </c>
      <c r="M278" s="1">
        <f t="shared" si="19"/>
        <v>11702067.566399541</v>
      </c>
      <c r="N278" s="1">
        <f t="shared" si="20"/>
        <v>4202315.2883239975</v>
      </c>
      <c r="O278" s="1"/>
    </row>
    <row r="279" spans="1:15" x14ac:dyDescent="0.25">
      <c r="A279">
        <v>283</v>
      </c>
      <c r="B279">
        <v>164759.89509999999</v>
      </c>
      <c r="C279">
        <v>0</v>
      </c>
      <c r="D279">
        <v>745106.84739999997</v>
      </c>
      <c r="E279">
        <v>8894.5632000000005</v>
      </c>
      <c r="F279">
        <v>1106901.713</v>
      </c>
      <c r="G279">
        <v>6756.0667659999999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0</v>
      </c>
      <c r="M279" s="1">
        <f t="shared" si="19"/>
        <v>17035829.511097722</v>
      </c>
      <c r="N279" s="1">
        <f t="shared" si="20"/>
        <v>6054471.9400385423</v>
      </c>
      <c r="O279" s="1"/>
    </row>
    <row r="280" spans="1:15" x14ac:dyDescent="0.25">
      <c r="A280">
        <v>284</v>
      </c>
      <c r="B280">
        <v>170373.04019999999</v>
      </c>
      <c r="C280">
        <v>0</v>
      </c>
      <c r="D280">
        <v>736646.95220000006</v>
      </c>
      <c r="E280">
        <v>13651.366400000001</v>
      </c>
      <c r="F280">
        <v>1091090.8419999999</v>
      </c>
      <c r="G280">
        <v>8617.252289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0</v>
      </c>
      <c r="M280" s="1">
        <f t="shared" si="19"/>
        <v>25715274.619437028</v>
      </c>
      <c r="N280" s="1">
        <f t="shared" si="20"/>
        <v>7594995.6531117996</v>
      </c>
      <c r="O280" s="1"/>
    </row>
    <row r="281" spans="1:15" x14ac:dyDescent="0.25">
      <c r="A281">
        <v>285</v>
      </c>
      <c r="B281">
        <v>106466.5851</v>
      </c>
      <c r="C281">
        <v>0</v>
      </c>
      <c r="D281">
        <v>685853.3628</v>
      </c>
      <c r="E281">
        <v>7782.1297999999997</v>
      </c>
      <c r="F281">
        <v>1056841.7309999999</v>
      </c>
      <c r="G281">
        <v>7347.1940020000002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</v>
      </c>
      <c r="M281" s="1">
        <f t="shared" si="19"/>
        <v>12420065.778423466</v>
      </c>
      <c r="N281" s="1">
        <f t="shared" si="20"/>
        <v>5486439.7128273575</v>
      </c>
      <c r="O281" s="1"/>
    </row>
    <row r="282" spans="1:15" x14ac:dyDescent="0.25">
      <c r="A282">
        <v>286</v>
      </c>
      <c r="B282">
        <v>39230.60469</v>
      </c>
      <c r="C282">
        <v>0</v>
      </c>
      <c r="D282">
        <v>522856.09220000001</v>
      </c>
      <c r="E282">
        <v>3718.9371000000001</v>
      </c>
      <c r="F282">
        <v>913939.8112</v>
      </c>
      <c r="G282">
        <v>2167.784185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0</v>
      </c>
      <c r="M282" s="1">
        <f t="shared" si="19"/>
        <v>6560931.1898384187</v>
      </c>
      <c r="N282" s="1">
        <f t="shared" si="20"/>
        <v>1789395.6271114899</v>
      </c>
      <c r="O282" s="1"/>
    </row>
    <row r="283" spans="1:15" x14ac:dyDescent="0.25">
      <c r="A283">
        <v>287</v>
      </c>
      <c r="B283">
        <v>76483.923800000004</v>
      </c>
      <c r="C283">
        <v>0</v>
      </c>
      <c r="D283">
        <v>641568.75320000004</v>
      </c>
      <c r="E283">
        <v>8948.0288</v>
      </c>
      <c r="F283">
        <v>1007924.905</v>
      </c>
      <c r="G283">
        <v>9656.3554879999992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0</v>
      </c>
      <c r="M283" s="1">
        <f t="shared" si="19"/>
        <v>20440077.620535716</v>
      </c>
      <c r="N283" s="1">
        <f t="shared" si="20"/>
        <v>10320769.791266955</v>
      </c>
      <c r="O283" s="1"/>
    </row>
    <row r="284" spans="1:15" x14ac:dyDescent="0.25">
      <c r="A284">
        <v>288</v>
      </c>
      <c r="B284">
        <v>50830.048459999998</v>
      </c>
      <c r="C284">
        <v>0</v>
      </c>
      <c r="D284">
        <v>540806.34779999999</v>
      </c>
      <c r="E284">
        <v>13098.327799999999</v>
      </c>
      <c r="F284">
        <v>921142.37150000001</v>
      </c>
      <c r="G284">
        <v>13825.807860000001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0</v>
      </c>
      <c r="M284" s="1">
        <f t="shared" si="19"/>
        <v>37065262.862153523</v>
      </c>
      <c r="N284" s="1">
        <f t="shared" si="20"/>
        <v>18305661.392590411</v>
      </c>
      <c r="O284" s="1"/>
    </row>
    <row r="285" spans="1:15" x14ac:dyDescent="0.25">
      <c r="A285">
        <v>289</v>
      </c>
      <c r="B285">
        <v>53395.360630000003</v>
      </c>
      <c r="C285">
        <v>5856.1823999999997</v>
      </c>
      <c r="D285">
        <v>512250.7009</v>
      </c>
      <c r="E285">
        <v>23684.6188</v>
      </c>
      <c r="F285">
        <v>917126.4277</v>
      </c>
      <c r="G285">
        <v>39717.546349999997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38953389.591744155</v>
      </c>
      <c r="M285" s="1">
        <f t="shared" si="19"/>
        <v>52837248.740943976</v>
      </c>
      <c r="N285" s="1">
        <f t="shared" si="20"/>
        <v>41457192.25737074</v>
      </c>
      <c r="O285" s="1"/>
    </row>
    <row r="286" spans="1:15" x14ac:dyDescent="0.25">
      <c r="A286">
        <v>290</v>
      </c>
      <c r="B286">
        <v>44091.151619999997</v>
      </c>
      <c r="C286">
        <v>0</v>
      </c>
      <c r="D286">
        <v>417972.84759999998</v>
      </c>
      <c r="E286">
        <v>75288.456099999996</v>
      </c>
      <c r="F286">
        <v>873996.92460000003</v>
      </c>
      <c r="G286">
        <v>38965.264190000002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0</v>
      </c>
      <c r="M286" s="1">
        <f t="shared" si="19"/>
        <v>253487265.40449834</v>
      </c>
      <c r="N286" s="1">
        <f t="shared" si="20"/>
        <v>61383134.009838223</v>
      </c>
      <c r="O286" s="1"/>
    </row>
    <row r="287" spans="1:15" x14ac:dyDescent="0.25">
      <c r="A287">
        <v>291</v>
      </c>
      <c r="B287">
        <v>463595.05170000001</v>
      </c>
      <c r="C287">
        <v>0</v>
      </c>
      <c r="D287">
        <v>879699.49910000002</v>
      </c>
      <c r="E287">
        <v>6347.0636999999997</v>
      </c>
      <c r="F287">
        <v>1297894.122</v>
      </c>
      <c r="G287">
        <v>10074.86025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0</v>
      </c>
      <c r="M287" s="1">
        <f t="shared" si="19"/>
        <v>4097789.9380298508</v>
      </c>
      <c r="N287" s="1">
        <f t="shared" si="20"/>
        <v>3043403.5550580835</v>
      </c>
      <c r="O287" s="1"/>
    </row>
    <row r="288" spans="1:15" x14ac:dyDescent="0.25">
      <c r="A288">
        <v>292</v>
      </c>
      <c r="B288">
        <v>281518.79869999998</v>
      </c>
      <c r="C288">
        <v>0</v>
      </c>
      <c r="D288">
        <v>812657.8774</v>
      </c>
      <c r="E288">
        <v>4242.6228000000001</v>
      </c>
      <c r="F288">
        <v>1186722.081</v>
      </c>
      <c r="G288">
        <v>9904.3158359999998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0</v>
      </c>
      <c r="M288" s="1">
        <f t="shared" si="19"/>
        <v>2957469.9864316834</v>
      </c>
      <c r="N288" s="1">
        <f t="shared" si="20"/>
        <v>3230383.5014783069</v>
      </c>
      <c r="O288" s="1"/>
    </row>
    <row r="289" spans="1:15" x14ac:dyDescent="0.25">
      <c r="A289">
        <v>300</v>
      </c>
      <c r="B289">
        <v>25263.138719999999</v>
      </c>
      <c r="C289">
        <v>0</v>
      </c>
      <c r="D289">
        <v>389028.52439999999</v>
      </c>
      <c r="E289">
        <v>0</v>
      </c>
      <c r="F289">
        <v>916684.57299999997</v>
      </c>
      <c r="G289">
        <v>830.83356790000005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0</v>
      </c>
      <c r="M289" s="1">
        <f t="shared" si="19"/>
        <v>0</v>
      </c>
      <c r="N289" s="1">
        <f t="shared" si="20"/>
        <v>1217986.6573016997</v>
      </c>
      <c r="O289" s="1"/>
    </row>
    <row r="290" spans="1:15" x14ac:dyDescent="0.25">
      <c r="A290">
        <v>301</v>
      </c>
      <c r="B290">
        <v>20851.821790000002</v>
      </c>
      <c r="C290">
        <v>0</v>
      </c>
      <c r="D290">
        <v>218796.47880000001</v>
      </c>
      <c r="E290">
        <v>0</v>
      </c>
      <c r="F290">
        <v>848887.52229999995</v>
      </c>
      <c r="G290" s="1">
        <v>4.9499999999999997E-5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0</v>
      </c>
      <c r="M290" s="1">
        <f t="shared" si="19"/>
        <v>0</v>
      </c>
      <c r="N290" s="1">
        <f t="shared" si="20"/>
        <v>9.7932632599820699E-2</v>
      </c>
      <c r="O290" s="1"/>
    </row>
    <row r="291" spans="1:15" x14ac:dyDescent="0.25">
      <c r="A291">
        <v>302</v>
      </c>
      <c r="B291">
        <v>14496.327079999999</v>
      </c>
      <c r="C291">
        <v>0</v>
      </c>
      <c r="D291">
        <v>193203.07519999999</v>
      </c>
      <c r="E291">
        <v>0</v>
      </c>
      <c r="F291">
        <v>853545.07949999999</v>
      </c>
      <c r="G291" s="1">
        <v>3.79E-5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0</v>
      </c>
      <c r="M291" s="1">
        <f t="shared" si="19"/>
        <v>0</v>
      </c>
      <c r="N291" s="1">
        <f t="shared" si="20"/>
        <v>6.9661949346066579E-2</v>
      </c>
      <c r="O291" s="1"/>
    </row>
    <row r="292" spans="1:15" x14ac:dyDescent="0.25">
      <c r="A292">
        <v>303</v>
      </c>
      <c r="B292">
        <v>16122.912539999999</v>
      </c>
      <c r="C292">
        <v>0</v>
      </c>
      <c r="D292">
        <v>451695.01520000002</v>
      </c>
      <c r="E292">
        <v>0</v>
      </c>
      <c r="F292">
        <v>925275.95120000001</v>
      </c>
      <c r="G292">
        <v>7517.3951719999995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0</v>
      </c>
      <c r="M292" s="1">
        <f t="shared" si="19"/>
        <v>0</v>
      </c>
      <c r="N292" s="1">
        <f t="shared" si="20"/>
        <v>13012332.141770659</v>
      </c>
      <c r="O292" s="1"/>
    </row>
    <row r="293" spans="1:15" x14ac:dyDescent="0.25">
      <c r="A293">
        <v>304</v>
      </c>
      <c r="B293">
        <v>21193.468570000001</v>
      </c>
      <c r="C293">
        <v>0</v>
      </c>
      <c r="D293">
        <v>510887.77759999997</v>
      </c>
      <c r="E293">
        <v>0</v>
      </c>
      <c r="F293">
        <v>986264.56869999995</v>
      </c>
      <c r="G293">
        <v>7835.1851239999996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0</v>
      </c>
      <c r="M293" s="1">
        <f t="shared" si="19"/>
        <v>0</v>
      </c>
      <c r="N293" s="1">
        <f t="shared" si="20"/>
        <v>18207304.300976206</v>
      </c>
      <c r="O293" s="1"/>
    </row>
    <row r="294" spans="1:15" x14ac:dyDescent="0.25">
      <c r="A294">
        <v>305</v>
      </c>
      <c r="B294">
        <v>73922.609479999999</v>
      </c>
      <c r="C294">
        <v>0</v>
      </c>
      <c r="D294">
        <v>706445.82</v>
      </c>
      <c r="E294">
        <v>0</v>
      </c>
      <c r="F294">
        <v>1117832.6510000001</v>
      </c>
      <c r="G294">
        <v>6381.7920569999997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</v>
      </c>
      <c r="M294" s="1">
        <f t="shared" si="19"/>
        <v>0</v>
      </c>
      <c r="N294" s="1">
        <f t="shared" si="20"/>
        <v>26184799.520262517</v>
      </c>
      <c r="O294" s="1"/>
    </row>
    <row r="295" spans="1:15" x14ac:dyDescent="0.25">
      <c r="A295">
        <v>306</v>
      </c>
      <c r="B295">
        <v>20887.552540000001</v>
      </c>
      <c r="C295">
        <v>0</v>
      </c>
      <c r="D295">
        <v>419269.65860000002</v>
      </c>
      <c r="E295">
        <v>0</v>
      </c>
      <c r="F295">
        <v>950534.92680000002</v>
      </c>
      <c r="G295">
        <v>7034.1986820000002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0</v>
      </c>
      <c r="M295" s="1">
        <f t="shared" si="19"/>
        <v>0</v>
      </c>
      <c r="N295" s="1">
        <f t="shared" si="20"/>
        <v>9568415.0057470836</v>
      </c>
      <c r="O295" s="1"/>
    </row>
    <row r="296" spans="1:15" x14ac:dyDescent="0.25">
      <c r="A296">
        <v>307</v>
      </c>
      <c r="B296">
        <v>30888.99394</v>
      </c>
      <c r="C296">
        <v>0</v>
      </c>
      <c r="D296">
        <v>664353.3186</v>
      </c>
      <c r="E296">
        <v>0</v>
      </c>
      <c r="F296">
        <v>1100476.436</v>
      </c>
      <c r="G296">
        <v>2184.3658329999998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0</v>
      </c>
      <c r="M296" s="1">
        <f t="shared" si="19"/>
        <v>0</v>
      </c>
      <c r="N296" s="1">
        <f t="shared" si="20"/>
        <v>2260609.8646023893</v>
      </c>
      <c r="O296" s="1"/>
    </row>
    <row r="297" spans="1:15" x14ac:dyDescent="0.25">
      <c r="A297">
        <v>308</v>
      </c>
      <c r="B297">
        <v>19264.17484</v>
      </c>
      <c r="C297">
        <v>0</v>
      </c>
      <c r="D297">
        <v>575756.94279999996</v>
      </c>
      <c r="E297">
        <v>0</v>
      </c>
      <c r="F297">
        <v>1033714.444</v>
      </c>
      <c r="G297">
        <v>8535.4554810000009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0</v>
      </c>
      <c r="M297" s="1">
        <f t="shared" si="19"/>
        <v>0</v>
      </c>
      <c r="N297" s="1">
        <f t="shared" si="20"/>
        <v>14454231.406523153</v>
      </c>
      <c r="O297" s="1"/>
    </row>
    <row r="298" spans="1:15" x14ac:dyDescent="0.25">
      <c r="A298">
        <v>309</v>
      </c>
      <c r="B298">
        <v>256002.701</v>
      </c>
      <c r="C298">
        <v>0</v>
      </c>
      <c r="D298">
        <v>851979.99120000005</v>
      </c>
      <c r="E298">
        <v>6687.0159000000003</v>
      </c>
      <c r="F298">
        <v>1271252.4210000001</v>
      </c>
      <c r="G298">
        <v>610.62639720000004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0</v>
      </c>
      <c r="M298" s="1">
        <f t="shared" si="19"/>
        <v>32555965.706447545</v>
      </c>
      <c r="N298" s="1">
        <f t="shared" si="20"/>
        <v>1390969.0906399309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>
        <v>0</v>
      </c>
      <c r="F299">
        <v>1113076.8759999999</v>
      </c>
      <c r="G299">
        <v>7909.0561930000003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0</v>
      </c>
      <c r="M299" s="1">
        <f t="shared" si="19"/>
        <v>0</v>
      </c>
      <c r="N299" s="1">
        <f t="shared" si="20"/>
        <v>13075382.371817403</v>
      </c>
      <c r="O299" s="1"/>
    </row>
    <row r="300" spans="1:15" x14ac:dyDescent="0.25">
      <c r="A300">
        <v>311</v>
      </c>
      <c r="B300">
        <v>7270.8804419999997</v>
      </c>
      <c r="C300">
        <v>0</v>
      </c>
      <c r="D300">
        <v>141792.0865</v>
      </c>
      <c r="E300">
        <v>0</v>
      </c>
      <c r="F300">
        <v>851640.45640000002</v>
      </c>
      <c r="G300" s="1">
        <v>3.5899999999999999E-6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0</v>
      </c>
      <c r="M300" s="1">
        <f t="shared" si="19"/>
        <v>0</v>
      </c>
      <c r="N300" s="1">
        <f t="shared" si="20"/>
        <v>1.1511203961222244E-2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>
        <v>0</v>
      </c>
      <c r="F301">
        <v>949336.66220000002</v>
      </c>
      <c r="G301">
        <v>7517.3951470000002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0</v>
      </c>
      <c r="M301" s="1">
        <f t="shared" si="19"/>
        <v>0</v>
      </c>
      <c r="N301" s="1">
        <f t="shared" si="20"/>
        <v>10463060.963842485</v>
      </c>
      <c r="O301" s="1"/>
    </row>
    <row r="302" spans="1:15" x14ac:dyDescent="0.25">
      <c r="A302">
        <v>313</v>
      </c>
      <c r="B302">
        <v>11895.200339999999</v>
      </c>
      <c r="C302">
        <v>0</v>
      </c>
      <c r="D302">
        <v>625074.67760000005</v>
      </c>
      <c r="E302">
        <v>0</v>
      </c>
      <c r="F302">
        <v>1058851.733</v>
      </c>
      <c r="G302">
        <v>9830.8061839999991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0</v>
      </c>
      <c r="M302" s="1">
        <f t="shared" si="19"/>
        <v>0</v>
      </c>
      <c r="N302" s="1">
        <f t="shared" si="20"/>
        <v>18520805.872733515</v>
      </c>
      <c r="O302" s="1"/>
    </row>
    <row r="303" spans="1:15" x14ac:dyDescent="0.25">
      <c r="A303">
        <v>314</v>
      </c>
      <c r="B303">
        <v>30385.613109999998</v>
      </c>
      <c r="C303">
        <v>0</v>
      </c>
      <c r="D303">
        <v>648322.34530000004</v>
      </c>
      <c r="E303">
        <v>0</v>
      </c>
      <c r="F303">
        <v>1093958.3840000001</v>
      </c>
      <c r="G303">
        <v>2705.1396110000001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0</v>
      </c>
      <c r="M303" s="1">
        <f t="shared" si="19"/>
        <v>0</v>
      </c>
      <c r="N303" s="1">
        <f t="shared" si="20"/>
        <v>2403566.4487971594</v>
      </c>
      <c r="O303" s="1"/>
    </row>
    <row r="304" spans="1:15" x14ac:dyDescent="0.25">
      <c r="A304">
        <v>315</v>
      </c>
      <c r="B304">
        <v>31507.619839999999</v>
      </c>
      <c r="C304">
        <v>0</v>
      </c>
      <c r="D304">
        <v>652457.196</v>
      </c>
      <c r="E304">
        <v>0</v>
      </c>
      <c r="F304">
        <v>1098388.1240000001</v>
      </c>
      <c r="G304">
        <v>2184.365691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0</v>
      </c>
      <c r="M304" s="1">
        <f t="shared" si="19"/>
        <v>0</v>
      </c>
      <c r="N304" s="1">
        <f t="shared" si="20"/>
        <v>1661864.0000334727</v>
      </c>
      <c r="O304" s="1"/>
    </row>
    <row r="305" spans="1:15" x14ac:dyDescent="0.25">
      <c r="A305">
        <v>316</v>
      </c>
      <c r="B305">
        <v>104723.31359999999</v>
      </c>
      <c r="C305">
        <v>0</v>
      </c>
      <c r="D305">
        <v>638829.32620000001</v>
      </c>
      <c r="E305">
        <v>0</v>
      </c>
      <c r="F305">
        <v>1055416.7919999999</v>
      </c>
      <c r="G305">
        <v>6378.8693929999999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</v>
      </c>
      <c r="M305" s="1">
        <f t="shared" si="19"/>
        <v>0</v>
      </c>
      <c r="N305" s="1">
        <f t="shared" si="20"/>
        <v>9704785.1369040962</v>
      </c>
      <c r="O305" s="1"/>
    </row>
    <row r="306" spans="1:15" x14ac:dyDescent="0.25">
      <c r="A306">
        <v>317</v>
      </c>
      <c r="B306">
        <v>90548.718120000005</v>
      </c>
      <c r="C306">
        <v>0</v>
      </c>
      <c r="D306">
        <v>700121.34270000004</v>
      </c>
      <c r="E306">
        <v>0</v>
      </c>
      <c r="F306">
        <v>1137407.82</v>
      </c>
      <c r="G306">
        <v>6490.0181940000002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0</v>
      </c>
      <c r="M306" s="1">
        <f t="shared" si="19"/>
        <v>0</v>
      </c>
      <c r="N306" s="1">
        <f t="shared" si="20"/>
        <v>16527352.710439662</v>
      </c>
      <c r="O306" s="1"/>
    </row>
    <row r="307" spans="1:15" x14ac:dyDescent="0.25">
      <c r="A307">
        <v>318</v>
      </c>
      <c r="B307">
        <v>47831.800190000002</v>
      </c>
      <c r="C307">
        <v>0</v>
      </c>
      <c r="D307">
        <v>651364.19660000002</v>
      </c>
      <c r="E307">
        <v>0</v>
      </c>
      <c r="F307">
        <v>1101730.4939999999</v>
      </c>
      <c r="G307">
        <v>2115.308567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0</v>
      </c>
      <c r="M307" s="1">
        <f t="shared" si="19"/>
        <v>0</v>
      </c>
      <c r="N307" s="1">
        <f t="shared" si="20"/>
        <v>2532265.6230849586</v>
      </c>
      <c r="O307" s="1"/>
    </row>
    <row r="308" spans="1:15" x14ac:dyDescent="0.25">
      <c r="A308">
        <v>319</v>
      </c>
      <c r="B308">
        <v>218715.79070000001</v>
      </c>
      <c r="C308">
        <v>0</v>
      </c>
      <c r="D308">
        <v>774388.07530000003</v>
      </c>
      <c r="E308">
        <v>0</v>
      </c>
      <c r="F308">
        <v>1217356.3589999999</v>
      </c>
      <c r="G308">
        <v>590.55812349999997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</v>
      </c>
      <c r="M308" s="1">
        <f t="shared" si="19"/>
        <v>0</v>
      </c>
      <c r="N308" s="1">
        <f t="shared" si="20"/>
        <v>1148515.0813812707</v>
      </c>
      <c r="O308" s="1"/>
    </row>
    <row r="309" spans="1:15" x14ac:dyDescent="0.25">
      <c r="A309">
        <v>320</v>
      </c>
      <c r="B309">
        <v>160509.5276</v>
      </c>
      <c r="C309">
        <v>0</v>
      </c>
      <c r="D309">
        <v>746860.34439999994</v>
      </c>
      <c r="E309">
        <v>0</v>
      </c>
      <c r="F309">
        <v>1199762.1680000001</v>
      </c>
      <c r="G309">
        <v>1235.430071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0</v>
      </c>
      <c r="M309" s="1">
        <f t="shared" si="19"/>
        <v>0</v>
      </c>
      <c r="N309" s="1">
        <f t="shared" si="20"/>
        <v>2539311.7479046304</v>
      </c>
      <c r="O309" s="1"/>
    </row>
    <row r="310" spans="1:15" x14ac:dyDescent="0.25">
      <c r="A310">
        <v>321</v>
      </c>
      <c r="B310">
        <v>65962.605330000006</v>
      </c>
      <c r="C310">
        <v>0</v>
      </c>
      <c r="D310">
        <v>678172.20019999996</v>
      </c>
      <c r="E310">
        <v>0</v>
      </c>
      <c r="F310">
        <v>1140666.629</v>
      </c>
      <c r="G310">
        <v>6490.0178900000001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0</v>
      </c>
      <c r="M310" s="1">
        <f t="shared" si="19"/>
        <v>0</v>
      </c>
      <c r="N310" s="1">
        <f t="shared" si="20"/>
        <v>17952909.881179642</v>
      </c>
      <c r="O310" s="1"/>
    </row>
    <row r="311" spans="1:15" x14ac:dyDescent="0.25">
      <c r="A311">
        <v>322</v>
      </c>
      <c r="B311">
        <v>89531.066600000006</v>
      </c>
      <c r="C311">
        <v>0</v>
      </c>
      <c r="D311">
        <v>650238.27740000002</v>
      </c>
      <c r="E311">
        <v>0</v>
      </c>
      <c r="F311">
        <v>1114853.929</v>
      </c>
      <c r="G311">
        <v>5969.2442330000003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0</v>
      </c>
      <c r="M311" s="1">
        <f t="shared" si="19"/>
        <v>0</v>
      </c>
      <c r="N311" s="1">
        <f t="shared" si="20"/>
        <v>3332515.6069445508</v>
      </c>
      <c r="O311" s="1"/>
    </row>
    <row r="312" spans="1:15" x14ac:dyDescent="0.25">
      <c r="A312">
        <v>323</v>
      </c>
      <c r="B312">
        <v>36114.407070000001</v>
      </c>
      <c r="C312">
        <v>0</v>
      </c>
      <c r="D312">
        <v>527641.57979999995</v>
      </c>
      <c r="E312">
        <v>0</v>
      </c>
      <c r="F312">
        <v>1051381.926</v>
      </c>
      <c r="G312">
        <v>830.8335591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0</v>
      </c>
      <c r="M312" s="1">
        <f t="shared" si="19"/>
        <v>0</v>
      </c>
      <c r="N312" s="1">
        <f t="shared" si="20"/>
        <v>795348.51709449315</v>
      </c>
      <c r="O312" s="1"/>
    </row>
    <row r="313" spans="1:15" x14ac:dyDescent="0.25">
      <c r="A313">
        <v>324</v>
      </c>
      <c r="B313">
        <v>35578.628069999999</v>
      </c>
      <c r="C313">
        <v>0</v>
      </c>
      <c r="D313">
        <v>545807.5821</v>
      </c>
      <c r="E313">
        <v>0</v>
      </c>
      <c r="F313">
        <v>992170.57539999997</v>
      </c>
      <c r="G313">
        <v>2679.2726830000001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0</v>
      </c>
      <c r="M313" s="1">
        <f t="shared" si="19"/>
        <v>0</v>
      </c>
      <c r="N313" s="1">
        <f t="shared" si="20"/>
        <v>2347619.3945749304</v>
      </c>
      <c r="O313" s="1"/>
    </row>
    <row r="314" spans="1:15" x14ac:dyDescent="0.25">
      <c r="A314">
        <v>325</v>
      </c>
      <c r="B314">
        <v>59216.213949999998</v>
      </c>
      <c r="C314">
        <v>0</v>
      </c>
      <c r="D314">
        <v>606327.84259999997</v>
      </c>
      <c r="E314">
        <v>0</v>
      </c>
      <c r="F314">
        <v>1060292.919</v>
      </c>
      <c r="G314">
        <v>2671.7838390000002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0</v>
      </c>
      <c r="M314" s="1">
        <f t="shared" si="19"/>
        <v>0</v>
      </c>
      <c r="N314" s="1">
        <f t="shared" si="20"/>
        <v>2306658.3337071729</v>
      </c>
      <c r="O314" s="1"/>
    </row>
    <row r="315" spans="1:15" x14ac:dyDescent="0.25">
      <c r="A315">
        <v>328</v>
      </c>
      <c r="B315">
        <v>158034.23790000001</v>
      </c>
      <c r="C315">
        <v>0</v>
      </c>
      <c r="D315">
        <v>772951.0233</v>
      </c>
      <c r="E315">
        <v>0</v>
      </c>
      <c r="F315">
        <v>1195380.6580000001</v>
      </c>
      <c r="G315">
        <v>590.55794890000004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</v>
      </c>
      <c r="M315" s="1">
        <f t="shared" si="19"/>
        <v>0</v>
      </c>
      <c r="N315" s="1">
        <f t="shared" si="20"/>
        <v>736503.15445175034</v>
      </c>
      <c r="O315" s="1"/>
    </row>
    <row r="316" spans="1:15" x14ac:dyDescent="0.25">
      <c r="A316">
        <v>329</v>
      </c>
      <c r="B316">
        <v>52240.835679999997</v>
      </c>
      <c r="C316">
        <v>0</v>
      </c>
      <c r="D316">
        <v>685231.94579999999</v>
      </c>
      <c r="E316">
        <v>0</v>
      </c>
      <c r="F316">
        <v>1095789.554</v>
      </c>
      <c r="G316">
        <v>881.20242050000002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0</v>
      </c>
      <c r="M316" s="1">
        <f t="shared" si="19"/>
        <v>0</v>
      </c>
      <c r="N316" s="1">
        <f t="shared" si="20"/>
        <v>2085541.5267078143</v>
      </c>
      <c r="O316" s="1"/>
    </row>
    <row r="317" spans="1:15" x14ac:dyDescent="0.25">
      <c r="A317">
        <v>330</v>
      </c>
      <c r="B317">
        <v>38419.666210000003</v>
      </c>
      <c r="C317">
        <v>0</v>
      </c>
      <c r="D317">
        <v>356125.40049999999</v>
      </c>
      <c r="E317">
        <v>16709.4372</v>
      </c>
      <c r="F317">
        <v>899794.30390000006</v>
      </c>
      <c r="G317">
        <v>14403.730659999999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0</v>
      </c>
      <c r="M317" s="1">
        <f t="shared" si="19"/>
        <v>84698429.998363584</v>
      </c>
      <c r="N317" s="1">
        <f t="shared" si="20"/>
        <v>34161128.393885724</v>
      </c>
      <c r="O317" s="1"/>
    </row>
    <row r="318" spans="1:15" x14ac:dyDescent="0.25">
      <c r="A318">
        <v>331</v>
      </c>
      <c r="B318">
        <v>294206.04080000002</v>
      </c>
      <c r="C318">
        <v>0</v>
      </c>
      <c r="D318">
        <v>865429.82649999997</v>
      </c>
      <c r="E318">
        <v>7864.5779000000002</v>
      </c>
      <c r="F318">
        <v>1287726.5160000001</v>
      </c>
      <c r="G318">
        <v>1179.2402870000001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0</v>
      </c>
      <c r="M318" s="1">
        <f t="shared" si="19"/>
        <v>43663630.15500471</v>
      </c>
      <c r="N318" s="1">
        <f t="shared" si="20"/>
        <v>3063306.1804133449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>
        <v>18604.492900000001</v>
      </c>
      <c r="F319">
        <v>874731.12159999995</v>
      </c>
      <c r="G319">
        <v>4927.5791520000002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0</v>
      </c>
      <c r="M319" s="1">
        <f t="shared" si="19"/>
        <v>112134479.05801384</v>
      </c>
      <c r="N319" s="1">
        <f t="shared" si="20"/>
        <v>13896282.041309332</v>
      </c>
      <c r="O319" s="1"/>
    </row>
    <row r="320" spans="1:15" x14ac:dyDescent="0.25">
      <c r="A320">
        <v>333</v>
      </c>
      <c r="B320">
        <v>63427.680910000003</v>
      </c>
      <c r="C320">
        <v>0</v>
      </c>
      <c r="D320">
        <v>758637.54110000003</v>
      </c>
      <c r="E320">
        <v>830.83360000000005</v>
      </c>
      <c r="F320">
        <v>1175916.6910000001</v>
      </c>
      <c r="G320">
        <v>2072.3963370000001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0</v>
      </c>
      <c r="M320" s="1">
        <f t="shared" si="19"/>
        <v>3758318.6259112535</v>
      </c>
      <c r="N320" s="1">
        <f t="shared" si="20"/>
        <v>4386276.84087166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>
        <v>0</v>
      </c>
      <c r="F321">
        <v>89766.008199999997</v>
      </c>
      <c r="G321" s="1">
        <v>1.3999999999999999E-6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0</v>
      </c>
      <c r="N321" s="1">
        <f t="shared" si="20"/>
        <v>8.5408608483618E-3</v>
      </c>
      <c r="O321" s="1"/>
    </row>
    <row r="322" spans="1:15" x14ac:dyDescent="0.25">
      <c r="A322">
        <v>400</v>
      </c>
      <c r="B322">
        <v>9822.4378319999996</v>
      </c>
      <c r="C322">
        <v>0</v>
      </c>
      <c r="D322">
        <v>22073.35267</v>
      </c>
      <c r="E322">
        <v>0</v>
      </c>
      <c r="F322">
        <v>102576.697</v>
      </c>
      <c r="G322" s="1">
        <v>4.8099999999999997E-5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0</v>
      </c>
      <c r="M322" s="1">
        <f t="shared" si="19"/>
        <v>0</v>
      </c>
      <c r="N322" s="1">
        <f t="shared" si="20"/>
        <v>0.34016550277730279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>
        <v>2842.4728500000001</v>
      </c>
      <c r="F323">
        <v>143050.13020000001</v>
      </c>
      <c r="G323">
        <v>22609.638169999998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0</v>
      </c>
      <c r="M323" s="1">
        <f t="shared" ref="M323:M386" si="23">$U$3*$K323*E323</f>
        <v>36346177.202964731</v>
      </c>
      <c r="N323" s="1">
        <f t="shared" ref="N323:N386" si="24">$U$4*$K323*G323</f>
        <v>135269443.96129355</v>
      </c>
      <c r="O323" s="1"/>
    </row>
    <row r="324" spans="1:15" x14ac:dyDescent="0.25">
      <c r="A324">
        <v>402</v>
      </c>
      <c r="B324">
        <v>12743.618469999999</v>
      </c>
      <c r="C324">
        <v>0</v>
      </c>
      <c r="D324">
        <v>39094.883099999999</v>
      </c>
      <c r="E324">
        <v>8306.9950200000003</v>
      </c>
      <c r="F324">
        <v>152060.34719999999</v>
      </c>
      <c r="G324">
        <v>50579.154029999998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0</v>
      </c>
      <c r="M324" s="1">
        <f t="shared" si="23"/>
        <v>72679185.297976285</v>
      </c>
      <c r="N324" s="1">
        <f t="shared" si="24"/>
        <v>207052910.49825874</v>
      </c>
      <c r="O324" s="1"/>
    </row>
    <row r="325" spans="1:15" x14ac:dyDescent="0.25">
      <c r="A325">
        <v>405</v>
      </c>
      <c r="B325">
        <v>14869.957189999999</v>
      </c>
      <c r="C325">
        <v>0</v>
      </c>
      <c r="D325">
        <v>85669.991590000005</v>
      </c>
      <c r="E325">
        <v>441.18718000000001</v>
      </c>
      <c r="F325">
        <v>567499.1507</v>
      </c>
      <c r="G325">
        <v>21000.62874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0</v>
      </c>
      <c r="M325" s="1">
        <f t="shared" si="23"/>
        <v>3151064.7247198531</v>
      </c>
      <c r="N325" s="1">
        <f t="shared" si="24"/>
        <v>70179523.502617985</v>
      </c>
      <c r="O325" s="1"/>
    </row>
    <row r="326" spans="1:15" x14ac:dyDescent="0.25">
      <c r="A326">
        <v>406</v>
      </c>
      <c r="B326">
        <v>18489.896560000001</v>
      </c>
      <c r="C326">
        <v>0</v>
      </c>
      <c r="D326">
        <v>72883.659660000005</v>
      </c>
      <c r="E326">
        <v>0</v>
      </c>
      <c r="F326">
        <v>383648.92290000001</v>
      </c>
      <c r="G326">
        <v>98314.756389999995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0</v>
      </c>
      <c r="M326" s="1">
        <f t="shared" si="23"/>
        <v>0</v>
      </c>
      <c r="N326" s="1">
        <f t="shared" si="24"/>
        <v>205576098.49591571</v>
      </c>
      <c r="O326" s="1"/>
    </row>
    <row r="327" spans="1:15" x14ac:dyDescent="0.25">
      <c r="A327">
        <v>407</v>
      </c>
      <c r="B327">
        <v>15947.499750000001</v>
      </c>
      <c r="C327">
        <v>0</v>
      </c>
      <c r="D327">
        <v>86269.520629999999</v>
      </c>
      <c r="E327">
        <v>380.26621</v>
      </c>
      <c r="F327">
        <v>578806.35049999994</v>
      </c>
      <c r="G327">
        <v>23341.18518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0</v>
      </c>
      <c r="M327" s="1">
        <f t="shared" si="23"/>
        <v>2642591.1059792079</v>
      </c>
      <c r="N327" s="1">
        <f t="shared" si="24"/>
        <v>75894239.776353046</v>
      </c>
      <c r="O327" s="1"/>
    </row>
    <row r="328" spans="1:15" x14ac:dyDescent="0.25">
      <c r="A328">
        <v>408</v>
      </c>
      <c r="B328">
        <v>30654.992839999999</v>
      </c>
      <c r="C328">
        <v>0</v>
      </c>
      <c r="D328">
        <v>129200.4078</v>
      </c>
      <c r="E328">
        <v>7815.2709000000004</v>
      </c>
      <c r="F328">
        <v>632384.22030000004</v>
      </c>
      <c r="G328">
        <v>68550.398329999996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0</v>
      </c>
      <c r="M328" s="1">
        <f t="shared" si="23"/>
        <v>146668809.04479721</v>
      </c>
      <c r="N328" s="1">
        <f t="shared" si="24"/>
        <v>601931941.6394248</v>
      </c>
      <c r="O328" s="1"/>
    </row>
    <row r="329" spans="1:15" x14ac:dyDescent="0.25">
      <c r="A329">
        <v>409</v>
      </c>
      <c r="B329">
        <v>60449.392500000002</v>
      </c>
      <c r="C329">
        <v>2967.2552999999998</v>
      </c>
      <c r="D329">
        <v>588320.59149999998</v>
      </c>
      <c r="E329">
        <v>37208.379999999997</v>
      </c>
      <c r="F329">
        <v>1004835.983</v>
      </c>
      <c r="G329">
        <v>42608.118280000002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43845819.688791975</v>
      </c>
      <c r="M329" s="1">
        <f t="shared" si="23"/>
        <v>184398412.61615521</v>
      </c>
      <c r="N329" s="1">
        <f t="shared" si="24"/>
        <v>98798977.30670099</v>
      </c>
      <c r="O329" s="1"/>
    </row>
    <row r="330" spans="1:15" x14ac:dyDescent="0.25">
      <c r="A330">
        <v>410</v>
      </c>
      <c r="B330">
        <v>109104.80620000001</v>
      </c>
      <c r="C330">
        <v>27743.706600000001</v>
      </c>
      <c r="D330">
        <v>742590.87150000001</v>
      </c>
      <c r="E330">
        <v>30902.736499999999</v>
      </c>
      <c r="F330">
        <v>1110394.05</v>
      </c>
      <c r="G330">
        <v>67704.740890000001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275678526.45765257</v>
      </c>
      <c r="M330" s="1">
        <f t="shared" si="23"/>
        <v>102986080.89090551</v>
      </c>
      <c r="N330" s="1">
        <f t="shared" si="24"/>
        <v>105570930.9351977</v>
      </c>
      <c r="O330" s="1"/>
    </row>
    <row r="331" spans="1:15" x14ac:dyDescent="0.25">
      <c r="A331">
        <v>411</v>
      </c>
      <c r="B331">
        <v>421255.3222</v>
      </c>
      <c r="C331">
        <v>48695.841</v>
      </c>
      <c r="D331">
        <v>901882.04070000001</v>
      </c>
      <c r="E331">
        <v>33647.049899999998</v>
      </c>
      <c r="F331">
        <v>1332042.9509999999</v>
      </c>
      <c r="G331">
        <v>23593.08556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472512522.89183217</v>
      </c>
      <c r="M331" s="1">
        <f t="shared" si="23"/>
        <v>109499360.16959982</v>
      </c>
      <c r="N331" s="1">
        <f t="shared" si="24"/>
        <v>35924688.417115606</v>
      </c>
      <c r="O331" s="1"/>
    </row>
    <row r="332" spans="1:15" x14ac:dyDescent="0.25">
      <c r="A332">
        <v>412</v>
      </c>
      <c r="B332">
        <v>63091.424509999997</v>
      </c>
      <c r="C332">
        <v>0</v>
      </c>
      <c r="D332">
        <v>445178.91830000002</v>
      </c>
      <c r="E332">
        <v>54195.427199999998</v>
      </c>
      <c r="F332">
        <v>903907.15209999995</v>
      </c>
      <c r="G332">
        <v>52131.997389999997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0</v>
      </c>
      <c r="M332" s="1">
        <f t="shared" si="23"/>
        <v>272304992.70417827</v>
      </c>
      <c r="N332" s="1">
        <f t="shared" si="24"/>
        <v>122557813.18663041</v>
      </c>
      <c r="O332" s="1"/>
    </row>
    <row r="333" spans="1:15" x14ac:dyDescent="0.25">
      <c r="A333">
        <v>413</v>
      </c>
      <c r="B333">
        <v>24383.035260000001</v>
      </c>
      <c r="C333">
        <v>0</v>
      </c>
      <c r="D333">
        <v>206215.35740000001</v>
      </c>
      <c r="E333">
        <v>16228.8001</v>
      </c>
      <c r="F333">
        <v>767494.17189999996</v>
      </c>
      <c r="G333">
        <v>47775.820350000002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0</v>
      </c>
      <c r="M333" s="1">
        <f t="shared" si="23"/>
        <v>67776443.623243824</v>
      </c>
      <c r="N333" s="1">
        <f t="shared" si="24"/>
        <v>93356421.691724077</v>
      </c>
      <c r="O333" s="1"/>
    </row>
    <row r="334" spans="1:15" x14ac:dyDescent="0.25">
      <c r="A334">
        <v>414</v>
      </c>
      <c r="B334">
        <v>63715.914400000001</v>
      </c>
      <c r="C334">
        <v>0</v>
      </c>
      <c r="D334">
        <v>557503.99179999996</v>
      </c>
      <c r="E334">
        <v>46128.585299999999</v>
      </c>
      <c r="F334">
        <v>949689.50730000006</v>
      </c>
      <c r="G334">
        <v>60465.445010000003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0</v>
      </c>
      <c r="M334" s="1">
        <f t="shared" si="23"/>
        <v>293214615.63865089</v>
      </c>
      <c r="N334" s="1">
        <f t="shared" si="24"/>
        <v>179831766.54556194</v>
      </c>
      <c r="O334" s="1"/>
    </row>
    <row r="335" spans="1:15" x14ac:dyDescent="0.25">
      <c r="A335">
        <v>415</v>
      </c>
      <c r="B335">
        <v>18086.19138</v>
      </c>
      <c r="C335">
        <v>0</v>
      </c>
      <c r="D335">
        <v>154224.30239999999</v>
      </c>
      <c r="E335">
        <v>29759.596099999999</v>
      </c>
      <c r="F335">
        <v>714032.27049999998</v>
      </c>
      <c r="G335">
        <v>71676.190889999998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0</v>
      </c>
      <c r="M335" s="1">
        <f t="shared" si="23"/>
        <v>106206557.33605562</v>
      </c>
      <c r="N335" s="1">
        <f t="shared" si="24"/>
        <v>119685873.69580175</v>
      </c>
      <c r="O335" s="1"/>
    </row>
    <row r="336" spans="1:15" x14ac:dyDescent="0.25">
      <c r="A336">
        <v>416</v>
      </c>
      <c r="B336">
        <v>37056.131050000004</v>
      </c>
      <c r="C336">
        <v>0</v>
      </c>
      <c r="D336">
        <v>178038.61970000001</v>
      </c>
      <c r="E336">
        <v>11748.080400000001</v>
      </c>
      <c r="F336">
        <v>757062.46869999997</v>
      </c>
      <c r="G336">
        <v>50818.533530000001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0</v>
      </c>
      <c r="M336" s="1">
        <f t="shared" si="23"/>
        <v>59700147.148364097</v>
      </c>
      <c r="N336" s="1">
        <f t="shared" si="24"/>
        <v>120829867.1999096</v>
      </c>
      <c r="O336" s="1"/>
    </row>
    <row r="337" spans="1:15" x14ac:dyDescent="0.25">
      <c r="A337">
        <v>417</v>
      </c>
      <c r="B337">
        <v>10342.41337</v>
      </c>
      <c r="C337">
        <v>0</v>
      </c>
      <c r="D337">
        <v>131403.2599</v>
      </c>
      <c r="E337">
        <v>4735.2529999999997</v>
      </c>
      <c r="F337">
        <v>662995.1605</v>
      </c>
      <c r="G337">
        <v>43009.86565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0</v>
      </c>
      <c r="M337" s="1">
        <f t="shared" si="23"/>
        <v>138091538.86220104</v>
      </c>
      <c r="N337" s="1">
        <f t="shared" si="24"/>
        <v>586861535.40694261</v>
      </c>
      <c r="O337" s="1"/>
    </row>
    <row r="338" spans="1:15" x14ac:dyDescent="0.25">
      <c r="A338">
        <v>418</v>
      </c>
      <c r="B338">
        <v>89858.504159999997</v>
      </c>
      <c r="C338">
        <v>5439.7609899999998</v>
      </c>
      <c r="D338">
        <v>666642.77650000004</v>
      </c>
      <c r="E338">
        <v>41938.428599999999</v>
      </c>
      <c r="F338">
        <v>1058916.5</v>
      </c>
      <c r="G338">
        <v>44378.044009999998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35292038.19547575</v>
      </c>
      <c r="M338" s="1">
        <f t="shared" si="23"/>
        <v>91254063.61594753</v>
      </c>
      <c r="N338" s="1">
        <f t="shared" si="24"/>
        <v>45180589.584527999</v>
      </c>
      <c r="O338" s="1"/>
    </row>
    <row r="339" spans="1:15" x14ac:dyDescent="0.25">
      <c r="A339">
        <v>420</v>
      </c>
      <c r="B339">
        <v>44315.055289999997</v>
      </c>
      <c r="C339">
        <v>10901.644850000001</v>
      </c>
      <c r="D339">
        <v>474478.38459999999</v>
      </c>
      <c r="E339">
        <v>107039.5857</v>
      </c>
      <c r="F339">
        <v>844819.72320000001</v>
      </c>
      <c r="G339">
        <v>114950.6615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172573548.19128433</v>
      </c>
      <c r="M339" s="1">
        <f t="shared" si="23"/>
        <v>568289661.50227594</v>
      </c>
      <c r="N339" s="1">
        <f t="shared" si="24"/>
        <v>285548898.22506666</v>
      </c>
      <c r="O339" s="1"/>
    </row>
    <row r="340" spans="1:15" x14ac:dyDescent="0.25">
      <c r="A340">
        <v>421</v>
      </c>
      <c r="B340">
        <v>14957.6157</v>
      </c>
      <c r="C340">
        <v>0</v>
      </c>
      <c r="D340">
        <v>91518.671340000001</v>
      </c>
      <c r="E340">
        <v>2062.6908600000002</v>
      </c>
      <c r="F340">
        <v>585551.13190000004</v>
      </c>
      <c r="G340">
        <v>100150.4952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0</v>
      </c>
      <c r="M340" s="1">
        <f t="shared" si="23"/>
        <v>21134144.866725743</v>
      </c>
      <c r="N340" s="1">
        <f t="shared" si="24"/>
        <v>480117255.67319715</v>
      </c>
      <c r="O340" s="1"/>
    </row>
    <row r="341" spans="1:15" x14ac:dyDescent="0.25">
      <c r="A341">
        <v>422</v>
      </c>
      <c r="B341">
        <v>15834.492550000001</v>
      </c>
      <c r="C341">
        <v>0</v>
      </c>
      <c r="D341">
        <v>103114.2077</v>
      </c>
      <c r="E341">
        <v>7708.4787999999999</v>
      </c>
      <c r="F341">
        <v>549963.11750000005</v>
      </c>
      <c r="G341">
        <v>103004.49800000001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0</v>
      </c>
      <c r="M341" s="1">
        <f t="shared" si="23"/>
        <v>50809025.914034575</v>
      </c>
      <c r="N341" s="1">
        <f t="shared" si="24"/>
        <v>317666965.61007589</v>
      </c>
      <c r="O341" s="1"/>
    </row>
    <row r="342" spans="1:15" x14ac:dyDescent="0.25">
      <c r="A342">
        <v>423</v>
      </c>
      <c r="B342">
        <v>13591.739740000001</v>
      </c>
      <c r="C342">
        <v>0</v>
      </c>
      <c r="D342">
        <v>85964.703349999996</v>
      </c>
      <c r="E342">
        <v>6406.69002</v>
      </c>
      <c r="F342">
        <v>563220.57660000003</v>
      </c>
      <c r="G342">
        <v>122248.4452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0</v>
      </c>
      <c r="M342" s="1">
        <f t="shared" si="23"/>
        <v>7831814.6330057643</v>
      </c>
      <c r="N342" s="1">
        <f t="shared" si="24"/>
        <v>69922300.842216119</v>
      </c>
      <c r="O342" s="1"/>
    </row>
    <row r="343" spans="1:15" x14ac:dyDescent="0.25">
      <c r="A343">
        <v>424</v>
      </c>
      <c r="B343">
        <v>14954.6988</v>
      </c>
      <c r="C343">
        <v>0</v>
      </c>
      <c r="D343">
        <v>78252.284390000001</v>
      </c>
      <c r="E343">
        <v>6083.2193600000001</v>
      </c>
      <c r="F343">
        <v>522965.44500000001</v>
      </c>
      <c r="G343">
        <v>122443.5362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0</v>
      </c>
      <c r="M343" s="1">
        <f t="shared" si="23"/>
        <v>33949589.146223456</v>
      </c>
      <c r="N343" s="1">
        <f t="shared" si="24"/>
        <v>319727938.37525302</v>
      </c>
      <c r="O343" s="1"/>
    </row>
    <row r="344" spans="1:15" x14ac:dyDescent="0.25">
      <c r="A344">
        <v>425</v>
      </c>
      <c r="B344">
        <v>14279.8513</v>
      </c>
      <c r="C344">
        <v>15776.268309999999</v>
      </c>
      <c r="D344">
        <v>63420.363669999999</v>
      </c>
      <c r="E344">
        <v>291656.10350000003</v>
      </c>
      <c r="F344">
        <v>432077.54300000001</v>
      </c>
      <c r="G344">
        <v>404631.88669999997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138223400.83341745</v>
      </c>
      <c r="M344" s="1">
        <f t="shared" si="23"/>
        <v>857021064.82603371</v>
      </c>
      <c r="N344" s="1">
        <f t="shared" si="24"/>
        <v>556319405.76956165</v>
      </c>
      <c r="O344" s="1"/>
    </row>
    <row r="345" spans="1:15" x14ac:dyDescent="0.25">
      <c r="A345">
        <v>426</v>
      </c>
      <c r="B345">
        <v>15190.869699999999</v>
      </c>
      <c r="C345">
        <v>0</v>
      </c>
      <c r="D345">
        <v>108573.0958</v>
      </c>
      <c r="E345">
        <v>69784.828099999999</v>
      </c>
      <c r="F345">
        <v>626506.73400000005</v>
      </c>
      <c r="G345">
        <v>127869.8702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0</v>
      </c>
      <c r="M345" s="1">
        <f t="shared" si="23"/>
        <v>143023200.68551263</v>
      </c>
      <c r="N345" s="1">
        <f t="shared" si="24"/>
        <v>122618890.52310884</v>
      </c>
      <c r="O345" s="1"/>
    </row>
    <row r="346" spans="1:15" x14ac:dyDescent="0.25">
      <c r="A346">
        <v>428</v>
      </c>
      <c r="B346">
        <v>9693.8143080000009</v>
      </c>
      <c r="C346">
        <v>0</v>
      </c>
      <c r="D346">
        <v>35035.338309999999</v>
      </c>
      <c r="E346">
        <v>88412.072190000006</v>
      </c>
      <c r="F346">
        <v>118137.9721</v>
      </c>
      <c r="G346">
        <v>601150.63230000006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0</v>
      </c>
      <c r="M346" s="1">
        <f t="shared" si="23"/>
        <v>334748336.92985189</v>
      </c>
      <c r="N346" s="1">
        <f t="shared" si="24"/>
        <v>1064961345.9911059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>
        <v>10713.52851</v>
      </c>
      <c r="F347">
        <v>108000.21799999999</v>
      </c>
      <c r="G347">
        <v>124628.16280000001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0</v>
      </c>
      <c r="M347" s="1">
        <f t="shared" si="23"/>
        <v>148666049.60717615</v>
      </c>
      <c r="N347" s="1">
        <f t="shared" si="24"/>
        <v>809168826.03499508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>
        <v>0</v>
      </c>
      <c r="F348">
        <v>39602.283539999997</v>
      </c>
      <c r="G348">
        <v>8407.3792730000005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0</v>
      </c>
      <c r="N348" s="1">
        <f t="shared" si="24"/>
        <v>50548279.890352316</v>
      </c>
      <c r="O348" s="1"/>
    </row>
    <row r="349" spans="1:15" x14ac:dyDescent="0.25">
      <c r="A349">
        <v>433</v>
      </c>
      <c r="B349">
        <v>109995.30220000001</v>
      </c>
      <c r="C349">
        <v>3718.9371999999998</v>
      </c>
      <c r="D349">
        <v>742311.3885</v>
      </c>
      <c r="E349">
        <v>9858.0722999999998</v>
      </c>
      <c r="F349">
        <v>1153027.202</v>
      </c>
      <c r="G349">
        <v>11020.73473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398991746.45212322</v>
      </c>
      <c r="M349" s="1">
        <f t="shared" si="23"/>
        <v>354715530.19583923</v>
      </c>
      <c r="N349" s="1">
        <f t="shared" si="24"/>
        <v>185542084.48628959</v>
      </c>
      <c r="O349" s="1"/>
    </row>
    <row r="350" spans="1:15" x14ac:dyDescent="0.25">
      <c r="A350">
        <v>434</v>
      </c>
      <c r="B350">
        <v>22853.95664</v>
      </c>
      <c r="C350">
        <v>0</v>
      </c>
      <c r="D350">
        <v>484806.43640000001</v>
      </c>
      <c r="E350">
        <v>7263.8014999999996</v>
      </c>
      <c r="F350">
        <v>959593.20319999999</v>
      </c>
      <c r="G350">
        <v>6899.4485709999999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0</v>
      </c>
      <c r="M350" s="1">
        <f t="shared" si="23"/>
        <v>175606142.54280779</v>
      </c>
      <c r="N350" s="1">
        <f t="shared" si="24"/>
        <v>78042971.22830531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>
        <v>0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0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>
        <v>6707.0998099999997</v>
      </c>
      <c r="D352">
        <v>542329.84180000005</v>
      </c>
      <c r="E352">
        <v>72098.032999999996</v>
      </c>
      <c r="F352">
        <v>889524.22100000002</v>
      </c>
      <c r="G352">
        <v>62719.012929999997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30152621.224774271</v>
      </c>
      <c r="M352" s="1">
        <f t="shared" si="23"/>
        <v>108706836.19703905</v>
      </c>
      <c r="N352" s="1">
        <f t="shared" si="24"/>
        <v>44246236.145244755</v>
      </c>
      <c r="O352" s="1"/>
    </row>
    <row r="353" spans="1:15" x14ac:dyDescent="0.25">
      <c r="A353">
        <v>501</v>
      </c>
      <c r="B353">
        <v>30413.220290000001</v>
      </c>
      <c r="C353">
        <v>0</v>
      </c>
      <c r="D353">
        <v>443977.61609999998</v>
      </c>
      <c r="E353">
        <v>30332.9476</v>
      </c>
      <c r="F353">
        <v>802580.66070000001</v>
      </c>
      <c r="G353">
        <v>79048.002729999993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0</v>
      </c>
      <c r="M353" s="1">
        <f t="shared" si="23"/>
        <v>95037955.569500938</v>
      </c>
      <c r="N353" s="1">
        <f t="shared" si="24"/>
        <v>115882284.92786539</v>
      </c>
      <c r="O353" s="1"/>
    </row>
    <row r="354" spans="1:15" x14ac:dyDescent="0.25">
      <c r="A354">
        <v>502</v>
      </c>
      <c r="B354">
        <v>36334.551469999999</v>
      </c>
      <c r="C354">
        <v>5856.1824100000003</v>
      </c>
      <c r="D354">
        <v>503379.44270000001</v>
      </c>
      <c r="E354">
        <v>52982.0942</v>
      </c>
      <c r="F354">
        <v>824355.30610000005</v>
      </c>
      <c r="G354">
        <v>75748.669169999994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55006246.631477185</v>
      </c>
      <c r="M354" s="1">
        <f t="shared" si="23"/>
        <v>166905125.39355659</v>
      </c>
      <c r="N354" s="1">
        <f t="shared" si="24"/>
        <v>111650131.31267531</v>
      </c>
      <c r="O354" s="1"/>
    </row>
    <row r="355" spans="1:15" x14ac:dyDescent="0.25">
      <c r="A355">
        <v>503</v>
      </c>
      <c r="B355">
        <v>26050.398499999999</v>
      </c>
      <c r="C355">
        <v>0</v>
      </c>
      <c r="D355">
        <v>309658.23700000002</v>
      </c>
      <c r="E355">
        <v>17076.4336</v>
      </c>
      <c r="F355">
        <v>691648.99060000002</v>
      </c>
      <c r="G355">
        <v>90943.977180000002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0</v>
      </c>
      <c r="M355" s="1">
        <f t="shared" si="23"/>
        <v>76381077.822774827</v>
      </c>
      <c r="N355" s="1">
        <f t="shared" si="24"/>
        <v>190329553.94872552</v>
      </c>
      <c r="O355" s="1"/>
    </row>
    <row r="356" spans="1:15" x14ac:dyDescent="0.25">
      <c r="A356">
        <v>504</v>
      </c>
      <c r="B356">
        <v>25701.549470000002</v>
      </c>
      <c r="C356">
        <v>5856.1824100000003</v>
      </c>
      <c r="D356">
        <v>300424.92950000003</v>
      </c>
      <c r="E356">
        <v>133957.19880000001</v>
      </c>
      <c r="F356">
        <v>704952.58929999999</v>
      </c>
      <c r="G356">
        <v>147528.90969999999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120044817.85484707</v>
      </c>
      <c r="M356" s="1">
        <f t="shared" si="23"/>
        <v>920954163.32801318</v>
      </c>
      <c r="N356" s="1">
        <f t="shared" si="24"/>
        <v>474561791.81954068</v>
      </c>
      <c r="O356" s="1"/>
    </row>
    <row r="357" spans="1:15" x14ac:dyDescent="0.25">
      <c r="A357">
        <v>505</v>
      </c>
      <c r="B357">
        <v>31763.556059999999</v>
      </c>
      <c r="C357">
        <v>4439.5522499999997</v>
      </c>
      <c r="D357">
        <v>331986.72769999999</v>
      </c>
      <c r="E357">
        <v>216926.9129</v>
      </c>
      <c r="F357">
        <v>723507.41489999997</v>
      </c>
      <c r="G357">
        <v>186776.74350000001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106220577.25040913</v>
      </c>
      <c r="M357" s="1">
        <f t="shared" si="23"/>
        <v>1740708533.508744</v>
      </c>
      <c r="N357" s="1">
        <f t="shared" si="24"/>
        <v>701260052.37272894</v>
      </c>
      <c r="O357" s="1"/>
    </row>
    <row r="358" spans="1:15" x14ac:dyDescent="0.25">
      <c r="A358">
        <v>508</v>
      </c>
      <c r="B358">
        <v>18431.461050000002</v>
      </c>
      <c r="C358">
        <v>0</v>
      </c>
      <c r="D358">
        <v>176196.9308</v>
      </c>
      <c r="E358">
        <v>3852.4787000000001</v>
      </c>
      <c r="F358">
        <v>631804.61739999999</v>
      </c>
      <c r="G358">
        <v>76569.100160000002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0</v>
      </c>
      <c r="M358" s="1">
        <f t="shared" si="23"/>
        <v>19931881.07944591</v>
      </c>
      <c r="N358" s="1">
        <f t="shared" si="24"/>
        <v>185355408.38098955</v>
      </c>
      <c r="O358" s="1"/>
    </row>
    <row r="359" spans="1:15" x14ac:dyDescent="0.25">
      <c r="A359">
        <v>509</v>
      </c>
      <c r="B359">
        <v>18845.249370000001</v>
      </c>
      <c r="C359">
        <v>0</v>
      </c>
      <c r="D359">
        <v>93961.703670000003</v>
      </c>
      <c r="E359">
        <v>8698.6552300000003</v>
      </c>
      <c r="F359">
        <v>586817.66379999998</v>
      </c>
      <c r="G359">
        <v>70550.742280000006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0</v>
      </c>
      <c r="M359" s="1">
        <f t="shared" si="23"/>
        <v>42381919.45929677</v>
      </c>
      <c r="N359" s="1">
        <f t="shared" si="24"/>
        <v>160832483.9677048</v>
      </c>
      <c r="O359" s="1"/>
    </row>
    <row r="360" spans="1:15" x14ac:dyDescent="0.25">
      <c r="A360">
        <v>510</v>
      </c>
      <c r="B360">
        <v>18570.2611</v>
      </c>
      <c r="C360">
        <v>0</v>
      </c>
      <c r="D360">
        <v>92394.706980000003</v>
      </c>
      <c r="E360">
        <v>8698.6552200000006</v>
      </c>
      <c r="F360">
        <v>588645.64549999998</v>
      </c>
      <c r="G360">
        <v>70795.098429999998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0</v>
      </c>
      <c r="M360" s="1">
        <f t="shared" si="23"/>
        <v>42652803.136614159</v>
      </c>
      <c r="N360" s="1">
        <f t="shared" si="24"/>
        <v>162421055.63532335</v>
      </c>
      <c r="O360" s="1"/>
    </row>
    <row r="361" spans="1:15" x14ac:dyDescent="0.25">
      <c r="A361">
        <v>511</v>
      </c>
      <c r="B361">
        <v>27598.16689</v>
      </c>
      <c r="C361">
        <v>830.83358999999996</v>
      </c>
      <c r="D361">
        <v>431173.48460000003</v>
      </c>
      <c r="E361">
        <v>25218.439900000001</v>
      </c>
      <c r="F361">
        <v>788134.65850000002</v>
      </c>
      <c r="G361">
        <v>82301.967709999997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9967938.6951398719</v>
      </c>
      <c r="M361" s="1">
        <f t="shared" si="23"/>
        <v>101473505.7824714</v>
      </c>
      <c r="N361" s="1">
        <f t="shared" si="24"/>
        <v>154948845.82772133</v>
      </c>
      <c r="O361" s="1"/>
    </row>
    <row r="362" spans="1:15" x14ac:dyDescent="0.25">
      <c r="A362">
        <v>512</v>
      </c>
      <c r="B362">
        <v>24975.755130000001</v>
      </c>
      <c r="C362">
        <v>0</v>
      </c>
      <c r="D362">
        <v>316544.6471</v>
      </c>
      <c r="E362">
        <v>17727.988600000001</v>
      </c>
      <c r="F362">
        <v>706326.17009999999</v>
      </c>
      <c r="G362">
        <v>96390.215150000004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0</v>
      </c>
      <c r="M362" s="1">
        <f t="shared" si="23"/>
        <v>30695170.070136324</v>
      </c>
      <c r="N362" s="1">
        <f t="shared" si="24"/>
        <v>78088522.917273313</v>
      </c>
      <c r="O362" s="1"/>
    </row>
    <row r="363" spans="1:15" x14ac:dyDescent="0.25">
      <c r="A363">
        <v>513</v>
      </c>
      <c r="B363">
        <v>22105.32417</v>
      </c>
      <c r="C363">
        <v>0</v>
      </c>
      <c r="D363">
        <v>172899.4762</v>
      </c>
      <c r="E363">
        <v>3852.4787000000001</v>
      </c>
      <c r="F363">
        <v>629597.8885</v>
      </c>
      <c r="G363">
        <v>77182.270749999996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0</v>
      </c>
      <c r="M363" s="1">
        <f t="shared" si="23"/>
        <v>16033497.744396994</v>
      </c>
      <c r="N363" s="1">
        <f t="shared" si="24"/>
        <v>150296635.4661974</v>
      </c>
      <c r="O363" s="1"/>
    </row>
    <row r="364" spans="1:15" x14ac:dyDescent="0.25">
      <c r="A364">
        <v>514</v>
      </c>
      <c r="B364">
        <v>23988.756819999999</v>
      </c>
      <c r="C364">
        <v>0</v>
      </c>
      <c r="D364">
        <v>281840.24690000003</v>
      </c>
      <c r="E364">
        <v>10764.2</v>
      </c>
      <c r="F364">
        <v>673586.57330000005</v>
      </c>
      <c r="G364">
        <v>91088.455409999995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0</v>
      </c>
      <c r="M364" s="1">
        <f t="shared" si="23"/>
        <v>20506203.006575271</v>
      </c>
      <c r="N364" s="1">
        <f t="shared" si="24"/>
        <v>81191489.720542237</v>
      </c>
      <c r="O364" s="1"/>
    </row>
    <row r="365" spans="1:15" x14ac:dyDescent="0.25">
      <c r="A365">
        <v>517</v>
      </c>
      <c r="B365">
        <v>505109.76089999999</v>
      </c>
      <c r="C365">
        <v>64270.875</v>
      </c>
      <c r="D365">
        <v>844767.02650000004</v>
      </c>
      <c r="E365">
        <v>75742.175900000002</v>
      </c>
      <c r="F365">
        <v>1242305.476</v>
      </c>
      <c r="G365">
        <v>48313.1993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148160756.52375102</v>
      </c>
      <c r="M365" s="1">
        <f t="shared" si="23"/>
        <v>58559840.959127761</v>
      </c>
      <c r="N365" s="1">
        <f t="shared" si="24"/>
        <v>17477189.165958021</v>
      </c>
      <c r="O365" s="1"/>
    </row>
    <row r="366" spans="1:15" x14ac:dyDescent="0.25">
      <c r="A366">
        <v>518</v>
      </c>
      <c r="B366">
        <v>305243.80800000002</v>
      </c>
      <c r="C366">
        <v>17464.670699999999</v>
      </c>
      <c r="D366">
        <v>713471.58929999999</v>
      </c>
      <c r="E366">
        <v>97660.183999999994</v>
      </c>
      <c r="F366">
        <v>1087121.534</v>
      </c>
      <c r="G366">
        <v>45239.533990000004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74734581.965895951</v>
      </c>
      <c r="M366" s="1">
        <f t="shared" si="23"/>
        <v>140159288.25144747</v>
      </c>
      <c r="N366" s="1">
        <f t="shared" si="24"/>
        <v>30378487.418172412</v>
      </c>
      <c r="O366" s="1"/>
    </row>
    <row r="367" spans="1:15" x14ac:dyDescent="0.25">
      <c r="A367">
        <v>519</v>
      </c>
      <c r="B367">
        <v>168017.5343</v>
      </c>
      <c r="C367">
        <v>3852.4787999999999</v>
      </c>
      <c r="D367">
        <v>633013.34120000002</v>
      </c>
      <c r="E367">
        <v>71711.614199999996</v>
      </c>
      <c r="F367">
        <v>984017.64969999995</v>
      </c>
      <c r="G367">
        <v>42389.105580000003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22308886.893131923</v>
      </c>
      <c r="M367" s="1">
        <f t="shared" si="23"/>
        <v>139274073.95441225</v>
      </c>
      <c r="N367" s="1">
        <f t="shared" si="24"/>
        <v>38519328.910756305</v>
      </c>
      <c r="O367" s="1"/>
    </row>
    <row r="368" spans="1:15" x14ac:dyDescent="0.25">
      <c r="A368">
        <v>520</v>
      </c>
      <c r="B368">
        <v>215741.15539999999</v>
      </c>
      <c r="C368">
        <v>12746.7829</v>
      </c>
      <c r="D368">
        <v>667620.09450000001</v>
      </c>
      <c r="E368">
        <v>77742.524399999995</v>
      </c>
      <c r="F368">
        <v>1033573.341</v>
      </c>
      <c r="G368">
        <v>46877.618410000003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111910908.83419757</v>
      </c>
      <c r="M368" s="1">
        <f t="shared" si="23"/>
        <v>228914661.49118045</v>
      </c>
      <c r="N368" s="1">
        <f t="shared" si="24"/>
        <v>64583888.280255087</v>
      </c>
      <c r="O368" s="1"/>
    </row>
    <row r="369" spans="1:15" x14ac:dyDescent="0.25">
      <c r="A369">
        <v>521</v>
      </c>
      <c r="B369">
        <v>110364.02650000001</v>
      </c>
      <c r="C369">
        <v>44370.575499999999</v>
      </c>
      <c r="D369">
        <v>603252.91819999996</v>
      </c>
      <c r="E369">
        <v>128559.99739999999</v>
      </c>
      <c r="F369">
        <v>958816.42550000001</v>
      </c>
      <c r="G369">
        <v>72297.009479999993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449606672.61103553</v>
      </c>
      <c r="M369" s="1">
        <f t="shared" si="23"/>
        <v>436904661.33327925</v>
      </c>
      <c r="N369" s="1">
        <f t="shared" si="24"/>
        <v>114959491.66884574</v>
      </c>
      <c r="O369" s="1"/>
    </row>
    <row r="370" spans="1:15" x14ac:dyDescent="0.25">
      <c r="A370">
        <v>522</v>
      </c>
      <c r="B370">
        <v>47779.049429999999</v>
      </c>
      <c r="C370">
        <v>279884.46370000002</v>
      </c>
      <c r="D370">
        <v>529601.34730000002</v>
      </c>
      <c r="E370">
        <v>283805.00459999999</v>
      </c>
      <c r="F370">
        <v>844952.8101</v>
      </c>
      <c r="G370">
        <v>321212.85920000001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2538697302.1182904</v>
      </c>
      <c r="M370" s="1">
        <f t="shared" si="23"/>
        <v>863366744.62489688</v>
      </c>
      <c r="N370" s="1">
        <f t="shared" si="24"/>
        <v>457205944.32874972</v>
      </c>
      <c r="O370" s="1"/>
    </row>
    <row r="371" spans="1:15" x14ac:dyDescent="0.25">
      <c r="A371">
        <v>523</v>
      </c>
      <c r="B371">
        <v>56643.795940000004</v>
      </c>
      <c r="C371">
        <v>92625.371660000004</v>
      </c>
      <c r="D371">
        <v>552725.96959999995</v>
      </c>
      <c r="E371">
        <v>175292.45540000001</v>
      </c>
      <c r="F371">
        <v>906475.28469999996</v>
      </c>
      <c r="G371">
        <v>121255.93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2566875687.4435248</v>
      </c>
      <c r="M371" s="1">
        <f t="shared" si="23"/>
        <v>1629225632.8913062</v>
      </c>
      <c r="N371" s="1">
        <f t="shared" si="24"/>
        <v>527308382.07419443</v>
      </c>
      <c r="O371" s="1"/>
    </row>
    <row r="372" spans="1:15" x14ac:dyDescent="0.25">
      <c r="A372">
        <v>524</v>
      </c>
      <c r="B372">
        <v>34616.190430000002</v>
      </c>
      <c r="C372">
        <v>45487.332820000003</v>
      </c>
      <c r="D372">
        <v>361121.76559999998</v>
      </c>
      <c r="E372">
        <v>310536.76699999999</v>
      </c>
      <c r="F372">
        <v>739122.36349999998</v>
      </c>
      <c r="G372">
        <v>257485.60149999999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458446258.14316761</v>
      </c>
      <c r="M372" s="1">
        <f t="shared" si="23"/>
        <v>1049673236.4679528</v>
      </c>
      <c r="N372" s="1">
        <f t="shared" si="24"/>
        <v>407228086.3859666</v>
      </c>
      <c r="O372" s="1"/>
    </row>
    <row r="373" spans="1:15" x14ac:dyDescent="0.25">
      <c r="A373">
        <v>525</v>
      </c>
      <c r="B373">
        <v>396580.56969999999</v>
      </c>
      <c r="C373">
        <v>19009.170600000001</v>
      </c>
      <c r="D373">
        <v>766297.9094</v>
      </c>
      <c r="E373">
        <v>80545.801000000007</v>
      </c>
      <c r="F373">
        <v>1160834.8370000001</v>
      </c>
      <c r="G373">
        <v>56852.265630000002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70689551.884020969</v>
      </c>
      <c r="M373" s="1">
        <f t="shared" si="23"/>
        <v>100456513.68072897</v>
      </c>
      <c r="N373" s="1">
        <f t="shared" si="24"/>
        <v>33176200.872513022</v>
      </c>
      <c r="O373" s="1"/>
    </row>
    <row r="374" spans="1:15" x14ac:dyDescent="0.25">
      <c r="A374">
        <v>527</v>
      </c>
      <c r="B374">
        <v>16785.715209999998</v>
      </c>
      <c r="C374">
        <v>0</v>
      </c>
      <c r="D374">
        <v>291962.02480000001</v>
      </c>
      <c r="E374">
        <v>2842.4728</v>
      </c>
      <c r="F374">
        <v>755623.93110000005</v>
      </c>
      <c r="G374">
        <v>24271.601429999999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</v>
      </c>
      <c r="M374" s="1">
        <f t="shared" si="23"/>
        <v>61193441.292691708</v>
      </c>
      <c r="N374" s="1">
        <f t="shared" si="24"/>
        <v>244484127.7885446</v>
      </c>
      <c r="O374" s="1"/>
    </row>
    <row r="375" spans="1:15" x14ac:dyDescent="0.25">
      <c r="A375">
        <v>530</v>
      </c>
      <c r="B375">
        <v>14753.635469999999</v>
      </c>
      <c r="C375">
        <v>0</v>
      </c>
      <c r="D375">
        <v>485692.22110000002</v>
      </c>
      <c r="E375">
        <v>11231.9799</v>
      </c>
      <c r="F375">
        <v>832003.87340000004</v>
      </c>
      <c r="G375">
        <v>42925.316270000003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0</v>
      </c>
      <c r="M375" s="1">
        <f t="shared" si="23"/>
        <v>29505866.136941634</v>
      </c>
      <c r="N375" s="1">
        <f t="shared" si="24"/>
        <v>52760540.016924754</v>
      </c>
      <c r="O375" s="1"/>
    </row>
    <row r="376" spans="1:15" x14ac:dyDescent="0.25">
      <c r="A376">
        <v>531</v>
      </c>
      <c r="B376">
        <v>120796.7447</v>
      </c>
      <c r="C376">
        <v>830.83349999999996</v>
      </c>
      <c r="D376">
        <v>600001.22199999995</v>
      </c>
      <c r="E376">
        <v>33156.936399999999</v>
      </c>
      <c r="F376">
        <v>966621.36049999995</v>
      </c>
      <c r="G376">
        <v>21840.914420000001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6770812.0737257218</v>
      </c>
      <c r="M376" s="1">
        <f t="shared" si="23"/>
        <v>90624222.536234245</v>
      </c>
      <c r="N376" s="1">
        <f t="shared" si="24"/>
        <v>27930865.458930314</v>
      </c>
      <c r="O376" s="1"/>
    </row>
    <row r="377" spans="1:15" x14ac:dyDescent="0.25">
      <c r="A377">
        <v>532</v>
      </c>
      <c r="B377">
        <v>33297.340640000002</v>
      </c>
      <c r="C377">
        <v>0</v>
      </c>
      <c r="D377">
        <v>505881.69329999998</v>
      </c>
      <c r="E377">
        <v>25599.470099999999</v>
      </c>
      <c r="F377">
        <v>855764.68830000004</v>
      </c>
      <c r="G377">
        <v>55489.559569999998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0</v>
      </c>
      <c r="M377" s="1">
        <f t="shared" si="23"/>
        <v>170314483.72460958</v>
      </c>
      <c r="N377" s="1">
        <f t="shared" si="24"/>
        <v>172733098.16230166</v>
      </c>
      <c r="O377" s="1"/>
    </row>
    <row r="378" spans="1:15" x14ac:dyDescent="0.25">
      <c r="A378">
        <v>533</v>
      </c>
      <c r="B378">
        <v>18253.937809999999</v>
      </c>
      <c r="C378">
        <v>0</v>
      </c>
      <c r="D378">
        <v>409675.53649999999</v>
      </c>
      <c r="E378">
        <v>12159.134700000001</v>
      </c>
      <c r="F378">
        <v>767721.87670000002</v>
      </c>
      <c r="G378">
        <v>47123.829790000003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0</v>
      </c>
      <c r="M378" s="1">
        <f t="shared" si="23"/>
        <v>49006476.141899869</v>
      </c>
      <c r="N378" s="1">
        <f t="shared" si="24"/>
        <v>88865883.391158998</v>
      </c>
      <c r="O378" s="1"/>
    </row>
    <row r="379" spans="1:15" x14ac:dyDescent="0.25">
      <c r="A379">
        <v>534</v>
      </c>
      <c r="B379">
        <v>343835.80829999998</v>
      </c>
      <c r="C379">
        <v>11398.0118</v>
      </c>
      <c r="D379">
        <v>731962.8689</v>
      </c>
      <c r="E379">
        <v>54959.690900000001</v>
      </c>
      <c r="F379">
        <v>1141921.3770000001</v>
      </c>
      <c r="G379">
        <v>19713.47579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90799047.978918716</v>
      </c>
      <c r="M379" s="1">
        <f t="shared" si="23"/>
        <v>146838389.04713729</v>
      </c>
      <c r="N379" s="1">
        <f t="shared" si="24"/>
        <v>24643489.95928479</v>
      </c>
      <c r="O379" s="1"/>
    </row>
    <row r="380" spans="1:15" x14ac:dyDescent="0.25">
      <c r="A380">
        <v>535</v>
      </c>
      <c r="B380">
        <v>94243.148839999994</v>
      </c>
      <c r="C380">
        <v>830.83357999999998</v>
      </c>
      <c r="D380">
        <v>590101.62470000004</v>
      </c>
      <c r="E380">
        <v>32041.394899999999</v>
      </c>
      <c r="F380">
        <v>950995.43259999994</v>
      </c>
      <c r="G380">
        <v>24199.763190000001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3951153.9801928685</v>
      </c>
      <c r="M380" s="1">
        <f t="shared" si="23"/>
        <v>51105126.210593484</v>
      </c>
      <c r="N380" s="1">
        <f t="shared" si="24"/>
        <v>18059588.27349335</v>
      </c>
      <c r="O380" s="1"/>
    </row>
    <row r="381" spans="1:15" x14ac:dyDescent="0.25">
      <c r="A381">
        <v>536</v>
      </c>
      <c r="B381">
        <v>200645.52729999999</v>
      </c>
      <c r="C381">
        <v>6687.0159999999996</v>
      </c>
      <c r="D381">
        <v>639738.95779999997</v>
      </c>
      <c r="E381">
        <v>59078.554199999999</v>
      </c>
      <c r="F381">
        <v>1024634.566</v>
      </c>
      <c r="G381">
        <v>22423.392380000001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22144421.883614328</v>
      </c>
      <c r="M381" s="1">
        <f t="shared" si="23"/>
        <v>65615279.016569741</v>
      </c>
      <c r="N381" s="1">
        <f t="shared" si="24"/>
        <v>11652526.953106038</v>
      </c>
      <c r="O381" s="1"/>
    </row>
    <row r="382" spans="1:15" x14ac:dyDescent="0.25">
      <c r="A382">
        <v>537</v>
      </c>
      <c r="B382">
        <v>444844.63760000002</v>
      </c>
      <c r="C382">
        <v>12627.8122</v>
      </c>
      <c r="D382">
        <v>802409.20279999997</v>
      </c>
      <c r="E382">
        <v>46208.656600000002</v>
      </c>
      <c r="F382">
        <v>1219656.855</v>
      </c>
      <c r="G382">
        <v>14629.253989999999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43791626.500292152</v>
      </c>
      <c r="M382" s="1">
        <f t="shared" si="23"/>
        <v>53743932.51378721</v>
      </c>
      <c r="N382" s="1">
        <f t="shared" si="24"/>
        <v>7961079.424621745</v>
      </c>
      <c r="O382" s="1"/>
    </row>
    <row r="383" spans="1:15" x14ac:dyDescent="0.25">
      <c r="A383">
        <v>538</v>
      </c>
      <c r="B383">
        <v>15733.547689999999</v>
      </c>
      <c r="C383">
        <v>0</v>
      </c>
      <c r="D383">
        <v>408210.96669999999</v>
      </c>
      <c r="E383">
        <v>13639.322899999999</v>
      </c>
      <c r="F383">
        <v>771253.88320000004</v>
      </c>
      <c r="G383">
        <v>52063.365740000001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0</v>
      </c>
      <c r="M383" s="1">
        <f t="shared" si="23"/>
        <v>69314547.723443791</v>
      </c>
      <c r="N383" s="1">
        <f t="shared" si="24"/>
        <v>123796253.43495533</v>
      </c>
      <c r="O383" s="1"/>
    </row>
    <row r="384" spans="1:15" x14ac:dyDescent="0.25">
      <c r="A384">
        <v>539</v>
      </c>
      <c r="B384">
        <v>503027.81449999998</v>
      </c>
      <c r="C384">
        <v>26452.7366</v>
      </c>
      <c r="D384">
        <v>884773.91429999995</v>
      </c>
      <c r="E384">
        <v>42288.645600000003</v>
      </c>
      <c r="F384">
        <v>1272131.2849999999</v>
      </c>
      <c r="G384">
        <v>27051.86393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136307897.60227019</v>
      </c>
      <c r="M384" s="1">
        <f t="shared" si="23"/>
        <v>73083161.260758042</v>
      </c>
      <c r="N384" s="1">
        <f t="shared" si="24"/>
        <v>21874312.952741221</v>
      </c>
      <c r="O384" s="1"/>
    </row>
    <row r="385" spans="1:15" x14ac:dyDescent="0.25">
      <c r="A385">
        <v>540</v>
      </c>
      <c r="B385">
        <v>10752.94736</v>
      </c>
      <c r="C385">
        <v>0</v>
      </c>
      <c r="D385">
        <v>222554.19519999999</v>
      </c>
      <c r="E385">
        <v>8698.6553000000004</v>
      </c>
      <c r="F385">
        <v>653720.53989999997</v>
      </c>
      <c r="G385">
        <v>61461.444409999996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0</v>
      </c>
      <c r="M385" s="1">
        <f t="shared" si="23"/>
        <v>47388635.901986487</v>
      </c>
      <c r="N385" s="1">
        <f t="shared" si="24"/>
        <v>156663753.17470077</v>
      </c>
      <c r="O385" s="1"/>
    </row>
    <row r="386" spans="1:15" x14ac:dyDescent="0.25">
      <c r="A386">
        <v>541</v>
      </c>
      <c r="B386">
        <v>288456.43430000002</v>
      </c>
      <c r="C386">
        <v>11695.7179</v>
      </c>
      <c r="D386">
        <v>694681.9719</v>
      </c>
      <c r="E386">
        <v>72160.1247</v>
      </c>
      <c r="F386">
        <v>1100117.1980000001</v>
      </c>
      <c r="G386">
        <v>22462.656999999999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69850403.695915252</v>
      </c>
      <c r="M386" s="1">
        <f t="shared" si="23"/>
        <v>144538135.40230474</v>
      </c>
      <c r="N386" s="1">
        <f t="shared" si="24"/>
        <v>21051835.925792899</v>
      </c>
      <c r="O386" s="1"/>
    </row>
    <row r="387" spans="1:15" x14ac:dyDescent="0.25">
      <c r="A387">
        <v>542</v>
      </c>
      <c r="B387">
        <v>31867.563119999999</v>
      </c>
      <c r="C387">
        <v>0</v>
      </c>
      <c r="D387">
        <v>474020.46289999998</v>
      </c>
      <c r="E387">
        <v>18012.407599999999</v>
      </c>
      <c r="F387">
        <v>806393.81310000003</v>
      </c>
      <c r="G387">
        <v>52949.344989999998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0</v>
      </c>
      <c r="M387" s="1">
        <f t="shared" ref="M387:M450" si="27">$U$3*$K387*E387</f>
        <v>59519936.262666091</v>
      </c>
      <c r="N387" s="1">
        <f t="shared" ref="N387:N450" si="28">$U$4*$K387*G387</f>
        <v>81864377.104050353</v>
      </c>
      <c r="O387" s="1"/>
    </row>
    <row r="388" spans="1:15" x14ac:dyDescent="0.25">
      <c r="A388">
        <v>543</v>
      </c>
      <c r="B388">
        <v>24679.214970000001</v>
      </c>
      <c r="C388">
        <v>0</v>
      </c>
      <c r="D388">
        <v>313964.08809999999</v>
      </c>
      <c r="E388">
        <v>17464.670600000001</v>
      </c>
      <c r="F388">
        <v>711747.63520000002</v>
      </c>
      <c r="G388">
        <v>101200.4072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0</v>
      </c>
      <c r="M388" s="1">
        <f t="shared" si="27"/>
        <v>47312563.402991004</v>
      </c>
      <c r="N388" s="1">
        <f t="shared" si="28"/>
        <v>128274998.46218972</v>
      </c>
      <c r="O388" s="1"/>
    </row>
    <row r="389" spans="1:15" x14ac:dyDescent="0.25">
      <c r="A389">
        <v>544</v>
      </c>
      <c r="B389">
        <v>24217.011689999999</v>
      </c>
      <c r="C389">
        <v>0</v>
      </c>
      <c r="D389">
        <v>310253.00689999998</v>
      </c>
      <c r="E389">
        <v>19120.013900000002</v>
      </c>
      <c r="F389">
        <v>701348.4105</v>
      </c>
      <c r="G389">
        <v>97943.214229999998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0</v>
      </c>
      <c r="M389" s="1">
        <f t="shared" si="27"/>
        <v>73326867.089320108</v>
      </c>
      <c r="N389" s="1">
        <f t="shared" si="28"/>
        <v>175749038.12808391</v>
      </c>
      <c r="O389" s="1"/>
    </row>
    <row r="390" spans="1:15" x14ac:dyDescent="0.25">
      <c r="A390">
        <v>545</v>
      </c>
      <c r="B390">
        <v>36291.227480000001</v>
      </c>
      <c r="C390">
        <v>5856.1823999999997</v>
      </c>
      <c r="D390">
        <v>504315.61359999998</v>
      </c>
      <c r="E390">
        <v>56205.7719</v>
      </c>
      <c r="F390">
        <v>826451.88659999997</v>
      </c>
      <c r="G390">
        <v>79594.085089999993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80110996.095667154</v>
      </c>
      <c r="M390" s="1">
        <f t="shared" si="27"/>
        <v>257870457.18889105</v>
      </c>
      <c r="N390" s="1">
        <f t="shared" si="28"/>
        <v>170861866.72056717</v>
      </c>
      <c r="O390" s="1"/>
    </row>
    <row r="391" spans="1:15" x14ac:dyDescent="0.25">
      <c r="A391">
        <v>548</v>
      </c>
      <c r="B391">
        <v>6632.596415</v>
      </c>
      <c r="C391">
        <v>0</v>
      </c>
      <c r="D391">
        <v>34289.275399999999</v>
      </c>
      <c r="E391">
        <v>0</v>
      </c>
      <c r="F391">
        <v>240745.09789999999</v>
      </c>
      <c r="G391">
        <v>5756.3120330000002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0</v>
      </c>
      <c r="M391" s="1">
        <f t="shared" si="27"/>
        <v>0</v>
      </c>
      <c r="N391" s="1">
        <f t="shared" si="28"/>
        <v>11921584.517848458</v>
      </c>
      <c r="O391" s="1"/>
    </row>
    <row r="392" spans="1:15" x14ac:dyDescent="0.25">
      <c r="A392">
        <v>549</v>
      </c>
      <c r="B392">
        <v>6319.2327670000004</v>
      </c>
      <c r="C392">
        <v>0</v>
      </c>
      <c r="D392">
        <v>36004.943140000003</v>
      </c>
      <c r="E392">
        <v>0</v>
      </c>
      <c r="F392">
        <v>330597.53779999999</v>
      </c>
      <c r="G392">
        <v>17572.075769999999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0</v>
      </c>
      <c r="M392" s="1">
        <f t="shared" si="27"/>
        <v>0</v>
      </c>
      <c r="N392" s="1">
        <f t="shared" si="28"/>
        <v>51260204.025163643</v>
      </c>
      <c r="O392" s="1"/>
    </row>
    <row r="393" spans="1:15" x14ac:dyDescent="0.25">
      <c r="A393">
        <v>550</v>
      </c>
      <c r="B393">
        <v>19062.927169999999</v>
      </c>
      <c r="C393">
        <v>0</v>
      </c>
      <c r="D393">
        <v>96180.548880000002</v>
      </c>
      <c r="E393">
        <v>8698.6552200000006</v>
      </c>
      <c r="F393">
        <v>585143.9817</v>
      </c>
      <c r="G393">
        <v>69228.389609999998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0</v>
      </c>
      <c r="M393" s="1">
        <f t="shared" si="27"/>
        <v>34315947.346357368</v>
      </c>
      <c r="N393" s="1">
        <f t="shared" si="28"/>
        <v>127782618.28087045</v>
      </c>
      <c r="O393" s="1"/>
    </row>
    <row r="394" spans="1:15" x14ac:dyDescent="0.25">
      <c r="A394">
        <v>551</v>
      </c>
      <c r="B394">
        <v>8137.5718539999998</v>
      </c>
      <c r="C394">
        <v>0</v>
      </c>
      <c r="D394">
        <v>34025.320449999999</v>
      </c>
      <c r="E394">
        <v>0</v>
      </c>
      <c r="F394">
        <v>327992.00209999998</v>
      </c>
      <c r="G394">
        <v>18152.701550000002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0</v>
      </c>
      <c r="M394" s="1">
        <f t="shared" si="27"/>
        <v>0</v>
      </c>
      <c r="N394" s="1">
        <f t="shared" si="28"/>
        <v>48776952.007979907</v>
      </c>
      <c r="O394" s="1"/>
    </row>
    <row r="395" spans="1:15" x14ac:dyDescent="0.25">
      <c r="A395">
        <v>554</v>
      </c>
      <c r="B395">
        <v>178435.11730000001</v>
      </c>
      <c r="C395">
        <v>830.83360000000005</v>
      </c>
      <c r="D395">
        <v>611141.28489999997</v>
      </c>
      <c r="E395">
        <v>31934.210800000001</v>
      </c>
      <c r="F395">
        <v>978622.99529999995</v>
      </c>
      <c r="G395">
        <v>19221.266319999999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2996643.056027859</v>
      </c>
      <c r="M395" s="1">
        <f t="shared" si="27"/>
        <v>38629606.860634848</v>
      </c>
      <c r="N395" s="1">
        <f t="shared" si="28"/>
        <v>10879019.990526652</v>
      </c>
      <c r="O395" s="1"/>
    </row>
    <row r="396" spans="1:15" x14ac:dyDescent="0.25">
      <c r="A396">
        <v>555</v>
      </c>
      <c r="B396">
        <v>297712.71620000002</v>
      </c>
      <c r="C396">
        <v>0</v>
      </c>
      <c r="D396">
        <v>687591.76800000004</v>
      </c>
      <c r="E396">
        <v>14942.458500000001</v>
      </c>
      <c r="F396">
        <v>1064275.1880000001</v>
      </c>
      <c r="G396">
        <v>663.789219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0</v>
      </c>
      <c r="M396" s="1">
        <f t="shared" si="27"/>
        <v>27730330.61717413</v>
      </c>
      <c r="N396" s="1">
        <f t="shared" si="28"/>
        <v>576377.29147969605</v>
      </c>
      <c r="O396" s="1"/>
    </row>
    <row r="397" spans="1:15" x14ac:dyDescent="0.25">
      <c r="A397">
        <v>556</v>
      </c>
      <c r="B397">
        <v>402571.59789999999</v>
      </c>
      <c r="C397">
        <v>830.83360000000005</v>
      </c>
      <c r="D397">
        <v>779965.09959999996</v>
      </c>
      <c r="E397">
        <v>20673.179700000001</v>
      </c>
      <c r="F397">
        <v>1167884.6040000001</v>
      </c>
      <c r="G397">
        <v>2627.623423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4004174.8700903254</v>
      </c>
      <c r="M397" s="1">
        <f t="shared" si="27"/>
        <v>33415610.552384447</v>
      </c>
      <c r="N397" s="1">
        <f t="shared" si="28"/>
        <v>1987233.6099006822</v>
      </c>
      <c r="O397" s="1"/>
    </row>
    <row r="398" spans="1:15" x14ac:dyDescent="0.25">
      <c r="A398">
        <v>557</v>
      </c>
      <c r="B398">
        <v>227066.4277</v>
      </c>
      <c r="C398">
        <v>0</v>
      </c>
      <c r="D398">
        <v>660022.7182</v>
      </c>
      <c r="E398">
        <v>18192.318599999999</v>
      </c>
      <c r="F398">
        <v>1002102.949</v>
      </c>
      <c r="G398">
        <v>12416.16416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0</v>
      </c>
      <c r="M398" s="1">
        <f t="shared" si="27"/>
        <v>49996669.83852458</v>
      </c>
      <c r="N398" s="1">
        <f t="shared" si="28"/>
        <v>15965559.730969323</v>
      </c>
      <c r="O398" s="1"/>
    </row>
    <row r="399" spans="1:15" x14ac:dyDescent="0.25">
      <c r="A399">
        <v>558</v>
      </c>
      <c r="B399">
        <v>303165.2181</v>
      </c>
      <c r="C399">
        <v>7004.8059000000003</v>
      </c>
      <c r="D399">
        <v>699025.64450000005</v>
      </c>
      <c r="E399">
        <v>61659.724099999999</v>
      </c>
      <c r="F399">
        <v>1078378.4380000001</v>
      </c>
      <c r="G399">
        <v>22254.92598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71756682.600024089</v>
      </c>
      <c r="M399" s="1">
        <f t="shared" si="27"/>
        <v>211841460.0106805</v>
      </c>
      <c r="N399" s="1">
        <f t="shared" si="28"/>
        <v>35774964.882556677</v>
      </c>
      <c r="O399" s="1"/>
    </row>
    <row r="400" spans="1:15" x14ac:dyDescent="0.25">
      <c r="A400">
        <v>559</v>
      </c>
      <c r="B400">
        <v>394301.38130000001</v>
      </c>
      <c r="C400">
        <v>0</v>
      </c>
      <c r="D400">
        <v>779948.71719999996</v>
      </c>
      <c r="E400">
        <v>0</v>
      </c>
      <c r="F400">
        <v>1175393.912</v>
      </c>
      <c r="G400">
        <v>3.6453000000000001E-4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0</v>
      </c>
      <c r="M400" s="1">
        <f t="shared" si="27"/>
        <v>0</v>
      </c>
      <c r="N400" s="1">
        <f t="shared" si="28"/>
        <v>0.18312682928523161</v>
      </c>
      <c r="O400" s="1"/>
    </row>
    <row r="401" spans="1:15" x14ac:dyDescent="0.25">
      <c r="A401">
        <v>560</v>
      </c>
      <c r="B401">
        <v>206737.09779999999</v>
      </c>
      <c r="C401">
        <v>0</v>
      </c>
      <c r="D401">
        <v>634570.81019999995</v>
      </c>
      <c r="E401">
        <v>12391.4143</v>
      </c>
      <c r="F401">
        <v>968361.94510000001</v>
      </c>
      <c r="G401">
        <v>387.50339700000001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0</v>
      </c>
      <c r="M401" s="1">
        <f t="shared" si="27"/>
        <v>21400278.165516652</v>
      </c>
      <c r="N401" s="1">
        <f t="shared" si="28"/>
        <v>313124.99266070459</v>
      </c>
      <c r="O401" s="1"/>
    </row>
    <row r="402" spans="1:15" x14ac:dyDescent="0.25">
      <c r="A402">
        <v>561</v>
      </c>
      <c r="B402">
        <v>242560.97409999999</v>
      </c>
      <c r="C402">
        <v>5856.1823999999997</v>
      </c>
      <c r="D402">
        <v>659407.01540000003</v>
      </c>
      <c r="E402">
        <v>62110.394899999999</v>
      </c>
      <c r="F402">
        <v>1000601.844</v>
      </c>
      <c r="G402">
        <v>22916.539929999999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28070267.959290497</v>
      </c>
      <c r="M402" s="1">
        <f t="shared" si="27"/>
        <v>99848004.75589335</v>
      </c>
      <c r="N402" s="1">
        <f t="shared" si="28"/>
        <v>17237243.810143877</v>
      </c>
      <c r="O402" s="1"/>
    </row>
    <row r="403" spans="1:15" x14ac:dyDescent="0.25">
      <c r="A403">
        <v>562</v>
      </c>
      <c r="B403">
        <v>283675.45159999997</v>
      </c>
      <c r="C403">
        <v>6687.0159999999996</v>
      </c>
      <c r="D403">
        <v>697337.67090000003</v>
      </c>
      <c r="E403">
        <v>23115.298299999999</v>
      </c>
      <c r="F403">
        <v>1030261.588</v>
      </c>
      <c r="G403">
        <v>14682.317300000001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27728705.227643564</v>
      </c>
      <c r="M403" s="1">
        <f t="shared" si="27"/>
        <v>32146956.897809491</v>
      </c>
      <c r="N403" s="1">
        <f t="shared" si="28"/>
        <v>9553855.0767600108</v>
      </c>
      <c r="O403" s="1"/>
    </row>
    <row r="404" spans="1:15" x14ac:dyDescent="0.25">
      <c r="A404">
        <v>563</v>
      </c>
      <c r="B404">
        <v>340554.25020000001</v>
      </c>
      <c r="C404">
        <v>9716.7152000000006</v>
      </c>
      <c r="D404">
        <v>748919.65910000005</v>
      </c>
      <c r="E404">
        <v>38465.935400000002</v>
      </c>
      <c r="F404">
        <v>1090556.433</v>
      </c>
      <c r="G404">
        <v>14978.190060000001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23155758.100192733</v>
      </c>
      <c r="M404" s="1">
        <f t="shared" si="27"/>
        <v>30743900.455002893</v>
      </c>
      <c r="N404" s="1">
        <f t="shared" si="28"/>
        <v>5601259.3594977725</v>
      </c>
      <c r="O404" s="1"/>
    </row>
    <row r="405" spans="1:15" x14ac:dyDescent="0.25">
      <c r="A405">
        <v>564</v>
      </c>
      <c r="B405">
        <v>84255.662590000007</v>
      </c>
      <c r="C405">
        <v>5856.1823999999997</v>
      </c>
      <c r="D405">
        <v>603815.84680000006</v>
      </c>
      <c r="E405">
        <v>18804.2117</v>
      </c>
      <c r="F405">
        <v>981813.47979999997</v>
      </c>
      <c r="G405">
        <v>1221.4767340000001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47667676.781339943</v>
      </c>
      <c r="M405" s="1">
        <f t="shared" si="27"/>
        <v>51334301.815851651</v>
      </c>
      <c r="N405" s="1">
        <f t="shared" si="28"/>
        <v>1560204.0651887306</v>
      </c>
      <c r="O405" s="1"/>
    </row>
    <row r="406" spans="1:15" x14ac:dyDescent="0.25">
      <c r="A406">
        <v>565</v>
      </c>
      <c r="B406">
        <v>142798.01029999999</v>
      </c>
      <c r="C406">
        <v>0</v>
      </c>
      <c r="D406">
        <v>680613.81810000003</v>
      </c>
      <c r="E406">
        <v>500.1995</v>
      </c>
      <c r="F406">
        <v>1034483.255</v>
      </c>
      <c r="G406" s="1">
        <v>7.9200000000000001E-5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</v>
      </c>
      <c r="M406" s="1">
        <f t="shared" si="27"/>
        <v>4665176.0860389015</v>
      </c>
      <c r="N406" s="1">
        <f t="shared" si="28"/>
        <v>0.34561584692346892</v>
      </c>
      <c r="O406" s="1"/>
    </row>
    <row r="407" spans="1:15" x14ac:dyDescent="0.25">
      <c r="A407">
        <v>566</v>
      </c>
      <c r="B407">
        <v>168280.97080000001</v>
      </c>
      <c r="C407">
        <v>0</v>
      </c>
      <c r="D407">
        <v>707490.83629999997</v>
      </c>
      <c r="E407">
        <v>317.78989999999999</v>
      </c>
      <c r="F407">
        <v>1077620.0260000001</v>
      </c>
      <c r="G407">
        <v>-4.3178999999999998E-4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0</v>
      </c>
      <c r="M407" s="1">
        <f t="shared" si="27"/>
        <v>2529391.993977916</v>
      </c>
      <c r="N407" s="1">
        <f t="shared" si="28"/>
        <v>-1.6080231896985433</v>
      </c>
      <c r="O407" s="1"/>
    </row>
    <row r="408" spans="1:15" x14ac:dyDescent="0.25">
      <c r="A408">
        <v>567</v>
      </c>
      <c r="B408">
        <v>88993.969620000003</v>
      </c>
      <c r="C408">
        <v>0</v>
      </c>
      <c r="D408">
        <v>583463.18779999996</v>
      </c>
      <c r="E408">
        <v>10105.993399999999</v>
      </c>
      <c r="F408">
        <v>954962.74289999995</v>
      </c>
      <c r="G408">
        <v>1218.913264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0</v>
      </c>
      <c r="M408" s="1">
        <f t="shared" si="27"/>
        <v>30775168.858140286</v>
      </c>
      <c r="N408" s="1">
        <f t="shared" si="28"/>
        <v>1736752.4307424533</v>
      </c>
      <c r="O408" s="1"/>
    </row>
    <row r="409" spans="1:15" x14ac:dyDescent="0.25">
      <c r="A409">
        <v>570</v>
      </c>
      <c r="B409">
        <v>1746.533132</v>
      </c>
      <c r="C409">
        <v>0</v>
      </c>
      <c r="D409">
        <v>10352.75193</v>
      </c>
      <c r="E409">
        <v>0</v>
      </c>
      <c r="F409">
        <v>124340.0808</v>
      </c>
      <c r="G409" s="1">
        <v>-3.4199999999999999E-6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0</v>
      </c>
      <c r="M409" s="1">
        <f t="shared" si="27"/>
        <v>0</v>
      </c>
      <c r="N409" s="1">
        <f t="shared" si="28"/>
        <v>-1.0577463910871544E-2</v>
      </c>
      <c r="O409" s="1"/>
    </row>
    <row r="410" spans="1:15" x14ac:dyDescent="0.25">
      <c r="A410">
        <v>571</v>
      </c>
      <c r="B410">
        <v>4219.4067370000002</v>
      </c>
      <c r="C410">
        <v>0</v>
      </c>
      <c r="D410">
        <v>32003.196240000001</v>
      </c>
      <c r="E410">
        <v>0</v>
      </c>
      <c r="F410">
        <v>298894.8357</v>
      </c>
      <c r="G410">
        <v>9708.661177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0</v>
      </c>
      <c r="M410" s="1">
        <f t="shared" si="27"/>
        <v>0</v>
      </c>
      <c r="N410" s="1">
        <f t="shared" si="28"/>
        <v>30779514.176053829</v>
      </c>
      <c r="O410" s="1"/>
    </row>
    <row r="411" spans="1:15" x14ac:dyDescent="0.25">
      <c r="A411">
        <v>572</v>
      </c>
      <c r="B411">
        <v>5662.1937090000001</v>
      </c>
      <c r="C411">
        <v>0</v>
      </c>
      <c r="D411">
        <v>33929.631329999997</v>
      </c>
      <c r="E411">
        <v>0</v>
      </c>
      <c r="F411">
        <v>367027.41840000002</v>
      </c>
      <c r="G411">
        <v>10383.884050000001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0</v>
      </c>
      <c r="M411" s="1">
        <f t="shared" si="27"/>
        <v>0</v>
      </c>
      <c r="N411" s="1">
        <f t="shared" si="28"/>
        <v>58471418.85344106</v>
      </c>
      <c r="O411" s="1"/>
    </row>
    <row r="412" spans="1:15" x14ac:dyDescent="0.25">
      <c r="A412">
        <v>573</v>
      </c>
      <c r="B412">
        <v>9370.5683229999995</v>
      </c>
      <c r="C412">
        <v>0</v>
      </c>
      <c r="D412">
        <v>53973.093560000001</v>
      </c>
      <c r="E412">
        <v>0</v>
      </c>
      <c r="F412">
        <v>509767.67469999997</v>
      </c>
      <c r="G412">
        <v>18665.60642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0</v>
      </c>
      <c r="M412" s="1">
        <f t="shared" si="27"/>
        <v>0</v>
      </c>
      <c r="N412" s="1">
        <f t="shared" si="28"/>
        <v>49425187.407736644</v>
      </c>
      <c r="O412" s="1"/>
    </row>
    <row r="413" spans="1:15" x14ac:dyDescent="0.25">
      <c r="A413">
        <v>574</v>
      </c>
      <c r="B413">
        <v>10147.71408</v>
      </c>
      <c r="C413">
        <v>0</v>
      </c>
      <c r="D413">
        <v>146466.77989999999</v>
      </c>
      <c r="E413">
        <v>830.83360000000005</v>
      </c>
      <c r="F413">
        <v>588063.48190000001</v>
      </c>
      <c r="G413">
        <v>32114.46142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0</v>
      </c>
      <c r="M413" s="1">
        <f t="shared" si="27"/>
        <v>13563996.059067922</v>
      </c>
      <c r="N413" s="1">
        <f t="shared" si="28"/>
        <v>245311509.25897557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>
        <v>0</v>
      </c>
      <c r="F414">
        <v>127784.98540000001</v>
      </c>
      <c r="G414" s="1">
        <v>4.85E-5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0</v>
      </c>
      <c r="N414" s="1">
        <f t="shared" si="28"/>
        <v>0.19227706036634837</v>
      </c>
      <c r="O414" s="1"/>
    </row>
    <row r="415" spans="1:15" x14ac:dyDescent="0.25">
      <c r="A415">
        <v>577</v>
      </c>
      <c r="B415">
        <v>100875.2743</v>
      </c>
      <c r="C415">
        <v>830.83360000000005</v>
      </c>
      <c r="D415">
        <v>583245.87049999996</v>
      </c>
      <c r="E415">
        <v>29630.057400000002</v>
      </c>
      <c r="F415">
        <v>945346.68830000004</v>
      </c>
      <c r="G415">
        <v>27067.549129999999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10858928.60815664</v>
      </c>
      <c r="M415" s="1">
        <f t="shared" si="27"/>
        <v>129881876.92226949</v>
      </c>
      <c r="N415" s="1">
        <f t="shared" si="28"/>
        <v>55514786.645503461</v>
      </c>
      <c r="O415" s="1"/>
    </row>
    <row r="416" spans="1:15" x14ac:dyDescent="0.25">
      <c r="A416">
        <v>578</v>
      </c>
      <c r="B416">
        <v>180165.15100000001</v>
      </c>
      <c r="C416">
        <v>9708.6610999999994</v>
      </c>
      <c r="D416">
        <v>633523.53249999997</v>
      </c>
      <c r="E416">
        <v>73875.757700000002</v>
      </c>
      <c r="F416">
        <v>979334.48360000004</v>
      </c>
      <c r="G416">
        <v>41570.330829999999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140925851.22931528</v>
      </c>
      <c r="M416" s="1">
        <f t="shared" si="27"/>
        <v>359646973.91853321</v>
      </c>
      <c r="N416" s="1">
        <f t="shared" si="28"/>
        <v>94689455.935920641</v>
      </c>
      <c r="O416" s="1"/>
    </row>
    <row r="417" spans="1:15" x14ac:dyDescent="0.25">
      <c r="A417">
        <v>579</v>
      </c>
      <c r="B417">
        <v>340741.16680000001</v>
      </c>
      <c r="C417">
        <v>21344.3387</v>
      </c>
      <c r="D417">
        <v>725873.68980000005</v>
      </c>
      <c r="E417">
        <v>98327.556899999996</v>
      </c>
      <c r="F417">
        <v>1137053.7250000001</v>
      </c>
      <c r="G417">
        <v>56191.100030000001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179190278.80839035</v>
      </c>
      <c r="M417" s="1">
        <f t="shared" si="27"/>
        <v>276853569.25617671</v>
      </c>
      <c r="N417" s="1">
        <f t="shared" si="28"/>
        <v>74026308.138663992</v>
      </c>
      <c r="O417" s="1"/>
    </row>
    <row r="418" spans="1:15" x14ac:dyDescent="0.25">
      <c r="A418">
        <v>580</v>
      </c>
      <c r="B418">
        <v>103161.03350000001</v>
      </c>
      <c r="C418">
        <v>9708.6610999999994</v>
      </c>
      <c r="D418">
        <v>608110.09420000005</v>
      </c>
      <c r="E418">
        <v>71285.801200000002</v>
      </c>
      <c r="F418">
        <v>957039.66390000004</v>
      </c>
      <c r="G418">
        <v>41663.549919999998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53974572.513227582</v>
      </c>
      <c r="M418" s="1">
        <f t="shared" si="27"/>
        <v>132915626.28709517</v>
      </c>
      <c r="N418" s="1">
        <f t="shared" si="28"/>
        <v>36347366.995558664</v>
      </c>
      <c r="O418" s="1"/>
    </row>
    <row r="419" spans="1:15" x14ac:dyDescent="0.25">
      <c r="A419">
        <v>600</v>
      </c>
      <c r="B419">
        <v>36623.220020000001</v>
      </c>
      <c r="C419">
        <v>5163.0181400000001</v>
      </c>
      <c r="D419">
        <v>358476.56189999997</v>
      </c>
      <c r="E419">
        <v>162235.61439999999</v>
      </c>
      <c r="F419">
        <v>744860.34979999997</v>
      </c>
      <c r="G419">
        <v>152380.6917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35443346.286331631</v>
      </c>
      <c r="M419" s="1">
        <f t="shared" si="27"/>
        <v>373525625.55792916</v>
      </c>
      <c r="N419" s="1">
        <f t="shared" si="28"/>
        <v>164152621.47838074</v>
      </c>
      <c r="O419" s="1"/>
    </row>
    <row r="420" spans="1:15" x14ac:dyDescent="0.25">
      <c r="A420">
        <v>601</v>
      </c>
      <c r="B420">
        <v>19013.956699999999</v>
      </c>
      <c r="C420">
        <v>0</v>
      </c>
      <c r="D420">
        <v>154627.27530000001</v>
      </c>
      <c r="E420">
        <v>62285.408199999998</v>
      </c>
      <c r="F420">
        <v>644632.75529999996</v>
      </c>
      <c r="G420">
        <v>128505.2821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0</v>
      </c>
      <c r="M420" s="1">
        <f t="shared" si="27"/>
        <v>366764366.78368038</v>
      </c>
      <c r="N420" s="1">
        <f t="shared" si="28"/>
        <v>354050716.29808223</v>
      </c>
      <c r="O420" s="1"/>
    </row>
    <row r="421" spans="1:15" x14ac:dyDescent="0.25">
      <c r="A421">
        <v>602</v>
      </c>
      <c r="B421">
        <v>31121.914870000001</v>
      </c>
      <c r="C421">
        <v>0</v>
      </c>
      <c r="D421">
        <v>328399.35350000003</v>
      </c>
      <c r="E421">
        <v>105171.5689</v>
      </c>
      <c r="F421">
        <v>746517.67989999999</v>
      </c>
      <c r="G421">
        <v>115053.42479999999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0</v>
      </c>
      <c r="M421" s="1">
        <f t="shared" si="27"/>
        <v>530503432.42176467</v>
      </c>
      <c r="N421" s="1">
        <f t="shared" si="28"/>
        <v>271539537.92407006</v>
      </c>
      <c r="O421" s="1"/>
    </row>
    <row r="422" spans="1:15" x14ac:dyDescent="0.25">
      <c r="A422">
        <v>603</v>
      </c>
      <c r="B422">
        <v>17824.366429999998</v>
      </c>
      <c r="C422">
        <v>0</v>
      </c>
      <c r="D422">
        <v>149384.2029</v>
      </c>
      <c r="E422">
        <v>79111.510699999999</v>
      </c>
      <c r="F422">
        <v>647929.93649999995</v>
      </c>
      <c r="G422">
        <v>125827.1036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0</v>
      </c>
      <c r="M422" s="1">
        <f t="shared" si="27"/>
        <v>370264416.54686749</v>
      </c>
      <c r="N422" s="1">
        <f t="shared" si="28"/>
        <v>275543504.21173185</v>
      </c>
      <c r="O422" s="1"/>
    </row>
    <row r="423" spans="1:15" x14ac:dyDescent="0.25">
      <c r="A423">
        <v>604</v>
      </c>
      <c r="B423">
        <v>31793.696479999999</v>
      </c>
      <c r="C423">
        <v>5246.4125400000003</v>
      </c>
      <c r="D423">
        <v>184477.13579999999</v>
      </c>
      <c r="E423">
        <v>233380.1979</v>
      </c>
      <c r="F423">
        <v>707446.59510000004</v>
      </c>
      <c r="G423">
        <v>144471.31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71401972.431240991</v>
      </c>
      <c r="M423" s="1">
        <f t="shared" si="27"/>
        <v>1065258264.8869015</v>
      </c>
      <c r="N423" s="1">
        <f t="shared" si="28"/>
        <v>308543354.98131794</v>
      </c>
      <c r="O423" s="1"/>
    </row>
    <row r="424" spans="1:15" x14ac:dyDescent="0.25">
      <c r="A424">
        <v>605</v>
      </c>
      <c r="B424">
        <v>33606.65756</v>
      </c>
      <c r="C424">
        <v>6077.2461199999998</v>
      </c>
      <c r="D424">
        <v>192936.33300000001</v>
      </c>
      <c r="E424">
        <v>265970.21130000002</v>
      </c>
      <c r="F424">
        <v>715113.90009999997</v>
      </c>
      <c r="G424">
        <v>157377.50700000001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60724659.67640622</v>
      </c>
      <c r="M424" s="1">
        <f t="shared" si="27"/>
        <v>891321535.52204132</v>
      </c>
      <c r="N424" s="1">
        <f t="shared" si="28"/>
        <v>246767374.86490557</v>
      </c>
      <c r="O424" s="1"/>
    </row>
    <row r="425" spans="1:15" x14ac:dyDescent="0.25">
      <c r="A425">
        <v>606</v>
      </c>
      <c r="B425">
        <v>29044.149099999999</v>
      </c>
      <c r="C425">
        <v>2403.93968</v>
      </c>
      <c r="D425">
        <v>153207.4037</v>
      </c>
      <c r="E425">
        <v>117675.3557</v>
      </c>
      <c r="F425">
        <v>695182.20799999998</v>
      </c>
      <c r="G425">
        <v>109882.2852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25770598.714114346</v>
      </c>
      <c r="M425" s="1">
        <f t="shared" si="27"/>
        <v>423086919.95019048</v>
      </c>
      <c r="N425" s="1">
        <f t="shared" si="28"/>
        <v>184848291.21660483</v>
      </c>
      <c r="O425" s="1"/>
    </row>
    <row r="426" spans="1:15" x14ac:dyDescent="0.25">
      <c r="A426">
        <v>607</v>
      </c>
      <c r="B426">
        <v>17435.517540000001</v>
      </c>
      <c r="C426">
        <v>0</v>
      </c>
      <c r="D426">
        <v>72016.14748</v>
      </c>
      <c r="E426">
        <v>14104.09194</v>
      </c>
      <c r="F426">
        <v>535576.12309999997</v>
      </c>
      <c r="G426">
        <v>135972.61929999999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0</v>
      </c>
      <c r="M426" s="1">
        <f t="shared" si="27"/>
        <v>49463570.353849508</v>
      </c>
      <c r="N426" s="1">
        <f t="shared" si="28"/>
        <v>223118444.04575041</v>
      </c>
      <c r="O426" s="1"/>
    </row>
    <row r="427" spans="1:15" x14ac:dyDescent="0.25">
      <c r="A427">
        <v>608</v>
      </c>
      <c r="B427">
        <v>23136.888169999998</v>
      </c>
      <c r="C427">
        <v>0</v>
      </c>
      <c r="D427">
        <v>73123.369089999993</v>
      </c>
      <c r="E427">
        <v>23678.130639999999</v>
      </c>
      <c r="F427">
        <v>587367.99840000004</v>
      </c>
      <c r="G427">
        <v>141079.2579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0</v>
      </c>
      <c r="M427" s="1">
        <f t="shared" si="27"/>
        <v>208649460.32179275</v>
      </c>
      <c r="N427" s="1">
        <f t="shared" si="28"/>
        <v>581670043.7883004</v>
      </c>
      <c r="O427" s="1"/>
    </row>
    <row r="428" spans="1:15" x14ac:dyDescent="0.25">
      <c r="A428">
        <v>609</v>
      </c>
      <c r="B428">
        <v>75617.0236</v>
      </c>
      <c r="C428">
        <v>32031.8894</v>
      </c>
      <c r="D428">
        <v>625790.52910000004</v>
      </c>
      <c r="E428">
        <v>100985.2932</v>
      </c>
      <c r="F428">
        <v>952798.62450000003</v>
      </c>
      <c r="G428">
        <v>99634.740040000004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205711428.62741965</v>
      </c>
      <c r="M428" s="1">
        <f t="shared" si="27"/>
        <v>217508949.91768488</v>
      </c>
      <c r="N428" s="1">
        <f t="shared" si="28"/>
        <v>100409191.73619126</v>
      </c>
      <c r="O428" s="1"/>
    </row>
    <row r="429" spans="1:15" x14ac:dyDescent="0.25">
      <c r="A429">
        <v>610</v>
      </c>
      <c r="B429">
        <v>38289.765299999999</v>
      </c>
      <c r="C429">
        <v>0</v>
      </c>
      <c r="D429">
        <v>301541.87459999998</v>
      </c>
      <c r="E429">
        <v>107267.6434</v>
      </c>
      <c r="F429">
        <v>762655.40150000004</v>
      </c>
      <c r="G429">
        <v>113691.6833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0</v>
      </c>
      <c r="M429" s="1">
        <f t="shared" si="27"/>
        <v>320659400.683483</v>
      </c>
      <c r="N429" s="1">
        <f t="shared" si="28"/>
        <v>159018485.07934135</v>
      </c>
      <c r="O429" s="1"/>
    </row>
    <row r="430" spans="1:15" x14ac:dyDescent="0.25">
      <c r="A430">
        <v>611</v>
      </c>
      <c r="B430">
        <v>207488.09450000001</v>
      </c>
      <c r="C430">
        <v>2842.4729000000002</v>
      </c>
      <c r="D430">
        <v>773021.14029999997</v>
      </c>
      <c r="E430">
        <v>17351.9676</v>
      </c>
      <c r="F430">
        <v>1134748.328</v>
      </c>
      <c r="G430">
        <v>9326.6985069999992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27226886.184342884</v>
      </c>
      <c r="M430" s="1">
        <f t="shared" si="27"/>
        <v>55743406.886454917</v>
      </c>
      <c r="N430" s="1">
        <f t="shared" si="28"/>
        <v>14018979.356931129</v>
      </c>
      <c r="O430" s="1"/>
    </row>
    <row r="431" spans="1:15" x14ac:dyDescent="0.25">
      <c r="A431">
        <v>612</v>
      </c>
      <c r="B431">
        <v>37665.722500000003</v>
      </c>
      <c r="C431">
        <v>0</v>
      </c>
      <c r="D431">
        <v>542270.86239999998</v>
      </c>
      <c r="E431">
        <v>14325.1986</v>
      </c>
      <c r="F431">
        <v>911262.47840000002</v>
      </c>
      <c r="G431">
        <v>13338.372590000001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0</v>
      </c>
      <c r="M431" s="1">
        <f t="shared" si="27"/>
        <v>80737212.806570798</v>
      </c>
      <c r="N431" s="1">
        <f t="shared" si="28"/>
        <v>35173827.061175711</v>
      </c>
      <c r="O431" s="1"/>
    </row>
    <row r="432" spans="1:15" x14ac:dyDescent="0.25">
      <c r="A432">
        <v>613</v>
      </c>
      <c r="B432">
        <v>223122.3921</v>
      </c>
      <c r="C432">
        <v>0</v>
      </c>
      <c r="D432">
        <v>794252.72120000003</v>
      </c>
      <c r="E432">
        <v>12846.4982</v>
      </c>
      <c r="F432">
        <v>1140106.689</v>
      </c>
      <c r="G432">
        <v>13717.39479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0</v>
      </c>
      <c r="M432" s="1">
        <f t="shared" si="27"/>
        <v>31607256.46613707</v>
      </c>
      <c r="N432" s="1">
        <f t="shared" si="28"/>
        <v>15791280.795192637</v>
      </c>
      <c r="O432" s="1"/>
    </row>
    <row r="433" spans="1:15" x14ac:dyDescent="0.25">
      <c r="A433">
        <v>614</v>
      </c>
      <c r="B433">
        <v>36675.468849999997</v>
      </c>
      <c r="C433">
        <v>0</v>
      </c>
      <c r="D433">
        <v>504259.97240000003</v>
      </c>
      <c r="E433">
        <v>37176.391100000001</v>
      </c>
      <c r="F433">
        <v>894085.15540000005</v>
      </c>
      <c r="G433">
        <v>16065.01699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0</v>
      </c>
      <c r="M433" s="1">
        <f t="shared" si="27"/>
        <v>158847949.00997102</v>
      </c>
      <c r="N433" s="1">
        <f t="shared" si="28"/>
        <v>32117316.445964791</v>
      </c>
      <c r="O433" s="1"/>
    </row>
    <row r="434" spans="1:15" x14ac:dyDescent="0.25">
      <c r="A434">
        <v>615</v>
      </c>
      <c r="B434">
        <v>60481.518580000004</v>
      </c>
      <c r="C434">
        <v>6077.2461300000004</v>
      </c>
      <c r="D434">
        <v>567068.78209999995</v>
      </c>
      <c r="E434">
        <v>68486.170800000007</v>
      </c>
      <c r="F434">
        <v>942035.95830000006</v>
      </c>
      <c r="G434">
        <v>47524.663509999998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83069483.886232749</v>
      </c>
      <c r="M434" s="1">
        <f t="shared" si="27"/>
        <v>313964617.75883693</v>
      </c>
      <c r="N434" s="1">
        <f t="shared" si="28"/>
        <v>101939043.00875095</v>
      </c>
      <c r="O434" s="1"/>
    </row>
    <row r="435" spans="1:15" x14ac:dyDescent="0.25">
      <c r="A435">
        <v>616</v>
      </c>
      <c r="B435">
        <v>21173.518929999998</v>
      </c>
      <c r="C435">
        <v>0</v>
      </c>
      <c r="D435">
        <v>268451.01559999998</v>
      </c>
      <c r="E435">
        <v>29351.6122</v>
      </c>
      <c r="F435">
        <v>780993.34169999999</v>
      </c>
      <c r="G435">
        <v>26808.222399999999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0</v>
      </c>
      <c r="M435" s="1">
        <f t="shared" si="27"/>
        <v>203938430.42645824</v>
      </c>
      <c r="N435" s="1">
        <f t="shared" si="28"/>
        <v>87152290.915742695</v>
      </c>
      <c r="O435" s="1"/>
    </row>
    <row r="436" spans="1:15" x14ac:dyDescent="0.25">
      <c r="A436">
        <v>617</v>
      </c>
      <c r="B436">
        <v>36317.416360000003</v>
      </c>
      <c r="C436">
        <v>2842.4728500000001</v>
      </c>
      <c r="D436">
        <v>538125.93550000002</v>
      </c>
      <c r="E436">
        <v>47990.340799999998</v>
      </c>
      <c r="F436">
        <v>904031.57519999996</v>
      </c>
      <c r="G436">
        <v>51901.87199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13866806.025134832</v>
      </c>
      <c r="M436" s="1">
        <f t="shared" si="27"/>
        <v>78519420.611533657</v>
      </c>
      <c r="N436" s="1">
        <f t="shared" si="28"/>
        <v>39732871.492307127</v>
      </c>
      <c r="O436" s="1"/>
    </row>
    <row r="437" spans="1:15" x14ac:dyDescent="0.25">
      <c r="A437">
        <v>618</v>
      </c>
      <c r="B437">
        <v>70816.307310000004</v>
      </c>
      <c r="C437">
        <v>84956.915489999999</v>
      </c>
      <c r="D437">
        <v>606883.22389999998</v>
      </c>
      <c r="E437">
        <v>147048.54180000001</v>
      </c>
      <c r="F437">
        <v>956780.28119999997</v>
      </c>
      <c r="G437">
        <v>132750.2654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450980077.32911921</v>
      </c>
      <c r="M437" s="1">
        <f t="shared" si="27"/>
        <v>261795682.3549096</v>
      </c>
      <c r="N437" s="1">
        <f t="shared" si="28"/>
        <v>110581081.64856434</v>
      </c>
      <c r="O437" s="1"/>
    </row>
    <row r="438" spans="1:15" x14ac:dyDescent="0.25">
      <c r="A438">
        <v>619</v>
      </c>
      <c r="B438">
        <v>32321.082170000001</v>
      </c>
      <c r="C438">
        <v>17559.465550000001</v>
      </c>
      <c r="D438">
        <v>469484.61550000001</v>
      </c>
      <c r="E438">
        <v>174370.9344</v>
      </c>
      <c r="F438">
        <v>872674.35860000004</v>
      </c>
      <c r="G438">
        <v>145999.23740000001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152022011.89953369</v>
      </c>
      <c r="M438" s="1">
        <f t="shared" si="27"/>
        <v>506305230.79157364</v>
      </c>
      <c r="N438" s="1">
        <f t="shared" si="28"/>
        <v>198350173.60328889</v>
      </c>
      <c r="O438" s="1"/>
    </row>
    <row r="439" spans="1:15" x14ac:dyDescent="0.25">
      <c r="A439">
        <v>620</v>
      </c>
      <c r="B439">
        <v>38628.572840000001</v>
      </c>
      <c r="C439">
        <v>76499.356660000005</v>
      </c>
      <c r="D439">
        <v>512226.68040000001</v>
      </c>
      <c r="E439">
        <v>229059.4724</v>
      </c>
      <c r="F439">
        <v>877329.43859999999</v>
      </c>
      <c r="G439">
        <v>206041.21770000001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880554407.59132838</v>
      </c>
      <c r="M439" s="1">
        <f t="shared" si="27"/>
        <v>884280005.81457424</v>
      </c>
      <c r="N439" s="1">
        <f t="shared" si="28"/>
        <v>372168262.92366123</v>
      </c>
      <c r="O439" s="1"/>
    </row>
    <row r="440" spans="1:15" x14ac:dyDescent="0.25">
      <c r="A440">
        <v>621</v>
      </c>
      <c r="B440">
        <v>39478.271959999998</v>
      </c>
      <c r="C440">
        <v>12146.51246</v>
      </c>
      <c r="D440">
        <v>536789.08400000003</v>
      </c>
      <c r="E440">
        <v>98372.874400000001</v>
      </c>
      <c r="F440">
        <v>888171.93460000004</v>
      </c>
      <c r="G440">
        <v>109112.0472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208380809.96644831</v>
      </c>
      <c r="M440" s="1">
        <f t="shared" si="27"/>
        <v>566010672.46989107</v>
      </c>
      <c r="N440" s="1">
        <f t="shared" si="28"/>
        <v>293741725.13061619</v>
      </c>
      <c r="O440" s="1"/>
    </row>
    <row r="441" spans="1:15" x14ac:dyDescent="0.25">
      <c r="A441">
        <v>622</v>
      </c>
      <c r="B441">
        <v>40987.505069999999</v>
      </c>
      <c r="C441">
        <v>0</v>
      </c>
      <c r="D441">
        <v>482049.50540000002</v>
      </c>
      <c r="E441">
        <v>70783.179699999993</v>
      </c>
      <c r="F441">
        <v>859972.71499999997</v>
      </c>
      <c r="G441">
        <v>86952.081380000003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0</v>
      </c>
      <c r="M441" s="1">
        <f t="shared" si="27"/>
        <v>174918733.86553553</v>
      </c>
      <c r="N441" s="1">
        <f t="shared" si="28"/>
        <v>100537924.97130659</v>
      </c>
      <c r="O441" s="1"/>
    </row>
    <row r="442" spans="1:15" x14ac:dyDescent="0.25">
      <c r="A442">
        <v>624</v>
      </c>
      <c r="B442">
        <v>19080.807830000002</v>
      </c>
      <c r="C442">
        <v>493.91674</v>
      </c>
      <c r="D442">
        <v>67832.263229999997</v>
      </c>
      <c r="E442">
        <v>64667.080569999998</v>
      </c>
      <c r="F442">
        <v>503871.57610000001</v>
      </c>
      <c r="G442">
        <v>244882.51089999999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8431685.0082374085</v>
      </c>
      <c r="M442" s="1">
        <f t="shared" si="27"/>
        <v>370243139.55158263</v>
      </c>
      <c r="N442" s="1">
        <f t="shared" si="28"/>
        <v>656002074.62364697</v>
      </c>
      <c r="O442" s="1"/>
    </row>
    <row r="443" spans="1:15" x14ac:dyDescent="0.25">
      <c r="A443">
        <v>625</v>
      </c>
      <c r="B443">
        <v>17223.300879999999</v>
      </c>
      <c r="C443">
        <v>53999.334869999999</v>
      </c>
      <c r="D443">
        <v>61604.892339999999</v>
      </c>
      <c r="E443">
        <v>605454.49679999996</v>
      </c>
      <c r="F443">
        <v>454646.54100000003</v>
      </c>
      <c r="G443">
        <v>527094.56220000004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710896256.55919683</v>
      </c>
      <c r="M443" s="1">
        <f t="shared" si="27"/>
        <v>2673267773.2066517</v>
      </c>
      <c r="N443" s="1">
        <f t="shared" si="28"/>
        <v>1088912962.648191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>
        <v>0</v>
      </c>
      <c r="F444">
        <v>24235.37775</v>
      </c>
      <c r="G444">
        <v>155.91295969999999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0</v>
      </c>
      <c r="N444" s="1">
        <f t="shared" si="28"/>
        <v>1928421.9772627554</v>
      </c>
      <c r="O444" s="1"/>
    </row>
    <row r="445" spans="1:15" x14ac:dyDescent="0.25">
      <c r="A445">
        <v>627</v>
      </c>
      <c r="B445">
        <v>14787.806500000001</v>
      </c>
      <c r="C445">
        <v>0</v>
      </c>
      <c r="D445">
        <v>50891.689230000004</v>
      </c>
      <c r="E445">
        <v>70272.201369999995</v>
      </c>
      <c r="F445">
        <v>431776.10930000001</v>
      </c>
      <c r="G445">
        <v>290742.57169999997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0</v>
      </c>
      <c r="M445" s="1">
        <f t="shared" si="27"/>
        <v>526323936.03277546</v>
      </c>
      <c r="N445" s="1">
        <f t="shared" si="28"/>
        <v>1018877257.3502146</v>
      </c>
      <c r="O445" s="1"/>
    </row>
    <row r="446" spans="1:15" x14ac:dyDescent="0.25">
      <c r="A446">
        <v>628</v>
      </c>
      <c r="B446">
        <v>14843.494489999999</v>
      </c>
      <c r="C446">
        <v>23703.296160000002</v>
      </c>
      <c r="D446">
        <v>49450.807869999997</v>
      </c>
      <c r="E446">
        <v>444342.29499999998</v>
      </c>
      <c r="F446">
        <v>260402.1256</v>
      </c>
      <c r="G446">
        <v>625474.53359999997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349702870.89443463</v>
      </c>
      <c r="M446" s="1">
        <f t="shared" si="27"/>
        <v>2198625423.7249799</v>
      </c>
      <c r="N446" s="1">
        <f t="shared" si="28"/>
        <v>1448061149.6569245</v>
      </c>
      <c r="O446" s="1"/>
    </row>
    <row r="447" spans="1:15" x14ac:dyDescent="0.25">
      <c r="A447">
        <v>629</v>
      </c>
      <c r="B447">
        <v>14805.54212</v>
      </c>
      <c r="C447">
        <v>0</v>
      </c>
      <c r="D447">
        <v>50523.227279999999</v>
      </c>
      <c r="E447">
        <v>38871.649989999998</v>
      </c>
      <c r="F447">
        <v>404636.86690000002</v>
      </c>
      <c r="G447">
        <v>283891.10460000002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</v>
      </c>
      <c r="M447" s="1">
        <f t="shared" si="27"/>
        <v>566464743.42998016</v>
      </c>
      <c r="N447" s="1">
        <f t="shared" si="28"/>
        <v>1935688063.1995292</v>
      </c>
      <c r="O447" s="1"/>
    </row>
    <row r="448" spans="1:15" x14ac:dyDescent="0.25">
      <c r="A448">
        <v>630</v>
      </c>
      <c r="B448">
        <v>14860.122069999999</v>
      </c>
      <c r="C448">
        <v>0</v>
      </c>
      <c r="D448">
        <v>47515.13594</v>
      </c>
      <c r="E448">
        <v>42271.828119999998</v>
      </c>
      <c r="F448">
        <v>450944.23149999999</v>
      </c>
      <c r="G448">
        <v>250335.4504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0</v>
      </c>
      <c r="M448" s="1">
        <f t="shared" si="27"/>
        <v>194362058.25719473</v>
      </c>
      <c r="N448" s="1">
        <f t="shared" si="28"/>
        <v>538550573.485798</v>
      </c>
      <c r="O448" s="1"/>
    </row>
    <row r="449" spans="1:15" x14ac:dyDescent="0.25">
      <c r="A449">
        <v>631</v>
      </c>
      <c r="B449">
        <v>8389.6977330000009</v>
      </c>
      <c r="C449">
        <v>0</v>
      </c>
      <c r="D449">
        <v>42536.300219999997</v>
      </c>
      <c r="E449">
        <v>30082.870869999999</v>
      </c>
      <c r="F449">
        <v>458714.64299999998</v>
      </c>
      <c r="G449">
        <v>217998.58850000001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0</v>
      </c>
      <c r="M449" s="1">
        <f t="shared" si="27"/>
        <v>236128233.03924677</v>
      </c>
      <c r="N449" s="1">
        <f t="shared" si="28"/>
        <v>800619193.85009027</v>
      </c>
      <c r="O449" s="1"/>
    </row>
    <row r="450" spans="1:15" x14ac:dyDescent="0.25">
      <c r="A450">
        <v>632</v>
      </c>
      <c r="B450">
        <v>4017.5058859999999</v>
      </c>
      <c r="C450">
        <v>0</v>
      </c>
      <c r="D450">
        <v>31227.07346</v>
      </c>
      <c r="E450">
        <v>8698.6552599999995</v>
      </c>
      <c r="F450">
        <v>182262.26329999999</v>
      </c>
      <c r="G450">
        <v>143611.48120000001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0</v>
      </c>
      <c r="M450" s="1">
        <f t="shared" si="27"/>
        <v>128682358.86600901</v>
      </c>
      <c r="N450" s="1">
        <f t="shared" si="28"/>
        <v>994030553.5088098</v>
      </c>
      <c r="O450" s="1"/>
    </row>
    <row r="451" spans="1:15" x14ac:dyDescent="0.25">
      <c r="A451">
        <v>633</v>
      </c>
      <c r="B451">
        <v>5557.3761029999996</v>
      </c>
      <c r="C451">
        <v>0</v>
      </c>
      <c r="D451">
        <v>33280.225680000003</v>
      </c>
      <c r="E451">
        <v>10550.95163</v>
      </c>
      <c r="F451">
        <v>188164.80910000001</v>
      </c>
      <c r="G451">
        <v>211166.557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0</v>
      </c>
      <c r="M451" s="1">
        <f t="shared" ref="M451:M514" si="31">$U$3*$K451*E451</f>
        <v>116758426.57764472</v>
      </c>
      <c r="N451" s="1">
        <f t="shared" ref="N451:N514" si="32">$U$4*$K451*G451</f>
        <v>1093365633.0522983</v>
      </c>
      <c r="O451" s="1"/>
    </row>
    <row r="452" spans="1:15" x14ac:dyDescent="0.25">
      <c r="A452">
        <v>634</v>
      </c>
      <c r="B452">
        <v>3296.027619</v>
      </c>
      <c r="C452">
        <v>0</v>
      </c>
      <c r="D452">
        <v>20582.933079999999</v>
      </c>
      <c r="E452">
        <v>0</v>
      </c>
      <c r="F452">
        <v>84572.685469999997</v>
      </c>
      <c r="G452">
        <v>78244.233909999995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0</v>
      </c>
      <c r="M452" s="1">
        <f t="shared" si="31"/>
        <v>0</v>
      </c>
      <c r="N452" s="1">
        <f t="shared" si="32"/>
        <v>271968337.44653392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>
        <v>0</v>
      </c>
      <c r="F453">
        <v>16009.738950000001</v>
      </c>
      <c r="G453">
        <v>675.22292279999999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0</v>
      </c>
      <c r="M453" s="1">
        <f t="shared" si="31"/>
        <v>0</v>
      </c>
      <c r="N453" s="1">
        <f t="shared" si="32"/>
        <v>6114554.077231653</v>
      </c>
      <c r="O453" s="1"/>
    </row>
    <row r="454" spans="1:15" x14ac:dyDescent="0.25">
      <c r="A454">
        <v>636</v>
      </c>
      <c r="B454">
        <v>33288.516130000004</v>
      </c>
      <c r="C454">
        <v>26343.418740000001</v>
      </c>
      <c r="D454">
        <v>407756.9253</v>
      </c>
      <c r="E454">
        <v>181261.99179999999</v>
      </c>
      <c r="F454">
        <v>813690.16090000002</v>
      </c>
      <c r="G454">
        <v>143792.93669999999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288750716.40606803</v>
      </c>
      <c r="M454" s="1">
        <f t="shared" si="31"/>
        <v>666347572.73421943</v>
      </c>
      <c r="N454" s="1">
        <f t="shared" si="32"/>
        <v>247329149.31732339</v>
      </c>
      <c r="O454" s="1"/>
    </row>
    <row r="455" spans="1:15" x14ac:dyDescent="0.25">
      <c r="A455">
        <v>637</v>
      </c>
      <c r="B455">
        <v>34250.602720000003</v>
      </c>
      <c r="C455">
        <v>37445.59216</v>
      </c>
      <c r="D455">
        <v>431063.75219999999</v>
      </c>
      <c r="E455">
        <v>229766.44639999999</v>
      </c>
      <c r="F455">
        <v>848985.83860000002</v>
      </c>
      <c r="G455">
        <v>143231.13130000001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281007132.75989676</v>
      </c>
      <c r="M455" s="1">
        <f t="shared" si="31"/>
        <v>578290935.85446656</v>
      </c>
      <c r="N455" s="1">
        <f t="shared" si="32"/>
        <v>168671178.02327365</v>
      </c>
      <c r="O455" s="1"/>
    </row>
    <row r="456" spans="1:15" x14ac:dyDescent="0.25">
      <c r="A456">
        <v>638</v>
      </c>
      <c r="B456">
        <v>11018.893609999999</v>
      </c>
      <c r="C456">
        <v>12700.20019</v>
      </c>
      <c r="D456">
        <v>91931.688380000007</v>
      </c>
      <c r="E456">
        <v>253651.93340000001</v>
      </c>
      <c r="F456">
        <v>640522.61990000005</v>
      </c>
      <c r="G456">
        <v>201869.78719999999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199786445.59484798</v>
      </c>
      <c r="M456" s="1">
        <f t="shared" si="31"/>
        <v>1338248507.3688941</v>
      </c>
      <c r="N456" s="1">
        <f t="shared" si="32"/>
        <v>498326054.07058632</v>
      </c>
      <c r="O456" s="1"/>
    </row>
    <row r="457" spans="1:15" x14ac:dyDescent="0.25">
      <c r="A457">
        <v>639</v>
      </c>
      <c r="B457">
        <v>9939.0719950000002</v>
      </c>
      <c r="C457">
        <v>5856.1824049999996</v>
      </c>
      <c r="D457">
        <v>58068.459139999999</v>
      </c>
      <c r="E457">
        <v>75536.047760000001</v>
      </c>
      <c r="F457">
        <v>536722.9264</v>
      </c>
      <c r="G457">
        <v>220632.8376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74051924.498269364</v>
      </c>
      <c r="M457" s="1">
        <f t="shared" si="31"/>
        <v>320345884.4515118</v>
      </c>
      <c r="N457" s="1">
        <f t="shared" si="32"/>
        <v>437802986.62727165</v>
      </c>
      <c r="O457" s="1"/>
    </row>
    <row r="458" spans="1:15" x14ac:dyDescent="0.25">
      <c r="A458">
        <v>640</v>
      </c>
      <c r="B458">
        <v>27721.051100000001</v>
      </c>
      <c r="C458">
        <v>19445.166260000002</v>
      </c>
      <c r="D458">
        <v>191680.34760000001</v>
      </c>
      <c r="E458">
        <v>360352.95319999999</v>
      </c>
      <c r="F458">
        <v>706479.13619999995</v>
      </c>
      <c r="G458">
        <v>221513.4437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537639108.84417331</v>
      </c>
      <c r="M458" s="1">
        <f t="shared" si="31"/>
        <v>3341568853.9160943</v>
      </c>
      <c r="N458" s="1">
        <f t="shared" si="32"/>
        <v>961094508.23431218</v>
      </c>
      <c r="O458" s="1"/>
    </row>
    <row r="459" spans="1:15" x14ac:dyDescent="0.25">
      <c r="A459">
        <v>641</v>
      </c>
      <c r="B459">
        <v>18885.373950000001</v>
      </c>
      <c r="C459">
        <v>0</v>
      </c>
      <c r="D459">
        <v>75046.139169999995</v>
      </c>
      <c r="E459">
        <v>18291.69915</v>
      </c>
      <c r="F459">
        <v>548632.82539999997</v>
      </c>
      <c r="G459">
        <v>173049.57930000001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0</v>
      </c>
      <c r="M459" s="1">
        <f t="shared" si="31"/>
        <v>119214568.6145166</v>
      </c>
      <c r="N459" s="1">
        <f t="shared" si="32"/>
        <v>527702932.7411415</v>
      </c>
      <c r="O459" s="1"/>
    </row>
    <row r="460" spans="1:15" x14ac:dyDescent="0.25">
      <c r="A460">
        <v>642</v>
      </c>
      <c r="B460">
        <v>16338.67324</v>
      </c>
      <c r="C460">
        <v>19601.07922</v>
      </c>
      <c r="D460">
        <v>139304.74479999999</v>
      </c>
      <c r="E460">
        <v>387752.78200000001</v>
      </c>
      <c r="F460">
        <v>671484.39020000002</v>
      </c>
      <c r="G460">
        <v>261660.24679999999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200741354.29743713</v>
      </c>
      <c r="M460" s="1">
        <f t="shared" si="31"/>
        <v>1331848804.5749869</v>
      </c>
      <c r="N460" s="1">
        <f t="shared" si="32"/>
        <v>420514937.76883763</v>
      </c>
      <c r="O460" s="1"/>
    </row>
    <row r="461" spans="1:15" x14ac:dyDescent="0.25">
      <c r="A461">
        <v>643</v>
      </c>
      <c r="B461">
        <v>12034.13349</v>
      </c>
      <c r="C461">
        <v>11933.428529999999</v>
      </c>
      <c r="D461">
        <v>73876.642080000005</v>
      </c>
      <c r="E461">
        <v>334967.39840000001</v>
      </c>
      <c r="F461">
        <v>639023.99419999996</v>
      </c>
      <c r="G461">
        <v>208618.8798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196681658.8116405</v>
      </c>
      <c r="M461" s="1">
        <f t="shared" si="31"/>
        <v>1851587768.5809226</v>
      </c>
      <c r="N461" s="1">
        <f t="shared" si="32"/>
        <v>539559135.59635663</v>
      </c>
      <c r="O461" s="1"/>
    </row>
    <row r="462" spans="1:15" x14ac:dyDescent="0.25">
      <c r="A462">
        <v>644</v>
      </c>
      <c r="B462">
        <v>27329.85053</v>
      </c>
      <c r="C462">
        <v>0</v>
      </c>
      <c r="D462">
        <v>97428.536080000005</v>
      </c>
      <c r="E462">
        <v>172173.88930000001</v>
      </c>
      <c r="F462">
        <v>623786.56149999995</v>
      </c>
      <c r="G462">
        <v>178431.4987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0</v>
      </c>
      <c r="M462" s="1">
        <f t="shared" si="31"/>
        <v>1167788804.149889</v>
      </c>
      <c r="N462" s="1">
        <f t="shared" si="32"/>
        <v>566255220.13372767</v>
      </c>
      <c r="O462" s="1"/>
    </row>
    <row r="463" spans="1:15" x14ac:dyDescent="0.25">
      <c r="A463">
        <v>645</v>
      </c>
      <c r="B463">
        <v>14236.28282</v>
      </c>
      <c r="C463">
        <v>0</v>
      </c>
      <c r="D463">
        <v>70807.954800000007</v>
      </c>
      <c r="E463">
        <v>135455.0442</v>
      </c>
      <c r="F463">
        <v>598318.3382</v>
      </c>
      <c r="G463">
        <v>176612.87239999999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0</v>
      </c>
      <c r="M463" s="1">
        <f t="shared" si="31"/>
        <v>954461742.08716857</v>
      </c>
      <c r="N463" s="1">
        <f t="shared" si="32"/>
        <v>582276650.18035495</v>
      </c>
      <c r="O463" s="1"/>
    </row>
    <row r="464" spans="1:15" x14ac:dyDescent="0.25">
      <c r="A464">
        <v>646</v>
      </c>
      <c r="B464">
        <v>12968.25432</v>
      </c>
      <c r="C464">
        <v>0</v>
      </c>
      <c r="D464">
        <v>54273.331489999997</v>
      </c>
      <c r="E464">
        <v>54041.537109999997</v>
      </c>
      <c r="F464">
        <v>564316.99639999995</v>
      </c>
      <c r="G464">
        <v>177613.68040000001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0</v>
      </c>
      <c r="M464" s="1">
        <f t="shared" si="31"/>
        <v>323999675.22285348</v>
      </c>
      <c r="N464" s="1">
        <f t="shared" si="32"/>
        <v>498238144.30639482</v>
      </c>
      <c r="O464" s="1"/>
    </row>
    <row r="465" spans="1:15" x14ac:dyDescent="0.25">
      <c r="A465">
        <v>647</v>
      </c>
      <c r="B465">
        <v>12496.165069999999</v>
      </c>
      <c r="C465">
        <v>0</v>
      </c>
      <c r="D465">
        <v>55474.78196</v>
      </c>
      <c r="E465">
        <v>25267.802530000001</v>
      </c>
      <c r="F465">
        <v>519095.32740000001</v>
      </c>
      <c r="G465">
        <v>165909.3432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0</v>
      </c>
      <c r="M465" s="1">
        <f t="shared" si="31"/>
        <v>105265217.07058625</v>
      </c>
      <c r="N465" s="1">
        <f t="shared" si="32"/>
        <v>323393985.33294713</v>
      </c>
      <c r="O465" s="1"/>
    </row>
    <row r="466" spans="1:15" x14ac:dyDescent="0.25">
      <c r="A466">
        <v>650</v>
      </c>
      <c r="B466">
        <v>30705.845700000002</v>
      </c>
      <c r="C466">
        <v>2403.9396900000002</v>
      </c>
      <c r="D466">
        <v>472798.94280000002</v>
      </c>
      <c r="E466">
        <v>57310.4303</v>
      </c>
      <c r="F466">
        <v>861827.21</v>
      </c>
      <c r="G466">
        <v>39849.26096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26041817.387270458</v>
      </c>
      <c r="M466" s="1">
        <f t="shared" si="31"/>
        <v>208220999.81561208</v>
      </c>
      <c r="N466" s="1">
        <f t="shared" si="32"/>
        <v>67741499.818303928</v>
      </c>
      <c r="O466" s="1"/>
    </row>
    <row r="467" spans="1:15" x14ac:dyDescent="0.25">
      <c r="A467">
        <v>651</v>
      </c>
      <c r="B467">
        <v>45071.268219999998</v>
      </c>
      <c r="C467">
        <v>5163.0181400000001</v>
      </c>
      <c r="D467">
        <v>480779.71500000003</v>
      </c>
      <c r="E467">
        <v>78999.489700000006</v>
      </c>
      <c r="F467">
        <v>867778.02339999995</v>
      </c>
      <c r="G467">
        <v>59001.744919999997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67265068.478335634</v>
      </c>
      <c r="M467" s="1">
        <f t="shared" si="31"/>
        <v>345186148.87425798</v>
      </c>
      <c r="N467" s="1">
        <f t="shared" si="32"/>
        <v>120625078.3751189</v>
      </c>
      <c r="O467" s="1"/>
    </row>
    <row r="468" spans="1:15" x14ac:dyDescent="0.25">
      <c r="A468">
        <v>652</v>
      </c>
      <c r="B468">
        <v>27093.59722</v>
      </c>
      <c r="C468">
        <v>0</v>
      </c>
      <c r="D468">
        <v>495984.49949999998</v>
      </c>
      <c r="E468">
        <v>62552.207300000002</v>
      </c>
      <c r="F468">
        <v>885015.75560000003</v>
      </c>
      <c r="G468">
        <v>27642.764999999999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0</v>
      </c>
      <c r="M468" s="1">
        <f t="shared" si="31"/>
        <v>213772819.70444539</v>
      </c>
      <c r="N468" s="1">
        <f t="shared" si="32"/>
        <v>44201296.298817255</v>
      </c>
      <c r="O468" s="1"/>
    </row>
    <row r="469" spans="1:15" x14ac:dyDescent="0.25">
      <c r="A469">
        <v>653</v>
      </c>
      <c r="B469">
        <v>45654.624470000002</v>
      </c>
      <c r="C469">
        <v>7806.64102</v>
      </c>
      <c r="D469">
        <v>437161.72690000001</v>
      </c>
      <c r="E469">
        <v>151131.6195</v>
      </c>
      <c r="F469">
        <v>836965.28639999998</v>
      </c>
      <c r="G469">
        <v>99672.38884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42537650.274472818</v>
      </c>
      <c r="M469" s="1">
        <f t="shared" si="31"/>
        <v>276189879.30392033</v>
      </c>
      <c r="N469" s="1">
        <f t="shared" si="32"/>
        <v>85225776.987878367</v>
      </c>
      <c r="O469" s="1"/>
    </row>
    <row r="470" spans="1:15" x14ac:dyDescent="0.25">
      <c r="A470">
        <v>654</v>
      </c>
      <c r="B470">
        <v>162619.7028</v>
      </c>
      <c r="C470">
        <v>23444.516899999999</v>
      </c>
      <c r="D470">
        <v>639860.3358</v>
      </c>
      <c r="E470">
        <v>117080.2507</v>
      </c>
      <c r="F470">
        <v>992389.61679999996</v>
      </c>
      <c r="G470">
        <v>91924.348230000003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217669585.11793187</v>
      </c>
      <c r="M470" s="1">
        <f t="shared" si="31"/>
        <v>364571942.37575203</v>
      </c>
      <c r="N470" s="1">
        <f t="shared" si="32"/>
        <v>133928756.28835842</v>
      </c>
      <c r="O470" s="1"/>
    </row>
    <row r="471" spans="1:15" x14ac:dyDescent="0.25">
      <c r="A471">
        <v>655</v>
      </c>
      <c r="B471">
        <v>31310.227640000001</v>
      </c>
      <c r="C471">
        <v>13708.827950000001</v>
      </c>
      <c r="D471">
        <v>422992.3873</v>
      </c>
      <c r="E471">
        <v>104619.6422</v>
      </c>
      <c r="F471">
        <v>836755.81310000003</v>
      </c>
      <c r="G471">
        <v>67134.669269999999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192429541.15827772</v>
      </c>
      <c r="M471" s="1">
        <f t="shared" si="31"/>
        <v>492524439.82130313</v>
      </c>
      <c r="N471" s="1">
        <f t="shared" si="32"/>
        <v>147878517.22058359</v>
      </c>
      <c r="O471" s="1"/>
    </row>
    <row r="472" spans="1:15" x14ac:dyDescent="0.25">
      <c r="A472">
        <v>656</v>
      </c>
      <c r="B472">
        <v>220385.34830000001</v>
      </c>
      <c r="C472">
        <v>27181.851999999999</v>
      </c>
      <c r="D472">
        <v>744627.52049999998</v>
      </c>
      <c r="E472">
        <v>39614.669300000001</v>
      </c>
      <c r="F472">
        <v>1104564.1640000001</v>
      </c>
      <c r="G472">
        <v>18315.22437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769709162.00525439</v>
      </c>
      <c r="M472" s="1">
        <f t="shared" si="31"/>
        <v>376224249.37072462</v>
      </c>
      <c r="N472" s="1">
        <f t="shared" si="32"/>
        <v>81385431.618161052</v>
      </c>
      <c r="O472" s="1"/>
    </row>
    <row r="473" spans="1:15" x14ac:dyDescent="0.25">
      <c r="A473">
        <v>657</v>
      </c>
      <c r="B473">
        <v>50289.980539999997</v>
      </c>
      <c r="C473">
        <v>249342.7156</v>
      </c>
      <c r="D473">
        <v>549606.08510000003</v>
      </c>
      <c r="E473">
        <v>261788.07560000001</v>
      </c>
      <c r="F473">
        <v>922206.03929999995</v>
      </c>
      <c r="G473">
        <v>230482.40700000001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3454250963.8259792</v>
      </c>
      <c r="M473" s="1">
        <f t="shared" si="31"/>
        <v>1216326587.29475</v>
      </c>
      <c r="N473" s="1">
        <f t="shared" si="32"/>
        <v>501050844.26350355</v>
      </c>
      <c r="O473" s="1"/>
    </row>
    <row r="474" spans="1:15" x14ac:dyDescent="0.25">
      <c r="A474">
        <v>658</v>
      </c>
      <c r="B474">
        <v>31434.613359999999</v>
      </c>
      <c r="C474">
        <v>45614.460910000002</v>
      </c>
      <c r="D474">
        <v>347926.40710000001</v>
      </c>
      <c r="E474">
        <v>331831.5796</v>
      </c>
      <c r="F474">
        <v>790822.29509999999</v>
      </c>
      <c r="G474">
        <v>234410.57800000001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360878148.17166102</v>
      </c>
      <c r="M474" s="1">
        <f t="shared" si="31"/>
        <v>880478773.16159034</v>
      </c>
      <c r="N474" s="1">
        <f t="shared" si="32"/>
        <v>291019479.6363942</v>
      </c>
      <c r="O474" s="1"/>
    </row>
    <row r="475" spans="1:15" x14ac:dyDescent="0.25">
      <c r="A475">
        <v>659</v>
      </c>
      <c r="B475">
        <v>29674.379949999999</v>
      </c>
      <c r="C475">
        <v>32705.062190000001</v>
      </c>
      <c r="D475">
        <v>291904.86139999999</v>
      </c>
      <c r="E475">
        <v>342672.49959999998</v>
      </c>
      <c r="F475">
        <v>797337.68480000005</v>
      </c>
      <c r="G475">
        <v>175262.92310000001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219246532.68962324</v>
      </c>
      <c r="M475" s="1">
        <f t="shared" si="31"/>
        <v>770442344.31517696</v>
      </c>
      <c r="N475" s="1">
        <f t="shared" si="32"/>
        <v>184371852.96598524</v>
      </c>
      <c r="O475" s="1"/>
    </row>
    <row r="476" spans="1:15" x14ac:dyDescent="0.25">
      <c r="A476">
        <v>660</v>
      </c>
      <c r="B476">
        <v>34998.118540000003</v>
      </c>
      <c r="C476">
        <v>45684.45708</v>
      </c>
      <c r="D476">
        <v>441757.5454</v>
      </c>
      <c r="E476">
        <v>269788.69030000002</v>
      </c>
      <c r="F476">
        <v>853986.71660000004</v>
      </c>
      <c r="G476">
        <v>185738.6826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566532048.94778454</v>
      </c>
      <c r="M476" s="1">
        <f t="shared" si="31"/>
        <v>1122077597.9200234</v>
      </c>
      <c r="N476" s="1">
        <f t="shared" si="32"/>
        <v>361447471.53697348</v>
      </c>
      <c r="O476" s="1"/>
    </row>
    <row r="477" spans="1:15" x14ac:dyDescent="0.25">
      <c r="A477">
        <v>661</v>
      </c>
      <c r="B477">
        <v>35998.752699999997</v>
      </c>
      <c r="C477">
        <v>6077.2461300000004</v>
      </c>
      <c r="D477">
        <v>298925.78000000003</v>
      </c>
      <c r="E477">
        <v>239894.32639999999</v>
      </c>
      <c r="F477">
        <v>773754.88329999999</v>
      </c>
      <c r="G477">
        <v>163194.91089999999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64420614.459425814</v>
      </c>
      <c r="M477" s="1">
        <f t="shared" si="31"/>
        <v>852866686.59118629</v>
      </c>
      <c r="N477" s="1">
        <f t="shared" si="32"/>
        <v>271463512.25992227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13164.572399999999</v>
      </c>
      <c r="F478">
        <v>509482.50900000002</v>
      </c>
      <c r="G478">
        <v>116700.62549999999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99228935.208873361</v>
      </c>
      <c r="N478" s="1">
        <f t="shared" si="32"/>
        <v>411574477.75634474</v>
      </c>
      <c r="O478" s="1"/>
    </row>
    <row r="479" spans="1:15" x14ac:dyDescent="0.25">
      <c r="A479">
        <v>663</v>
      </c>
      <c r="B479">
        <v>31694.657729999999</v>
      </c>
      <c r="C479">
        <v>16072.482040000001</v>
      </c>
      <c r="D479">
        <v>263689.72610000003</v>
      </c>
      <c r="E479">
        <v>330954.47850000003</v>
      </c>
      <c r="F479">
        <v>761800.27359999996</v>
      </c>
      <c r="G479">
        <v>212913.7666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115039849.39140752</v>
      </c>
      <c r="M479" s="1">
        <f t="shared" si="31"/>
        <v>794468632.04509437</v>
      </c>
      <c r="N479" s="1">
        <f t="shared" si="32"/>
        <v>239142031.06904939</v>
      </c>
      <c r="O479" s="1"/>
    </row>
    <row r="480" spans="1:15" x14ac:dyDescent="0.25">
      <c r="A480">
        <v>664</v>
      </c>
      <c r="B480">
        <v>8330.3015570000007</v>
      </c>
      <c r="C480">
        <v>0</v>
      </c>
      <c r="D480">
        <v>63716.938439999998</v>
      </c>
      <c r="E480">
        <v>0</v>
      </c>
      <c r="F480">
        <v>671864.20689999999</v>
      </c>
      <c r="G480" s="1">
        <v>1.2300000000000001E-5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0</v>
      </c>
      <c r="M480" s="1">
        <f t="shared" si="31"/>
        <v>0</v>
      </c>
      <c r="N480" s="1">
        <f t="shared" si="32"/>
        <v>1.700318883412719E-2</v>
      </c>
      <c r="O480" s="1"/>
    </row>
    <row r="481" spans="1:15" x14ac:dyDescent="0.25">
      <c r="A481">
        <v>665</v>
      </c>
      <c r="B481">
        <v>30626.603370000001</v>
      </c>
      <c r="C481">
        <v>0</v>
      </c>
      <c r="D481">
        <v>560841.39269999997</v>
      </c>
      <c r="E481">
        <v>0</v>
      </c>
      <c r="F481">
        <v>1054766.544</v>
      </c>
      <c r="G481">
        <v>830.83343969999999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0</v>
      </c>
      <c r="M481" s="1">
        <f t="shared" si="31"/>
        <v>0</v>
      </c>
      <c r="N481" s="1">
        <f t="shared" si="32"/>
        <v>1453925.113644426</v>
      </c>
      <c r="O481" s="1"/>
    </row>
    <row r="482" spans="1:15" x14ac:dyDescent="0.25">
      <c r="A482">
        <v>666</v>
      </c>
      <c r="B482">
        <v>292110.3162</v>
      </c>
      <c r="C482">
        <v>0</v>
      </c>
      <c r="D482">
        <v>837432.28890000004</v>
      </c>
      <c r="E482">
        <v>0</v>
      </c>
      <c r="F482">
        <v>1425845.378</v>
      </c>
      <c r="G482">
        <v>8017.2813919999999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0</v>
      </c>
      <c r="M482" s="1">
        <f t="shared" si="31"/>
        <v>0</v>
      </c>
      <c r="N482" s="1">
        <f t="shared" si="32"/>
        <v>6948035.1286681732</v>
      </c>
      <c r="O482" s="1"/>
    </row>
    <row r="483" spans="1:15" x14ac:dyDescent="0.25">
      <c r="A483">
        <v>667</v>
      </c>
      <c r="B483">
        <v>39983.585500000001</v>
      </c>
      <c r="C483">
        <v>0</v>
      </c>
      <c r="D483">
        <v>201655.34580000001</v>
      </c>
      <c r="E483">
        <v>0</v>
      </c>
      <c r="F483">
        <v>1105269.828</v>
      </c>
      <c r="G483" s="1">
        <v>-3.2499999999999997E-5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0</v>
      </c>
      <c r="M483" s="1">
        <f t="shared" si="31"/>
        <v>0</v>
      </c>
      <c r="N483" s="1">
        <f t="shared" si="32"/>
        <v>-5.273173938533475E-2</v>
      </c>
      <c r="O483" s="1"/>
    </row>
    <row r="484" spans="1:15" x14ac:dyDescent="0.25">
      <c r="A484">
        <v>668</v>
      </c>
      <c r="B484">
        <v>58212.035629999998</v>
      </c>
      <c r="C484">
        <v>0</v>
      </c>
      <c r="D484">
        <v>664039.70389999996</v>
      </c>
      <c r="E484">
        <v>0</v>
      </c>
      <c r="F484">
        <v>1396795.28</v>
      </c>
      <c r="G484">
        <v>6687.0163560000001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0</v>
      </c>
      <c r="M484" s="1">
        <f t="shared" si="31"/>
        <v>0</v>
      </c>
      <c r="N484" s="1">
        <f t="shared" si="32"/>
        <v>3861436.0644578207</v>
      </c>
      <c r="O484" s="1"/>
    </row>
    <row r="485" spans="1:15" x14ac:dyDescent="0.25">
      <c r="A485">
        <v>700</v>
      </c>
      <c r="B485">
        <v>8330.3015570000007</v>
      </c>
      <c r="C485">
        <v>0</v>
      </c>
      <c r="D485">
        <v>63716.938439999998</v>
      </c>
      <c r="E485">
        <v>0</v>
      </c>
      <c r="F485">
        <v>656567.8371</v>
      </c>
      <c r="G485" s="1">
        <v>-2.7900000000000001E-5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0</v>
      </c>
      <c r="M485" s="1">
        <f t="shared" si="31"/>
        <v>0</v>
      </c>
      <c r="N485" s="1">
        <f t="shared" si="32"/>
        <v>-3.9374574363814863E-2</v>
      </c>
      <c r="O485" s="1"/>
    </row>
    <row r="486" spans="1:15" x14ac:dyDescent="0.25">
      <c r="A486">
        <v>701</v>
      </c>
      <c r="B486">
        <v>3446.3236339999999</v>
      </c>
      <c r="C486">
        <v>0</v>
      </c>
      <c r="D486">
        <v>30224.029790000001</v>
      </c>
      <c r="E486">
        <v>0</v>
      </c>
      <c r="F486">
        <v>467385.46779999998</v>
      </c>
      <c r="G486" s="1">
        <v>-1.29E-5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0</v>
      </c>
      <c r="M486" s="1">
        <f t="shared" si="31"/>
        <v>0</v>
      </c>
      <c r="N486" s="1">
        <f t="shared" si="32"/>
        <v>-4.6842956311113099E-2</v>
      </c>
      <c r="O486" s="1"/>
    </row>
    <row r="487" spans="1:15" x14ac:dyDescent="0.25">
      <c r="A487">
        <v>702</v>
      </c>
      <c r="B487">
        <v>13560.35079</v>
      </c>
      <c r="C487">
        <v>0</v>
      </c>
      <c r="D487">
        <v>172019.2556</v>
      </c>
      <c r="E487">
        <v>0</v>
      </c>
      <c r="F487">
        <v>799764.56469999999</v>
      </c>
      <c r="G487" s="1">
        <v>-3.2100000000000001E-5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0</v>
      </c>
      <c r="M487" s="1">
        <f t="shared" si="31"/>
        <v>0</v>
      </c>
      <c r="N487" s="1">
        <f t="shared" si="32"/>
        <v>-0.14036099677912431</v>
      </c>
      <c r="O487" s="1"/>
    </row>
    <row r="488" spans="1:15" x14ac:dyDescent="0.25">
      <c r="A488">
        <v>703</v>
      </c>
      <c r="B488">
        <v>11459.47284</v>
      </c>
      <c r="C488">
        <v>0</v>
      </c>
      <c r="D488">
        <v>130732.89810000001</v>
      </c>
      <c r="E488">
        <v>0</v>
      </c>
      <c r="F488">
        <v>733438.21030000004</v>
      </c>
      <c r="G488" s="1">
        <v>4.7599999999999998E-5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</v>
      </c>
      <c r="M488" s="1">
        <f t="shared" si="31"/>
        <v>0</v>
      </c>
      <c r="N488" s="1">
        <f t="shared" si="32"/>
        <v>0.287502983432742</v>
      </c>
      <c r="O488" s="1"/>
    </row>
    <row r="489" spans="1:15" x14ac:dyDescent="0.25">
      <c r="A489">
        <v>704</v>
      </c>
      <c r="B489">
        <v>9695.1674669999993</v>
      </c>
      <c r="C489">
        <v>0</v>
      </c>
      <c r="D489">
        <v>95485.63046</v>
      </c>
      <c r="E489">
        <v>0</v>
      </c>
      <c r="F489">
        <v>718207.58649999998</v>
      </c>
      <c r="G489" s="1">
        <v>-4.2899999999999996E-6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0</v>
      </c>
      <c r="M489" s="1">
        <f t="shared" si="31"/>
        <v>0</v>
      </c>
      <c r="N489" s="1">
        <f t="shared" si="32"/>
        <v>-1.7701115842346505E-2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>
        <v>0</v>
      </c>
      <c r="F490">
        <v>1182686.344</v>
      </c>
      <c r="G490">
        <v>830.83361239999999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0</v>
      </c>
      <c r="M490" s="1">
        <f t="shared" si="31"/>
        <v>0</v>
      </c>
      <c r="N490" s="1">
        <f t="shared" si="32"/>
        <v>2459467.1575048077</v>
      </c>
      <c r="O490" s="1"/>
    </row>
    <row r="491" spans="1:15" x14ac:dyDescent="0.25">
      <c r="A491">
        <v>706</v>
      </c>
      <c r="B491">
        <v>54658.289069999999</v>
      </c>
      <c r="C491">
        <v>0</v>
      </c>
      <c r="D491">
        <v>618718.5416</v>
      </c>
      <c r="E491">
        <v>0</v>
      </c>
      <c r="F491">
        <v>1125994.219</v>
      </c>
      <c r="G491">
        <v>6687.0163009999997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0</v>
      </c>
      <c r="M491" s="1">
        <f t="shared" si="31"/>
        <v>0</v>
      </c>
      <c r="N491" s="1">
        <f t="shared" si="32"/>
        <v>22025152.850310855</v>
      </c>
      <c r="O491" s="1"/>
    </row>
    <row r="492" spans="1:15" x14ac:dyDescent="0.25">
      <c r="A492">
        <v>707</v>
      </c>
      <c r="B492">
        <v>29504.423640000001</v>
      </c>
      <c r="C492">
        <v>0</v>
      </c>
      <c r="D492">
        <v>538324.22710000002</v>
      </c>
      <c r="E492">
        <v>0</v>
      </c>
      <c r="F492">
        <v>1133504.2379999999</v>
      </c>
      <c r="G492">
        <v>830.83323940000002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0</v>
      </c>
      <c r="M492" s="1">
        <f t="shared" si="31"/>
        <v>0</v>
      </c>
      <c r="N492" s="1">
        <f t="shared" si="32"/>
        <v>2661637.2035056744</v>
      </c>
      <c r="O492" s="1"/>
    </row>
    <row r="493" spans="1:15" x14ac:dyDescent="0.25">
      <c r="A493">
        <v>710</v>
      </c>
      <c r="B493">
        <v>38506.50258</v>
      </c>
      <c r="C493">
        <v>0</v>
      </c>
      <c r="D493">
        <v>208977.67800000001</v>
      </c>
      <c r="E493">
        <v>0</v>
      </c>
      <c r="F493">
        <v>1155837.2819999999</v>
      </c>
      <c r="G493">
        <v>-2.4701999999999998E-4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0</v>
      </c>
      <c r="M493" s="1">
        <f t="shared" si="31"/>
        <v>0</v>
      </c>
      <c r="N493" s="1">
        <f t="shared" si="32"/>
        <v>-0.20604863286612163</v>
      </c>
      <c r="O493" s="1"/>
    </row>
    <row r="494" spans="1:15" x14ac:dyDescent="0.25">
      <c r="A494">
        <v>711</v>
      </c>
      <c r="B494">
        <v>61727.294580000002</v>
      </c>
      <c r="C494">
        <v>0</v>
      </c>
      <c r="D494">
        <v>719435.81050000002</v>
      </c>
      <c r="E494">
        <v>0</v>
      </c>
      <c r="F494">
        <v>1414763.8640000001</v>
      </c>
      <c r="G494">
        <v>7034.198265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0</v>
      </c>
      <c r="M494" s="1">
        <f t="shared" si="31"/>
        <v>0</v>
      </c>
      <c r="N494" s="1">
        <f t="shared" si="32"/>
        <v>7952855.7029611384</v>
      </c>
      <c r="O494" s="1"/>
    </row>
    <row r="495" spans="1:15" x14ac:dyDescent="0.25">
      <c r="A495">
        <v>712</v>
      </c>
      <c r="B495">
        <v>44955.68677</v>
      </c>
      <c r="C495">
        <v>0</v>
      </c>
      <c r="D495">
        <v>303729.89</v>
      </c>
      <c r="E495">
        <v>0</v>
      </c>
      <c r="F495">
        <v>1220735.7209999999</v>
      </c>
      <c r="G495">
        <v>-1.2394000000000001E-4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0</v>
      </c>
      <c r="M495" s="1">
        <f t="shared" si="31"/>
        <v>0</v>
      </c>
      <c r="N495" s="1">
        <f t="shared" si="32"/>
        <v>-0.11872483595083909</v>
      </c>
      <c r="O495" s="1"/>
    </row>
    <row r="496" spans="1:15" x14ac:dyDescent="0.25">
      <c r="A496">
        <v>713</v>
      </c>
      <c r="B496">
        <v>25325.915499999999</v>
      </c>
      <c r="C496">
        <v>0</v>
      </c>
      <c r="D496">
        <v>179082.48989999999</v>
      </c>
      <c r="E496">
        <v>0</v>
      </c>
      <c r="F496">
        <v>986783.28559999994</v>
      </c>
      <c r="G496" s="1">
        <v>2.44E-5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0</v>
      </c>
      <c r="M496" s="1">
        <f t="shared" si="31"/>
        <v>0</v>
      </c>
      <c r="N496" s="1">
        <f t="shared" si="32"/>
        <v>6.0327817074526328E-2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>
        <v>0</v>
      </c>
      <c r="F497">
        <v>796301.72459999996</v>
      </c>
      <c r="G497" s="1">
        <v>-9.5799999999999998E-6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0</v>
      </c>
      <c r="N497" s="1">
        <f t="shared" si="32"/>
        <v>-1.1125984171380101E-2</v>
      </c>
      <c r="O497" s="1"/>
    </row>
    <row r="498" spans="1:15" x14ac:dyDescent="0.25">
      <c r="A498">
        <v>715</v>
      </c>
      <c r="B498">
        <v>17729.659749999999</v>
      </c>
      <c r="C498">
        <v>0</v>
      </c>
      <c r="D498">
        <v>61653.925260000004</v>
      </c>
      <c r="E498">
        <v>0</v>
      </c>
      <c r="F498">
        <v>511907.77140000003</v>
      </c>
      <c r="G498" s="1">
        <v>3.82E-5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</v>
      </c>
      <c r="M498" s="1">
        <f t="shared" si="31"/>
        <v>0</v>
      </c>
      <c r="N498" s="1">
        <f t="shared" si="32"/>
        <v>0.15487724210200068</v>
      </c>
      <c r="O498" s="1"/>
    </row>
    <row r="499" spans="1:15" x14ac:dyDescent="0.25">
      <c r="A499">
        <v>716</v>
      </c>
      <c r="B499">
        <v>16584.69556</v>
      </c>
      <c r="C499">
        <v>0</v>
      </c>
      <c r="D499">
        <v>171493.98860000001</v>
      </c>
      <c r="E499">
        <v>0</v>
      </c>
      <c r="F499">
        <v>914289.54390000005</v>
      </c>
      <c r="G499" s="1">
        <v>-8.8799999999999997E-6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0</v>
      </c>
      <c r="M499" s="1">
        <f t="shared" si="31"/>
        <v>0</v>
      </c>
      <c r="N499" s="1">
        <f t="shared" si="32"/>
        <v>-2.2713840886980887E-2</v>
      </c>
      <c r="O499" s="1"/>
    </row>
    <row r="500" spans="1:15" x14ac:dyDescent="0.25">
      <c r="A500">
        <v>717</v>
      </c>
      <c r="B500">
        <v>10231.45579</v>
      </c>
      <c r="C500">
        <v>0</v>
      </c>
      <c r="D500">
        <v>46877.661549999997</v>
      </c>
      <c r="E500">
        <v>0</v>
      </c>
      <c r="F500">
        <v>247892.68969999999</v>
      </c>
      <c r="G500" s="1">
        <v>-4.6900000000000002E-5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0</v>
      </c>
      <c r="M500" s="1">
        <f t="shared" si="31"/>
        <v>0</v>
      </c>
      <c r="N500" s="1">
        <f t="shared" si="32"/>
        <v>-0.15344760091740661</v>
      </c>
      <c r="O500" s="1"/>
    </row>
    <row r="501" spans="1:15" x14ac:dyDescent="0.25">
      <c r="A501">
        <v>718</v>
      </c>
      <c r="B501">
        <v>30682.4195</v>
      </c>
      <c r="C501">
        <v>0</v>
      </c>
      <c r="D501">
        <v>403620.6655</v>
      </c>
      <c r="E501">
        <v>0</v>
      </c>
      <c r="F501">
        <v>1156202.5179999999</v>
      </c>
      <c r="G501">
        <v>1.3647E-4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0</v>
      </c>
      <c r="M501" s="1">
        <f t="shared" si="31"/>
        <v>0</v>
      </c>
      <c r="N501" s="1">
        <f t="shared" si="32"/>
        <v>0.41446927653129323</v>
      </c>
      <c r="O501" s="1"/>
    </row>
    <row r="502" spans="1:15" x14ac:dyDescent="0.25">
      <c r="A502">
        <v>719</v>
      </c>
      <c r="B502">
        <v>233001.28570000001</v>
      </c>
      <c r="C502">
        <v>0</v>
      </c>
      <c r="D502">
        <v>843943.79909999995</v>
      </c>
      <c r="E502">
        <v>0</v>
      </c>
      <c r="F502">
        <v>1478434.932</v>
      </c>
      <c r="G502">
        <v>2909.2684829999998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0</v>
      </c>
      <c r="M502" s="1">
        <f t="shared" si="31"/>
        <v>0</v>
      </c>
      <c r="N502" s="1">
        <f t="shared" si="32"/>
        <v>2452775.6591333738</v>
      </c>
      <c r="O502" s="1"/>
    </row>
    <row r="503" spans="1:15" x14ac:dyDescent="0.25">
      <c r="A503">
        <v>720</v>
      </c>
      <c r="B503">
        <v>35595.166590000001</v>
      </c>
      <c r="C503">
        <v>0</v>
      </c>
      <c r="D503">
        <v>559568.85930000001</v>
      </c>
      <c r="E503">
        <v>0</v>
      </c>
      <c r="F503">
        <v>1190381.48</v>
      </c>
      <c r="G503">
        <v>830.83317529999999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0</v>
      </c>
      <c r="M503" s="1">
        <f t="shared" si="31"/>
        <v>0</v>
      </c>
      <c r="N503" s="1">
        <f t="shared" si="32"/>
        <v>671680.77335748216</v>
      </c>
      <c r="O503" s="1"/>
    </row>
    <row r="504" spans="1:15" x14ac:dyDescent="0.25">
      <c r="A504">
        <v>723</v>
      </c>
      <c r="B504">
        <v>36384.605519999997</v>
      </c>
      <c r="C504">
        <v>0</v>
      </c>
      <c r="D504">
        <v>579893.08369999996</v>
      </c>
      <c r="E504">
        <v>0</v>
      </c>
      <c r="F504">
        <v>1094792.3230000001</v>
      </c>
      <c r="G504">
        <v>9440.6739699999998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0</v>
      </c>
      <c r="M504" s="1">
        <f t="shared" si="31"/>
        <v>0</v>
      </c>
      <c r="N504" s="1">
        <f t="shared" si="32"/>
        <v>20228042.477943022</v>
      </c>
      <c r="O504" s="1"/>
    </row>
    <row r="505" spans="1:15" x14ac:dyDescent="0.25">
      <c r="A505">
        <v>724</v>
      </c>
      <c r="B505">
        <v>12836.695970000001</v>
      </c>
      <c r="C505">
        <v>0</v>
      </c>
      <c r="D505">
        <v>459213.609</v>
      </c>
      <c r="E505">
        <v>0</v>
      </c>
      <c r="F505">
        <v>919138.26280000003</v>
      </c>
      <c r="G505">
        <v>1342.641633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0</v>
      </c>
      <c r="M505" s="1">
        <f t="shared" si="31"/>
        <v>0</v>
      </c>
      <c r="N505" s="1">
        <f t="shared" si="32"/>
        <v>1977250.6517887095</v>
      </c>
      <c r="O505" s="1"/>
    </row>
    <row r="506" spans="1:15" x14ac:dyDescent="0.25">
      <c r="A506">
        <v>725</v>
      </c>
      <c r="B506">
        <v>123856.0983</v>
      </c>
      <c r="C506">
        <v>0</v>
      </c>
      <c r="D506">
        <v>629308.99159999995</v>
      </c>
      <c r="E506">
        <v>0</v>
      </c>
      <c r="F506">
        <v>1113954.3810000001</v>
      </c>
      <c r="G506">
        <v>14796.73659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0</v>
      </c>
      <c r="M506" s="1">
        <f t="shared" si="31"/>
        <v>0</v>
      </c>
      <c r="N506" s="1">
        <f t="shared" si="32"/>
        <v>54783223.51396744</v>
      </c>
      <c r="O506" s="1"/>
    </row>
    <row r="507" spans="1:15" x14ac:dyDescent="0.25">
      <c r="A507">
        <v>726</v>
      </c>
      <c r="B507">
        <v>9338.9612359999992</v>
      </c>
      <c r="C507">
        <v>0</v>
      </c>
      <c r="D507">
        <v>335287.24680000002</v>
      </c>
      <c r="E507">
        <v>0</v>
      </c>
      <c r="F507">
        <v>819309.12410000002</v>
      </c>
      <c r="G507" s="1">
        <v>-3.4400000000000003E-5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0</v>
      </c>
      <c r="M507" s="1">
        <f t="shared" si="31"/>
        <v>0</v>
      </c>
      <c r="N507" s="1">
        <f t="shared" si="32"/>
        <v>-0.11346969897611929</v>
      </c>
      <c r="O507" s="1"/>
    </row>
    <row r="508" spans="1:15" x14ac:dyDescent="0.25">
      <c r="A508">
        <v>727</v>
      </c>
      <c r="B508">
        <v>12736.415360000001</v>
      </c>
      <c r="C508">
        <v>0</v>
      </c>
      <c r="D508">
        <v>432270.07030000002</v>
      </c>
      <c r="E508">
        <v>0</v>
      </c>
      <c r="F508">
        <v>880030.08790000004</v>
      </c>
      <c r="G508" s="1">
        <v>-8.8200000000000003E-6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0</v>
      </c>
      <c r="M508" s="1">
        <f t="shared" si="31"/>
        <v>0</v>
      </c>
      <c r="N508" s="1">
        <f t="shared" si="32"/>
        <v>-2.3721863592021216E-2</v>
      </c>
      <c r="O508" s="1"/>
    </row>
    <row r="509" spans="1:15" x14ac:dyDescent="0.25">
      <c r="A509">
        <v>728</v>
      </c>
      <c r="B509">
        <v>10960.74065</v>
      </c>
      <c r="C509">
        <v>0</v>
      </c>
      <c r="D509">
        <v>413801.50510000001</v>
      </c>
      <c r="E509">
        <v>0</v>
      </c>
      <c r="F509">
        <v>870999.06740000006</v>
      </c>
      <c r="G509" s="1">
        <v>-4.9799999999999998E-5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0</v>
      </c>
      <c r="M509" s="1">
        <f t="shared" si="31"/>
        <v>0</v>
      </c>
      <c r="N509" s="1">
        <f t="shared" si="32"/>
        <v>-0.18926918567290224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>
        <v>0</v>
      </c>
      <c r="F510">
        <v>941581.09640000004</v>
      </c>
      <c r="G510">
        <v>6687.01595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0</v>
      </c>
      <c r="N510" s="1">
        <f t="shared" si="32"/>
        <v>14819493.719438113</v>
      </c>
      <c r="O510" s="1"/>
    </row>
    <row r="511" spans="1:15" x14ac:dyDescent="0.25">
      <c r="A511">
        <v>732</v>
      </c>
      <c r="B511">
        <v>9750.1300100000008</v>
      </c>
      <c r="C511">
        <v>0</v>
      </c>
      <c r="D511">
        <v>340770.99550000002</v>
      </c>
      <c r="E511">
        <v>0</v>
      </c>
      <c r="F511">
        <v>806528.34299999999</v>
      </c>
      <c r="G511">
        <v>723.46586939999997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0</v>
      </c>
      <c r="M511" s="1">
        <f t="shared" si="31"/>
        <v>0</v>
      </c>
      <c r="N511" s="1">
        <f t="shared" si="32"/>
        <v>1765478.8474168142</v>
      </c>
      <c r="O511" s="1"/>
    </row>
    <row r="512" spans="1:15" x14ac:dyDescent="0.25">
      <c r="A512">
        <v>733</v>
      </c>
      <c r="B512">
        <v>60076.389109999996</v>
      </c>
      <c r="C512">
        <v>0</v>
      </c>
      <c r="D512">
        <v>600620.83459999994</v>
      </c>
      <c r="E512">
        <v>0</v>
      </c>
      <c r="F512">
        <v>1059884.294</v>
      </c>
      <c r="G512">
        <v>8853.2448559999993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0</v>
      </c>
      <c r="M512" s="1">
        <f t="shared" si="31"/>
        <v>0</v>
      </c>
      <c r="N512" s="1">
        <f t="shared" si="32"/>
        <v>24010997.185244162</v>
      </c>
      <c r="O512" s="1"/>
    </row>
    <row r="513" spans="1:15" x14ac:dyDescent="0.25">
      <c r="A513">
        <v>734</v>
      </c>
      <c r="B513">
        <v>96731.795029999994</v>
      </c>
      <c r="C513">
        <v>0</v>
      </c>
      <c r="D513">
        <v>642789.57620000001</v>
      </c>
      <c r="E513">
        <v>0</v>
      </c>
      <c r="F513">
        <v>1100479.395</v>
      </c>
      <c r="G513">
        <v>8471.8477650000004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0</v>
      </c>
      <c r="M513" s="1">
        <f t="shared" si="31"/>
        <v>0</v>
      </c>
      <c r="N513" s="1">
        <f t="shared" si="32"/>
        <v>28718975.268451829</v>
      </c>
      <c r="O513" s="1"/>
    </row>
    <row r="514" spans="1:15" x14ac:dyDescent="0.25">
      <c r="A514">
        <v>735</v>
      </c>
      <c r="B514">
        <v>19869.147120000001</v>
      </c>
      <c r="C514">
        <v>0</v>
      </c>
      <c r="D514">
        <v>360184.26179999998</v>
      </c>
      <c r="E514">
        <v>0</v>
      </c>
      <c r="F514">
        <v>888504.04229999997</v>
      </c>
      <c r="G514" s="1">
        <v>4.99E-5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</v>
      </c>
      <c r="M514" s="1">
        <f t="shared" si="31"/>
        <v>0</v>
      </c>
      <c r="N514" s="1">
        <f t="shared" si="32"/>
        <v>0.20696280990125737</v>
      </c>
      <c r="O514" s="1"/>
    </row>
    <row r="515" spans="1:15" x14ac:dyDescent="0.25">
      <c r="A515">
        <v>736</v>
      </c>
      <c r="B515">
        <v>527613.74470000004</v>
      </c>
      <c r="C515">
        <v>0</v>
      </c>
      <c r="D515">
        <v>973510.88419999997</v>
      </c>
      <c r="E515">
        <v>6687.0159999999996</v>
      </c>
      <c r="F515">
        <v>1494061.423</v>
      </c>
      <c r="G515">
        <v>8360.5279489999994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0</v>
      </c>
      <c r="M515" s="1">
        <f t="shared" ref="M515:M578" si="35">$U$3*$K515*E515</f>
        <v>2761804.5908620981</v>
      </c>
      <c r="N515" s="1">
        <f t="shared" ref="N515:N578" si="36">$U$4*$K515*G515</f>
        <v>1615615.3325257872</v>
      </c>
      <c r="O515" s="1"/>
    </row>
    <row r="516" spans="1:15" x14ac:dyDescent="0.25">
      <c r="A516">
        <v>737</v>
      </c>
      <c r="B516">
        <v>164880.4981</v>
      </c>
      <c r="C516">
        <v>0</v>
      </c>
      <c r="D516">
        <v>706906.34169999999</v>
      </c>
      <c r="E516">
        <v>0</v>
      </c>
      <c r="F516">
        <v>1161913.196</v>
      </c>
      <c r="G516">
        <v>8749.8905940000004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0</v>
      </c>
      <c r="M516" s="1">
        <f t="shared" si="35"/>
        <v>0</v>
      </c>
      <c r="N516" s="1">
        <f t="shared" si="36"/>
        <v>38746388.514833771</v>
      </c>
      <c r="O516" s="1"/>
    </row>
    <row r="517" spans="1:15" x14ac:dyDescent="0.25">
      <c r="A517">
        <v>738</v>
      </c>
      <c r="B517">
        <v>327384.52409999998</v>
      </c>
      <c r="C517">
        <v>0</v>
      </c>
      <c r="D517">
        <v>766954.16480000003</v>
      </c>
      <c r="E517">
        <v>0</v>
      </c>
      <c r="F517">
        <v>1296339.426</v>
      </c>
      <c r="G517">
        <v>9168.6165930000006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0</v>
      </c>
      <c r="M517" s="1">
        <f t="shared" si="35"/>
        <v>0</v>
      </c>
      <c r="N517" s="1">
        <f t="shared" si="36"/>
        <v>15575098.31902435</v>
      </c>
      <c r="O517" s="1"/>
    </row>
    <row r="518" spans="1:15" x14ac:dyDescent="0.25">
      <c r="A518">
        <v>739</v>
      </c>
      <c r="B518">
        <v>104718.4164</v>
      </c>
      <c r="C518">
        <v>0</v>
      </c>
      <c r="D518">
        <v>688364.78870000003</v>
      </c>
      <c r="E518">
        <v>0</v>
      </c>
      <c r="F518">
        <v>1285517.7239999999</v>
      </c>
      <c r="G518">
        <v>6687.0163320000001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</v>
      </c>
      <c r="M518" s="1">
        <f t="shared" si="35"/>
        <v>0</v>
      </c>
      <c r="N518" s="1">
        <f t="shared" si="36"/>
        <v>4900947.0288300281</v>
      </c>
      <c r="O518" s="1"/>
    </row>
    <row r="519" spans="1:15" x14ac:dyDescent="0.25">
      <c r="A519">
        <v>740</v>
      </c>
      <c r="B519">
        <v>59704.7189</v>
      </c>
      <c r="C519">
        <v>0</v>
      </c>
      <c r="D519">
        <v>675324.30310000002</v>
      </c>
      <c r="E519">
        <v>0</v>
      </c>
      <c r="F519">
        <v>1314005.852</v>
      </c>
      <c r="G519">
        <v>6687.0160939999996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0</v>
      </c>
      <c r="M519" s="1">
        <f t="shared" si="35"/>
        <v>0</v>
      </c>
      <c r="N519" s="1">
        <f t="shared" si="36"/>
        <v>3608864.4181083157</v>
      </c>
      <c r="O519" s="1"/>
    </row>
    <row r="520" spans="1:15" x14ac:dyDescent="0.25">
      <c r="A520">
        <v>741</v>
      </c>
      <c r="B520">
        <v>137649.59950000001</v>
      </c>
      <c r="C520">
        <v>0</v>
      </c>
      <c r="D520">
        <v>758052.65540000005</v>
      </c>
      <c r="E520">
        <v>0</v>
      </c>
      <c r="F520">
        <v>1369110.0449999999</v>
      </c>
      <c r="G520">
        <v>8535.4553419999993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0</v>
      </c>
      <c r="M520" s="1">
        <f t="shared" si="35"/>
        <v>0</v>
      </c>
      <c r="N520" s="1">
        <f t="shared" si="36"/>
        <v>5860169.4589597546</v>
      </c>
      <c r="O520" s="1"/>
    </row>
    <row r="521" spans="1:15" x14ac:dyDescent="0.25">
      <c r="A521">
        <v>742</v>
      </c>
      <c r="B521">
        <v>136749.69459999999</v>
      </c>
      <c r="C521">
        <v>0</v>
      </c>
      <c r="D521">
        <v>760184.36360000004</v>
      </c>
      <c r="E521">
        <v>0</v>
      </c>
      <c r="F521">
        <v>1372938.9569999999</v>
      </c>
      <c r="G521">
        <v>8535.4552750000003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0</v>
      </c>
      <c r="M521" s="1">
        <f t="shared" si="35"/>
        <v>0</v>
      </c>
      <c r="N521" s="1">
        <f t="shared" si="36"/>
        <v>5881741.7984086769</v>
      </c>
      <c r="O521" s="1"/>
    </row>
    <row r="522" spans="1:15" x14ac:dyDescent="0.25">
      <c r="A522">
        <v>743</v>
      </c>
      <c r="B522">
        <v>21123.377649999999</v>
      </c>
      <c r="C522">
        <v>0</v>
      </c>
      <c r="D522">
        <v>505841.22570000001</v>
      </c>
      <c r="E522">
        <v>0</v>
      </c>
      <c r="F522">
        <v>1017598.987</v>
      </c>
      <c r="G522">
        <v>9386.3727039999994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0</v>
      </c>
      <c r="M522" s="1">
        <f t="shared" si="35"/>
        <v>0</v>
      </c>
      <c r="N522" s="1">
        <f t="shared" si="36"/>
        <v>16466367.071915025</v>
      </c>
      <c r="O522" s="1"/>
    </row>
    <row r="523" spans="1:15" x14ac:dyDescent="0.25">
      <c r="A523">
        <v>744</v>
      </c>
      <c r="B523">
        <v>202444.2567</v>
      </c>
      <c r="C523">
        <v>0</v>
      </c>
      <c r="D523">
        <v>742707.62789999996</v>
      </c>
      <c r="E523">
        <v>0</v>
      </c>
      <c r="F523">
        <v>1203552.3219999999</v>
      </c>
      <c r="G523">
        <v>8860.6985569999997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0</v>
      </c>
      <c r="M523" s="1">
        <f t="shared" si="35"/>
        <v>0</v>
      </c>
      <c r="N523" s="1">
        <f t="shared" si="36"/>
        <v>20282988.492750987</v>
      </c>
      <c r="O523" s="1"/>
    </row>
    <row r="524" spans="1:15" x14ac:dyDescent="0.25">
      <c r="A524">
        <v>745</v>
      </c>
      <c r="B524">
        <v>49689.949919999999</v>
      </c>
      <c r="C524">
        <v>0</v>
      </c>
      <c r="D524">
        <v>529637.23959999997</v>
      </c>
      <c r="E524">
        <v>0</v>
      </c>
      <c r="F524">
        <v>959678.84439999994</v>
      </c>
      <c r="G524">
        <v>7835.1851489999999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0</v>
      </c>
      <c r="M524" s="1">
        <f t="shared" si="35"/>
        <v>0</v>
      </c>
      <c r="N524" s="1">
        <f t="shared" si="36"/>
        <v>6548926.8984505888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>
        <v>0</v>
      </c>
      <c r="F525">
        <v>428586.30359999998</v>
      </c>
      <c r="G525" s="1">
        <v>2.2799999999999999E-5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0</v>
      </c>
      <c r="N525" s="1">
        <f t="shared" si="36"/>
        <v>2.0794600775126522E-2</v>
      </c>
      <c r="O525" s="1"/>
    </row>
    <row r="526" spans="1:15" x14ac:dyDescent="0.25">
      <c r="A526">
        <v>801</v>
      </c>
      <c r="B526">
        <v>10011.517400000001</v>
      </c>
      <c r="C526">
        <v>0</v>
      </c>
      <c r="D526">
        <v>506488.41570000001</v>
      </c>
      <c r="E526">
        <v>0</v>
      </c>
      <c r="F526">
        <v>890066.26139999996</v>
      </c>
      <c r="G526">
        <v>7517.3951770000003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0</v>
      </c>
      <c r="M526" s="1">
        <f t="shared" si="35"/>
        <v>0</v>
      </c>
      <c r="N526" s="1">
        <f t="shared" si="36"/>
        <v>22032191.4747261</v>
      </c>
      <c r="O526" s="1"/>
    </row>
    <row r="527" spans="1:15" x14ac:dyDescent="0.25">
      <c r="A527">
        <v>802</v>
      </c>
      <c r="B527">
        <v>44413.053189999999</v>
      </c>
      <c r="C527">
        <v>0</v>
      </c>
      <c r="D527">
        <v>557138.28810000001</v>
      </c>
      <c r="E527">
        <v>0</v>
      </c>
      <c r="F527">
        <v>992475.56449999998</v>
      </c>
      <c r="G527">
        <v>9367.7756389999995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0</v>
      </c>
      <c r="M527" s="1">
        <f t="shared" si="35"/>
        <v>0</v>
      </c>
      <c r="N527" s="1">
        <f t="shared" si="36"/>
        <v>11690452.90178635</v>
      </c>
      <c r="O527" s="1"/>
    </row>
    <row r="528" spans="1:15" x14ac:dyDescent="0.25">
      <c r="A528">
        <v>803</v>
      </c>
      <c r="B528">
        <v>11687.333350000001</v>
      </c>
      <c r="C528">
        <v>0</v>
      </c>
      <c r="D528">
        <v>548387.43570000003</v>
      </c>
      <c r="E528">
        <v>0</v>
      </c>
      <c r="F528">
        <v>946680.06319999998</v>
      </c>
      <c r="G528">
        <v>7004.8059489999996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0</v>
      </c>
      <c r="M528" s="1">
        <f t="shared" si="35"/>
        <v>0</v>
      </c>
      <c r="N528" s="1">
        <f t="shared" si="36"/>
        <v>8141972.970621964</v>
      </c>
      <c r="O528" s="1"/>
    </row>
    <row r="529" spans="1:15" x14ac:dyDescent="0.25">
      <c r="A529">
        <v>804</v>
      </c>
      <c r="B529">
        <v>206007.8714</v>
      </c>
      <c r="C529">
        <v>0</v>
      </c>
      <c r="D529">
        <v>663782.93119999999</v>
      </c>
      <c r="E529">
        <v>0</v>
      </c>
      <c r="F529">
        <v>1101459.385</v>
      </c>
      <c r="G529">
        <v>14272.692080000001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0</v>
      </c>
      <c r="M529" s="1">
        <f t="shared" si="35"/>
        <v>0</v>
      </c>
      <c r="N529" s="1">
        <f t="shared" si="36"/>
        <v>24890925.214322601</v>
      </c>
      <c r="O529" s="1"/>
    </row>
    <row r="530" spans="1:15" x14ac:dyDescent="0.25">
      <c r="A530">
        <v>805</v>
      </c>
      <c r="B530">
        <v>18919.337360000001</v>
      </c>
      <c r="C530">
        <v>0</v>
      </c>
      <c r="D530">
        <v>488229.261</v>
      </c>
      <c r="E530">
        <v>0</v>
      </c>
      <c r="F530">
        <v>850004.07279999997</v>
      </c>
      <c r="G530">
        <v>6687.0159860000003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0</v>
      </c>
      <c r="M530" s="1">
        <f t="shared" si="35"/>
        <v>0</v>
      </c>
      <c r="N530" s="1">
        <f t="shared" si="36"/>
        <v>10013214.280330112</v>
      </c>
      <c r="O530" s="1"/>
    </row>
    <row r="531" spans="1:15" x14ac:dyDescent="0.25">
      <c r="A531">
        <v>806</v>
      </c>
      <c r="B531">
        <v>24284.550329999998</v>
      </c>
      <c r="C531">
        <v>0</v>
      </c>
      <c r="D531">
        <v>564537.66709999996</v>
      </c>
      <c r="E531">
        <v>0</v>
      </c>
      <c r="F531">
        <v>974089.47149999999</v>
      </c>
      <c r="G531">
        <v>8535.4551250000004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0</v>
      </c>
      <c r="M531" s="1">
        <f t="shared" si="35"/>
        <v>0</v>
      </c>
      <c r="N531" s="1">
        <f t="shared" si="36"/>
        <v>10721618.134956818</v>
      </c>
      <c r="O531" s="1"/>
    </row>
    <row r="532" spans="1:15" x14ac:dyDescent="0.25">
      <c r="A532">
        <v>807</v>
      </c>
      <c r="B532">
        <v>387054.18469999998</v>
      </c>
      <c r="C532">
        <v>0</v>
      </c>
      <c r="D532">
        <v>762026.59909999999</v>
      </c>
      <c r="E532">
        <v>830.83360000000005</v>
      </c>
      <c r="F532">
        <v>1270614.585</v>
      </c>
      <c r="G532">
        <v>9463.5634129999999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0</v>
      </c>
      <c r="M532" s="1">
        <f t="shared" si="35"/>
        <v>1956451.7772640407</v>
      </c>
      <c r="N532" s="1">
        <f t="shared" si="36"/>
        <v>10426858.284747902</v>
      </c>
      <c r="O532" s="1"/>
    </row>
    <row r="533" spans="1:15" x14ac:dyDescent="0.25">
      <c r="A533">
        <v>808</v>
      </c>
      <c r="B533">
        <v>270232.13260000001</v>
      </c>
      <c r="C533">
        <v>0</v>
      </c>
      <c r="D533">
        <v>696350.03390000004</v>
      </c>
      <c r="E533">
        <v>0</v>
      </c>
      <c r="F533">
        <v>1193933.8729999999</v>
      </c>
      <c r="G533">
        <v>8784.6404089999996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0</v>
      </c>
      <c r="M533" s="1">
        <f t="shared" si="35"/>
        <v>0</v>
      </c>
      <c r="N533" s="1">
        <f t="shared" si="36"/>
        <v>3963876.1302403263</v>
      </c>
      <c r="O533" s="1"/>
    </row>
    <row r="534" spans="1:15" x14ac:dyDescent="0.25">
      <c r="A534">
        <v>812</v>
      </c>
      <c r="B534">
        <v>67269.361120000001</v>
      </c>
      <c r="C534">
        <v>0</v>
      </c>
      <c r="D534">
        <v>543548.98340000003</v>
      </c>
      <c r="E534">
        <v>0</v>
      </c>
      <c r="F534">
        <v>947210.98380000005</v>
      </c>
      <c r="G534">
        <v>8535.4551350000002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0</v>
      </c>
      <c r="M534" s="1">
        <f t="shared" si="35"/>
        <v>0</v>
      </c>
      <c r="N534" s="1">
        <f t="shared" si="36"/>
        <v>22268364.224956453</v>
      </c>
      <c r="O534" s="1"/>
    </row>
    <row r="535" spans="1:15" x14ac:dyDescent="0.25">
      <c r="A535">
        <v>813</v>
      </c>
      <c r="B535">
        <v>66916.768939999994</v>
      </c>
      <c r="C535">
        <v>0</v>
      </c>
      <c r="D535">
        <v>534861.18570000003</v>
      </c>
      <c r="E535">
        <v>0</v>
      </c>
      <c r="F535">
        <v>890907.67879999999</v>
      </c>
      <c r="G535">
        <v>7537.9334010000002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0</v>
      </c>
      <c r="M535" s="1">
        <f t="shared" si="35"/>
        <v>0</v>
      </c>
      <c r="N535" s="1">
        <f t="shared" si="36"/>
        <v>23087788.788942866</v>
      </c>
      <c r="O535" s="1"/>
    </row>
    <row r="536" spans="1:15" x14ac:dyDescent="0.25">
      <c r="A536">
        <v>814</v>
      </c>
      <c r="B536">
        <v>48221.89748</v>
      </c>
      <c r="C536">
        <v>0</v>
      </c>
      <c r="D536">
        <v>491428.41830000002</v>
      </c>
      <c r="E536">
        <v>0</v>
      </c>
      <c r="F536">
        <v>824462.60309999995</v>
      </c>
      <c r="G536">
        <v>830.83354359999998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0</v>
      </c>
      <c r="M536" s="1">
        <f t="shared" si="35"/>
        <v>0</v>
      </c>
      <c r="N536" s="1">
        <f t="shared" si="36"/>
        <v>2217743.4458906041</v>
      </c>
      <c r="O536" s="1"/>
    </row>
    <row r="537" spans="1:15" x14ac:dyDescent="0.25">
      <c r="A537">
        <v>815</v>
      </c>
      <c r="B537">
        <v>28302.54594</v>
      </c>
      <c r="C537">
        <v>0</v>
      </c>
      <c r="D537">
        <v>464595.00089999998</v>
      </c>
      <c r="E537">
        <v>0</v>
      </c>
      <c r="F537">
        <v>765344.65289999999</v>
      </c>
      <c r="G537" s="1">
        <v>2.3799999999999999E-5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0</v>
      </c>
      <c r="M537" s="1">
        <f t="shared" si="35"/>
        <v>0</v>
      </c>
      <c r="N537" s="1">
        <f t="shared" si="36"/>
        <v>3.4500744987269828E-2</v>
      </c>
      <c r="O537" s="1"/>
    </row>
    <row r="538" spans="1:15" x14ac:dyDescent="0.25">
      <c r="A538">
        <v>816</v>
      </c>
      <c r="B538">
        <v>55523.49267</v>
      </c>
      <c r="C538">
        <v>0</v>
      </c>
      <c r="D538">
        <v>542196.21959999995</v>
      </c>
      <c r="E538">
        <v>0</v>
      </c>
      <c r="F538">
        <v>934704.92079999996</v>
      </c>
      <c r="G538">
        <v>830.83363159999999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0</v>
      </c>
      <c r="M538" s="1">
        <f t="shared" si="35"/>
        <v>0</v>
      </c>
      <c r="N538" s="1">
        <f t="shared" si="36"/>
        <v>1505320.6932410807</v>
      </c>
      <c r="O538" s="1"/>
    </row>
    <row r="539" spans="1:15" x14ac:dyDescent="0.25">
      <c r="A539">
        <v>817</v>
      </c>
      <c r="B539">
        <v>74550.887390000004</v>
      </c>
      <c r="C539">
        <v>0</v>
      </c>
      <c r="D539">
        <v>560852.57490000001</v>
      </c>
      <c r="E539">
        <v>0</v>
      </c>
      <c r="F539">
        <v>968497.2635</v>
      </c>
      <c r="G539">
        <v>830.83356119999996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0</v>
      </c>
      <c r="M539" s="1">
        <f t="shared" si="35"/>
        <v>0</v>
      </c>
      <c r="N539" s="1">
        <f t="shared" si="36"/>
        <v>894766.99187718029</v>
      </c>
      <c r="O539" s="1"/>
    </row>
    <row r="540" spans="1:15" x14ac:dyDescent="0.25">
      <c r="A540">
        <v>818</v>
      </c>
      <c r="B540">
        <v>69928.525129999995</v>
      </c>
      <c r="C540">
        <v>0</v>
      </c>
      <c r="D540">
        <v>489725.35460000002</v>
      </c>
      <c r="E540">
        <v>0</v>
      </c>
      <c r="F540">
        <v>865398.9693</v>
      </c>
      <c r="G540">
        <v>6687.0160299999998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0</v>
      </c>
      <c r="M540" s="1">
        <f t="shared" si="35"/>
        <v>0</v>
      </c>
      <c r="N540" s="1">
        <f t="shared" si="36"/>
        <v>14915009.858239027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>
        <v>0</v>
      </c>
      <c r="F541">
        <v>950898.42379999999</v>
      </c>
      <c r="G541">
        <v>2997.0626790000001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0</v>
      </c>
      <c r="M541" s="1">
        <f t="shared" si="35"/>
        <v>0</v>
      </c>
      <c r="N541" s="1">
        <f t="shared" si="36"/>
        <v>5592169.6407968141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>
        <v>0</v>
      </c>
      <c r="F542">
        <v>939738.55390000006</v>
      </c>
      <c r="G542">
        <v>1764.747777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0</v>
      </c>
      <c r="M542" s="1">
        <f t="shared" si="35"/>
        <v>0</v>
      </c>
      <c r="N542" s="1">
        <f t="shared" si="36"/>
        <v>4833870.4622116201</v>
      </c>
      <c r="O542" s="1"/>
    </row>
    <row r="543" spans="1:15" x14ac:dyDescent="0.25">
      <c r="A543">
        <v>821</v>
      </c>
      <c r="B543">
        <v>36934.174120000003</v>
      </c>
      <c r="C543">
        <v>0</v>
      </c>
      <c r="D543">
        <v>565422.48479999998</v>
      </c>
      <c r="E543">
        <v>0</v>
      </c>
      <c r="F543">
        <v>992707.06449999998</v>
      </c>
      <c r="G543">
        <v>830.83359900000005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0</v>
      </c>
      <c r="M543" s="1">
        <f t="shared" si="35"/>
        <v>0</v>
      </c>
      <c r="N543" s="1">
        <f t="shared" si="36"/>
        <v>2703187.7562901354</v>
      </c>
      <c r="O543" s="1"/>
    </row>
    <row r="544" spans="1:15" x14ac:dyDescent="0.25">
      <c r="A544">
        <v>824</v>
      </c>
      <c r="B544">
        <v>275614.56390000001</v>
      </c>
      <c r="C544">
        <v>0</v>
      </c>
      <c r="D544">
        <v>711584.32310000004</v>
      </c>
      <c r="E544">
        <v>830.83360000000005</v>
      </c>
      <c r="F544">
        <v>1172868.523</v>
      </c>
      <c r="G544">
        <v>9463.5639730000003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0</v>
      </c>
      <c r="M544" s="1">
        <f t="shared" si="35"/>
        <v>2307321.9118586672</v>
      </c>
      <c r="N544" s="1">
        <f t="shared" si="36"/>
        <v>12296812.165496089</v>
      </c>
      <c r="O544" s="1"/>
    </row>
    <row r="545" spans="1:15" x14ac:dyDescent="0.25">
      <c r="A545">
        <v>825</v>
      </c>
      <c r="B545">
        <v>282809.29830000002</v>
      </c>
      <c r="C545">
        <v>0</v>
      </c>
      <c r="D545">
        <v>726990.39569999999</v>
      </c>
      <c r="E545">
        <v>830.83360000000005</v>
      </c>
      <c r="F545">
        <v>1189934.2879999999</v>
      </c>
      <c r="G545">
        <v>9463.5632879999994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0</v>
      </c>
      <c r="M545" s="1">
        <f t="shared" si="35"/>
        <v>2047471.3968132087</v>
      </c>
      <c r="N545" s="1">
        <f t="shared" si="36"/>
        <v>10911944.808839293</v>
      </c>
      <c r="O545" s="1"/>
    </row>
    <row r="546" spans="1:15" x14ac:dyDescent="0.25">
      <c r="A546">
        <v>826</v>
      </c>
      <c r="B546">
        <v>439768.94699999999</v>
      </c>
      <c r="C546">
        <v>0</v>
      </c>
      <c r="D546">
        <v>839954.20750000002</v>
      </c>
      <c r="E546">
        <v>8029.2033000000001</v>
      </c>
      <c r="F546">
        <v>1302781.389</v>
      </c>
      <c r="G546">
        <v>7865.9374369999996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0</v>
      </c>
      <c r="M546" s="1">
        <f t="shared" si="35"/>
        <v>27759455.655918736</v>
      </c>
      <c r="N546" s="1">
        <f t="shared" si="36"/>
        <v>12724263.591890341</v>
      </c>
      <c r="O546" s="1"/>
    </row>
    <row r="547" spans="1:15" x14ac:dyDescent="0.25">
      <c r="A547">
        <v>827</v>
      </c>
      <c r="B547">
        <v>384295.02720000001</v>
      </c>
      <c r="C547">
        <v>0</v>
      </c>
      <c r="D547">
        <v>771764.36120000004</v>
      </c>
      <c r="E547">
        <v>0</v>
      </c>
      <c r="F547">
        <v>1281372.4620000001</v>
      </c>
      <c r="G547">
        <v>10322.948909999999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0</v>
      </c>
      <c r="M547" s="1">
        <f t="shared" si="35"/>
        <v>0</v>
      </c>
      <c r="N547" s="1">
        <f t="shared" si="36"/>
        <v>2714597.6799387215</v>
      </c>
      <c r="O547" s="1"/>
    </row>
    <row r="548" spans="1:15" x14ac:dyDescent="0.25">
      <c r="A548">
        <v>828</v>
      </c>
      <c r="B548">
        <v>509968.62050000002</v>
      </c>
      <c r="C548">
        <v>0</v>
      </c>
      <c r="D548">
        <v>946018.53989999997</v>
      </c>
      <c r="E548">
        <v>6687.0159999999996</v>
      </c>
      <c r="F548">
        <v>1408322.97</v>
      </c>
      <c r="G548">
        <v>7650.2149689999997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0</v>
      </c>
      <c r="M548" s="1">
        <f t="shared" si="35"/>
        <v>5927861.882242077</v>
      </c>
      <c r="N548" s="1">
        <f t="shared" si="36"/>
        <v>3173094.6792739234</v>
      </c>
      <c r="O548" s="1"/>
    </row>
    <row r="549" spans="1:15" x14ac:dyDescent="0.25">
      <c r="A549">
        <v>829</v>
      </c>
      <c r="B549">
        <v>10935.07163</v>
      </c>
      <c r="C549">
        <v>0</v>
      </c>
      <c r="D549">
        <v>395610.9608</v>
      </c>
      <c r="E549">
        <v>0</v>
      </c>
      <c r="F549">
        <v>774910.73129999998</v>
      </c>
      <c r="G549">
        <v>830.83356579999997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0</v>
      </c>
      <c r="M549" s="1">
        <f t="shared" si="35"/>
        <v>0</v>
      </c>
      <c r="N549" s="1">
        <f t="shared" si="36"/>
        <v>2748990.0439970284</v>
      </c>
      <c r="O549" s="1"/>
    </row>
    <row r="550" spans="1:15" x14ac:dyDescent="0.25">
      <c r="A550">
        <v>830</v>
      </c>
      <c r="B550">
        <v>11038.609619999999</v>
      </c>
      <c r="C550">
        <v>0</v>
      </c>
      <c r="D550">
        <v>465255.15139999997</v>
      </c>
      <c r="E550">
        <v>0</v>
      </c>
      <c r="F550">
        <v>886091.98490000004</v>
      </c>
      <c r="G550">
        <v>8555.5389279999999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0</v>
      </c>
      <c r="M550" s="1">
        <f t="shared" si="35"/>
        <v>0</v>
      </c>
      <c r="N550" s="1">
        <f t="shared" si="36"/>
        <v>11648867.459108518</v>
      </c>
      <c r="O550" s="1"/>
    </row>
    <row r="551" spans="1:15" x14ac:dyDescent="0.25">
      <c r="A551">
        <v>831</v>
      </c>
      <c r="B551">
        <v>357179.94919999997</v>
      </c>
      <c r="C551">
        <v>0</v>
      </c>
      <c r="D551">
        <v>781191.27930000005</v>
      </c>
      <c r="E551">
        <v>6687.0159999999996</v>
      </c>
      <c r="F551">
        <v>1227997.4469999999</v>
      </c>
      <c r="G551">
        <v>10507.36298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0</v>
      </c>
      <c r="M551" s="1">
        <f t="shared" si="35"/>
        <v>26605421.072122861</v>
      </c>
      <c r="N551" s="1">
        <f t="shared" si="36"/>
        <v>19560285.430349629</v>
      </c>
      <c r="O551" s="1"/>
    </row>
    <row r="552" spans="1:15" x14ac:dyDescent="0.25">
      <c r="A552">
        <v>832</v>
      </c>
      <c r="B552">
        <v>199618.22039999999</v>
      </c>
      <c r="C552">
        <v>0</v>
      </c>
      <c r="D552">
        <v>645232.32550000004</v>
      </c>
      <c r="E552">
        <v>0</v>
      </c>
      <c r="F552">
        <v>1077406.531</v>
      </c>
      <c r="G552">
        <v>7771.8119850000003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0</v>
      </c>
      <c r="M552" s="1">
        <f t="shared" si="35"/>
        <v>0</v>
      </c>
      <c r="N552" s="1">
        <f t="shared" si="36"/>
        <v>3843882.0006357003</v>
      </c>
      <c r="O552" s="1"/>
    </row>
    <row r="553" spans="1:15" x14ac:dyDescent="0.25">
      <c r="A553">
        <v>833</v>
      </c>
      <c r="B553">
        <v>103592.7975</v>
      </c>
      <c r="C553">
        <v>0</v>
      </c>
      <c r="D553">
        <v>571484.60190000001</v>
      </c>
      <c r="E553">
        <v>0</v>
      </c>
      <c r="F553">
        <v>977630.06909999996</v>
      </c>
      <c r="G553">
        <v>8296.1531180000002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0</v>
      </c>
      <c r="M553" s="1">
        <f t="shared" si="35"/>
        <v>0</v>
      </c>
      <c r="N553" s="1">
        <f t="shared" si="36"/>
        <v>16994170.889485124</v>
      </c>
      <c r="O553" s="1"/>
    </row>
    <row r="554" spans="1:15" x14ac:dyDescent="0.25">
      <c r="A554">
        <v>834</v>
      </c>
      <c r="B554">
        <v>63069.551800000001</v>
      </c>
      <c r="C554">
        <v>0</v>
      </c>
      <c r="D554">
        <v>568798.6764</v>
      </c>
      <c r="E554">
        <v>0</v>
      </c>
      <c r="F554">
        <v>971616.03079999995</v>
      </c>
      <c r="G554">
        <v>6874.2423209999997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0</v>
      </c>
      <c r="M554" s="1">
        <f t="shared" si="35"/>
        <v>0</v>
      </c>
      <c r="N554" s="1">
        <f t="shared" si="36"/>
        <v>19472838.816535532</v>
      </c>
      <c r="O554" s="1"/>
    </row>
    <row r="555" spans="1:15" x14ac:dyDescent="0.25">
      <c r="A555">
        <v>835</v>
      </c>
      <c r="B555">
        <v>89477.869160000002</v>
      </c>
      <c r="C555">
        <v>0</v>
      </c>
      <c r="D555">
        <v>552964.49809999997</v>
      </c>
      <c r="E555">
        <v>0</v>
      </c>
      <c r="F555">
        <v>921653.97140000004</v>
      </c>
      <c r="G555">
        <v>8535.4550870000003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0</v>
      </c>
      <c r="M555" s="1">
        <f t="shared" si="35"/>
        <v>0</v>
      </c>
      <c r="N555" s="1">
        <f t="shared" si="36"/>
        <v>7014934.1597044254</v>
      </c>
      <c r="O555" s="1"/>
    </row>
    <row r="556" spans="1:15" x14ac:dyDescent="0.25">
      <c r="A556">
        <v>836</v>
      </c>
      <c r="B556">
        <v>518818.85230000003</v>
      </c>
      <c r="C556">
        <v>0</v>
      </c>
      <c r="D556">
        <v>979112.55900000001</v>
      </c>
      <c r="E556">
        <v>8662.2674999999999</v>
      </c>
      <c r="F556">
        <v>1414478.6910000001</v>
      </c>
      <c r="G556">
        <v>677.20149600000002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0</v>
      </c>
      <c r="M556" s="1">
        <f t="shared" si="35"/>
        <v>3573765.0875766808</v>
      </c>
      <c r="N556" s="1">
        <f t="shared" si="36"/>
        <v>130724.20151683166</v>
      </c>
      <c r="O556" s="1"/>
    </row>
    <row r="557" spans="1:15" x14ac:dyDescent="0.25">
      <c r="A557">
        <v>837</v>
      </c>
      <c r="B557">
        <v>321856.37209999998</v>
      </c>
      <c r="C557">
        <v>0</v>
      </c>
      <c r="D557">
        <v>748248.54429999995</v>
      </c>
      <c r="E557">
        <v>6687.0159999999996</v>
      </c>
      <c r="F557">
        <v>1178496.3529999999</v>
      </c>
      <c r="G557">
        <v>10507.363009999999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0</v>
      </c>
      <c r="M557" s="1">
        <f t="shared" si="35"/>
        <v>9685337.1444418859</v>
      </c>
      <c r="N557" s="1">
        <f t="shared" si="36"/>
        <v>7120652.5565518942</v>
      </c>
      <c r="O557" s="1"/>
    </row>
    <row r="558" spans="1:15" x14ac:dyDescent="0.25">
      <c r="A558">
        <v>894</v>
      </c>
      <c r="B558">
        <v>51928.881329999997</v>
      </c>
      <c r="C558">
        <v>0</v>
      </c>
      <c r="D558">
        <v>705302.03130000003</v>
      </c>
      <c r="E558">
        <v>0</v>
      </c>
      <c r="F558">
        <v>1377564.1869999999</v>
      </c>
      <c r="G558">
        <v>2679.2722520000002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0</v>
      </c>
      <c r="M558" s="1">
        <f t="shared" si="35"/>
        <v>0</v>
      </c>
      <c r="N558" s="1">
        <f t="shared" si="36"/>
        <v>997003.85719179932</v>
      </c>
      <c r="O558" s="1"/>
    </row>
    <row r="559" spans="1:15" x14ac:dyDescent="0.25">
      <c r="A559">
        <v>895</v>
      </c>
      <c r="B559">
        <v>145127.78599999999</v>
      </c>
      <c r="C559">
        <v>0</v>
      </c>
      <c r="D559">
        <v>857636.65709999995</v>
      </c>
      <c r="E559">
        <v>0</v>
      </c>
      <c r="F559">
        <v>1467284.923</v>
      </c>
      <c r="G559">
        <v>1764.7473950000001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0</v>
      </c>
      <c r="M559" s="1">
        <f t="shared" si="35"/>
        <v>0</v>
      </c>
      <c r="N559" s="1">
        <f t="shared" si="36"/>
        <v>948649.95959659852</v>
      </c>
      <c r="O559" s="1"/>
    </row>
    <row r="560" spans="1:15" x14ac:dyDescent="0.25">
      <c r="A560">
        <v>896</v>
      </c>
      <c r="B560">
        <v>176718.43460000001</v>
      </c>
      <c r="C560">
        <v>0</v>
      </c>
      <c r="D560">
        <v>952114.31940000004</v>
      </c>
      <c r="E560">
        <v>0</v>
      </c>
      <c r="F560">
        <v>1531125.3060000001</v>
      </c>
      <c r="G560">
        <v>6594.8318200000003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0</v>
      </c>
      <c r="M560" s="1">
        <f t="shared" si="35"/>
        <v>0</v>
      </c>
      <c r="N560" s="1">
        <f t="shared" si="36"/>
        <v>2348891.5251752837</v>
      </c>
      <c r="O560" s="1"/>
    </row>
    <row r="561" spans="1:15" x14ac:dyDescent="0.25">
      <c r="A561">
        <v>897</v>
      </c>
      <c r="B561">
        <v>23169.80687</v>
      </c>
      <c r="C561">
        <v>0</v>
      </c>
      <c r="D561">
        <v>300402.0147</v>
      </c>
      <c r="E561">
        <v>0</v>
      </c>
      <c r="F561">
        <v>982613.30339999998</v>
      </c>
      <c r="G561" s="1">
        <v>-4.4199999999999997E-5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0</v>
      </c>
      <c r="M561" s="1">
        <f t="shared" si="35"/>
        <v>0</v>
      </c>
      <c r="N561" s="1">
        <f t="shared" si="36"/>
        <v>-7.9271537280559259E-2</v>
      </c>
      <c r="O561" s="1"/>
    </row>
    <row r="562" spans="1:15" x14ac:dyDescent="0.25">
      <c r="A562">
        <v>898</v>
      </c>
      <c r="B562">
        <v>41809.860119999998</v>
      </c>
      <c r="C562">
        <v>0</v>
      </c>
      <c r="D562">
        <v>591808.18949999998</v>
      </c>
      <c r="E562">
        <v>0</v>
      </c>
      <c r="F562">
        <v>1170011.639</v>
      </c>
      <c r="G562">
        <v>1979.0028259999999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0</v>
      </c>
      <c r="M562" s="1">
        <f t="shared" si="35"/>
        <v>0</v>
      </c>
      <c r="N562" s="1">
        <f t="shared" si="36"/>
        <v>2401456.0418629637</v>
      </c>
      <c r="O562" s="1"/>
    </row>
    <row r="563" spans="1:15" x14ac:dyDescent="0.25">
      <c r="A563">
        <v>899</v>
      </c>
      <c r="B563">
        <v>12857.48746</v>
      </c>
      <c r="C563">
        <v>0</v>
      </c>
      <c r="D563">
        <v>174504.90150000001</v>
      </c>
      <c r="E563">
        <v>0</v>
      </c>
      <c r="F563">
        <v>910148.93819999998</v>
      </c>
      <c r="G563">
        <v>723.46584710000002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0</v>
      </c>
      <c r="M563" s="1">
        <f t="shared" si="35"/>
        <v>0</v>
      </c>
      <c r="N563" s="1">
        <f t="shared" si="36"/>
        <v>1456783.4789042145</v>
      </c>
      <c r="O563" s="1"/>
    </row>
    <row r="564" spans="1:15" x14ac:dyDescent="0.25">
      <c r="A564">
        <v>900</v>
      </c>
      <c r="B564">
        <v>27785.457729999998</v>
      </c>
      <c r="C564">
        <v>0</v>
      </c>
      <c r="D564">
        <v>390847.68280000001</v>
      </c>
      <c r="E564">
        <v>0</v>
      </c>
      <c r="F564">
        <v>921892.33779999998</v>
      </c>
      <c r="G564" s="1">
        <v>3.2100000000000001E-5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0</v>
      </c>
      <c r="M564" s="1">
        <f t="shared" si="35"/>
        <v>0</v>
      </c>
      <c r="N564" s="1">
        <f t="shared" si="36"/>
        <v>8.000432610070185E-2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>
        <v>0</v>
      </c>
      <c r="F565">
        <v>1013672.794</v>
      </c>
      <c r="G565">
        <v>1.6742999999999999E-4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0</v>
      </c>
      <c r="M565" s="1">
        <f t="shared" si="35"/>
        <v>0</v>
      </c>
      <c r="N565" s="1">
        <f t="shared" si="36"/>
        <v>0.25591994823026754</v>
      </c>
      <c r="O565" s="1"/>
    </row>
    <row r="566" spans="1:15" x14ac:dyDescent="0.25">
      <c r="A566">
        <v>902</v>
      </c>
      <c r="B566">
        <v>26317.490300000001</v>
      </c>
      <c r="C566">
        <v>0</v>
      </c>
      <c r="D566">
        <v>413901.30820000003</v>
      </c>
      <c r="E566">
        <v>0</v>
      </c>
      <c r="F566">
        <v>1030705.001</v>
      </c>
      <c r="G566">
        <v>6687.0164359999999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0</v>
      </c>
      <c r="M566" s="1">
        <f t="shared" si="35"/>
        <v>0</v>
      </c>
      <c r="N566" s="1">
        <f t="shared" si="36"/>
        <v>16390294.381752022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>
        <v>0</v>
      </c>
      <c r="F567">
        <v>1031875.76</v>
      </c>
      <c r="G567">
        <v>2.4237E-4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0</v>
      </c>
      <c r="M567" s="1">
        <f t="shared" si="35"/>
        <v>0</v>
      </c>
      <c r="N567" s="1">
        <f t="shared" si="36"/>
        <v>0.37120619637920182</v>
      </c>
      <c r="O567" s="1"/>
    </row>
    <row r="568" spans="1:15" x14ac:dyDescent="0.25">
      <c r="A568">
        <v>904</v>
      </c>
      <c r="B568">
        <v>83543.235440000004</v>
      </c>
      <c r="C568">
        <v>0</v>
      </c>
      <c r="D568">
        <v>802869.48160000006</v>
      </c>
      <c r="E568">
        <v>0</v>
      </c>
      <c r="F568">
        <v>1337769.4569999999</v>
      </c>
      <c r="G568">
        <v>5088.041749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0</v>
      </c>
      <c r="M568" s="1">
        <f t="shared" si="35"/>
        <v>0</v>
      </c>
      <c r="N568" s="1">
        <f t="shared" si="36"/>
        <v>5332823.2434344338</v>
      </c>
      <c r="O568" s="1"/>
    </row>
    <row r="569" spans="1:15" x14ac:dyDescent="0.25">
      <c r="A569">
        <v>905</v>
      </c>
      <c r="B569">
        <v>17920.701150000001</v>
      </c>
      <c r="C569">
        <v>0</v>
      </c>
      <c r="D569">
        <v>166631.2083</v>
      </c>
      <c r="E569">
        <v>0</v>
      </c>
      <c r="F569">
        <v>938368.72149999999</v>
      </c>
      <c r="G569" s="1">
        <v>1.33E-5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0</v>
      </c>
      <c r="M569" s="1">
        <f t="shared" si="35"/>
        <v>0</v>
      </c>
      <c r="N569" s="1">
        <f t="shared" si="36"/>
        <v>3.4488963481729265E-2</v>
      </c>
      <c r="O569" s="1"/>
    </row>
    <row r="570" spans="1:15" x14ac:dyDescent="0.25">
      <c r="A570">
        <v>906</v>
      </c>
      <c r="B570">
        <v>20968.1374</v>
      </c>
      <c r="C570">
        <v>0</v>
      </c>
      <c r="D570">
        <v>200650.47080000001</v>
      </c>
      <c r="E570">
        <v>0</v>
      </c>
      <c r="F570">
        <v>948332.64099999995</v>
      </c>
      <c r="G570">
        <v>6940.3854970000002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0</v>
      </c>
      <c r="M570" s="1">
        <f t="shared" si="35"/>
        <v>0</v>
      </c>
      <c r="N570" s="1">
        <f t="shared" si="36"/>
        <v>18805383.466992088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>
        <v>0</v>
      </c>
      <c r="F571">
        <v>847171.78570000001</v>
      </c>
      <c r="G571" s="1">
        <v>-2.87E-5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0</v>
      </c>
      <c r="M571" s="1">
        <f t="shared" si="35"/>
        <v>0</v>
      </c>
      <c r="N571" s="1">
        <f t="shared" si="36"/>
        <v>-8.9328001545924962E-2</v>
      </c>
      <c r="O571" s="1"/>
    </row>
    <row r="572" spans="1:15" x14ac:dyDescent="0.25">
      <c r="A572">
        <v>910</v>
      </c>
      <c r="B572">
        <v>114709.05379999999</v>
      </c>
      <c r="C572">
        <v>0</v>
      </c>
      <c r="D572">
        <v>781465.2439</v>
      </c>
      <c r="E572">
        <v>0</v>
      </c>
      <c r="F572">
        <v>1404221.4480000001</v>
      </c>
      <c r="G572">
        <v>8535.4555079999991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</v>
      </c>
      <c r="M572" s="1">
        <f t="shared" si="35"/>
        <v>0</v>
      </c>
      <c r="N572" s="1">
        <f t="shared" si="36"/>
        <v>15409539.664009519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>
        <v>0</v>
      </c>
      <c r="F573">
        <v>1085209.325</v>
      </c>
      <c r="G573">
        <v>830.8334615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0</v>
      </c>
      <c r="M573" s="1">
        <f t="shared" si="35"/>
        <v>0</v>
      </c>
      <c r="N573" s="1">
        <f t="shared" si="36"/>
        <v>2405282.2648136183</v>
      </c>
      <c r="O573" s="1"/>
    </row>
    <row r="574" spans="1:15" x14ac:dyDescent="0.25">
      <c r="A574">
        <v>912</v>
      </c>
      <c r="B574">
        <v>23326.955580000002</v>
      </c>
      <c r="C574">
        <v>0</v>
      </c>
      <c r="D574">
        <v>447675.0527</v>
      </c>
      <c r="E574">
        <v>0</v>
      </c>
      <c r="F574">
        <v>951361.49140000006</v>
      </c>
      <c r="G574" s="1">
        <v>-1.42E-5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0</v>
      </c>
      <c r="M574" s="1">
        <f t="shared" si="35"/>
        <v>0</v>
      </c>
      <c r="N574" s="1">
        <f t="shared" si="36"/>
        <v>-2.9711786431775883E-2</v>
      </c>
      <c r="O574" s="1"/>
    </row>
    <row r="575" spans="1:15" x14ac:dyDescent="0.25">
      <c r="A575">
        <v>913</v>
      </c>
      <c r="B575">
        <v>196519.514</v>
      </c>
      <c r="C575">
        <v>0</v>
      </c>
      <c r="D575">
        <v>907269.33</v>
      </c>
      <c r="E575">
        <v>0</v>
      </c>
      <c r="F575">
        <v>1503592.9110000001</v>
      </c>
      <c r="G575">
        <v>1891.2081760000001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0</v>
      </c>
      <c r="M575" s="1">
        <f t="shared" si="35"/>
        <v>0</v>
      </c>
      <c r="N575" s="1">
        <f t="shared" si="36"/>
        <v>830040.59667383274</v>
      </c>
      <c r="O575" s="1"/>
    </row>
    <row r="576" spans="1:15" x14ac:dyDescent="0.25">
      <c r="A576">
        <v>914</v>
      </c>
      <c r="B576">
        <v>29271.68993</v>
      </c>
      <c r="C576">
        <v>0</v>
      </c>
      <c r="D576">
        <v>514215.85230000003</v>
      </c>
      <c r="E576">
        <v>0</v>
      </c>
      <c r="F576">
        <v>1078164.527</v>
      </c>
      <c r="G576">
        <v>3.0150000000000001E-4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0</v>
      </c>
      <c r="M576" s="1">
        <f t="shared" si="35"/>
        <v>0</v>
      </c>
      <c r="N576" s="1">
        <f t="shared" si="36"/>
        <v>0.49974946762863653</v>
      </c>
      <c r="O576" s="1"/>
    </row>
    <row r="577" spans="1:15" x14ac:dyDescent="0.25">
      <c r="A577">
        <v>915</v>
      </c>
      <c r="B577">
        <v>99848.960269999996</v>
      </c>
      <c r="C577">
        <v>0</v>
      </c>
      <c r="D577">
        <v>808533.88439999998</v>
      </c>
      <c r="E577">
        <v>0</v>
      </c>
      <c r="F577">
        <v>1437621.0390000001</v>
      </c>
      <c r="G577">
        <v>1764.7472869999999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0</v>
      </c>
      <c r="M577" s="1">
        <f t="shared" si="35"/>
        <v>0</v>
      </c>
      <c r="N577" s="1">
        <f t="shared" si="36"/>
        <v>1124487.382185126</v>
      </c>
      <c r="O577" s="1"/>
    </row>
    <row r="578" spans="1:15" x14ac:dyDescent="0.25">
      <c r="A578">
        <v>916</v>
      </c>
      <c r="B578">
        <v>29655.646420000001</v>
      </c>
      <c r="C578">
        <v>0</v>
      </c>
      <c r="D578">
        <v>453141.84330000001</v>
      </c>
      <c r="E578">
        <v>0</v>
      </c>
      <c r="F578">
        <v>1086950.43</v>
      </c>
      <c r="G578">
        <v>1681.7505619999999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0</v>
      </c>
      <c r="M578" s="1">
        <f t="shared" si="35"/>
        <v>0</v>
      </c>
      <c r="N578" s="1">
        <f t="shared" si="36"/>
        <v>2850877.6656407849</v>
      </c>
      <c r="O578" s="1"/>
    </row>
    <row r="579" spans="1:15" x14ac:dyDescent="0.25">
      <c r="A579">
        <v>917</v>
      </c>
      <c r="B579">
        <v>64347.450060000003</v>
      </c>
      <c r="C579">
        <v>0</v>
      </c>
      <c r="D579">
        <v>767406.18550000002</v>
      </c>
      <c r="E579">
        <v>0</v>
      </c>
      <c r="F579">
        <v>1381109.7949999999</v>
      </c>
      <c r="G579">
        <v>3715.4163010000002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0</v>
      </c>
      <c r="M579" s="1">
        <f t="shared" ref="M579:M642" si="39">$U$3*$K579*E579</f>
        <v>0</v>
      </c>
      <c r="N579" s="1">
        <f t="shared" ref="N579:N642" si="40">$U$4*$K579*G579</f>
        <v>4743385.2448352613</v>
      </c>
      <c r="O579" s="1"/>
    </row>
    <row r="580" spans="1:15" x14ac:dyDescent="0.25">
      <c r="A580">
        <v>918</v>
      </c>
      <c r="B580">
        <v>40422.176809999997</v>
      </c>
      <c r="C580">
        <v>0</v>
      </c>
      <c r="D580">
        <v>609807.63710000005</v>
      </c>
      <c r="E580">
        <v>0</v>
      </c>
      <c r="F580">
        <v>1238590.6000000001</v>
      </c>
      <c r="G580">
        <v>6687.0157470000004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0</v>
      </c>
      <c r="M580" s="1">
        <f t="shared" si="39"/>
        <v>0</v>
      </c>
      <c r="N580" s="1">
        <f t="shared" si="40"/>
        <v>4614730.949795437</v>
      </c>
      <c r="O580" s="1"/>
    </row>
    <row r="581" spans="1:15" x14ac:dyDescent="0.25">
      <c r="A581">
        <v>919</v>
      </c>
      <c r="B581">
        <v>28514.249469999999</v>
      </c>
      <c r="C581">
        <v>0</v>
      </c>
      <c r="D581">
        <v>409162.00719999999</v>
      </c>
      <c r="E581">
        <v>0</v>
      </c>
      <c r="F581">
        <v>1064059.0930000001</v>
      </c>
      <c r="G581">
        <v>1681.7509700000001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0</v>
      </c>
      <c r="M581" s="1">
        <f t="shared" si="39"/>
        <v>0</v>
      </c>
      <c r="N581" s="1">
        <f t="shared" si="40"/>
        <v>1871763.1727220146</v>
      </c>
      <c r="O581" s="1"/>
    </row>
    <row r="582" spans="1:15" x14ac:dyDescent="0.25">
      <c r="A582">
        <v>920</v>
      </c>
      <c r="B582">
        <v>30809.144489999999</v>
      </c>
      <c r="C582">
        <v>0</v>
      </c>
      <c r="D582">
        <v>499685.68420000002</v>
      </c>
      <c r="E582">
        <v>0</v>
      </c>
      <c r="F582">
        <v>1131263.098</v>
      </c>
      <c r="G582">
        <v>6940.3851070000001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0</v>
      </c>
      <c r="M582" s="1">
        <f t="shared" si="39"/>
        <v>0</v>
      </c>
      <c r="N582" s="1">
        <f t="shared" si="40"/>
        <v>14896165.109212829</v>
      </c>
      <c r="O582" s="1"/>
    </row>
    <row r="583" spans="1:15" x14ac:dyDescent="0.25">
      <c r="A583">
        <v>921</v>
      </c>
      <c r="B583">
        <v>46915.628530000002</v>
      </c>
      <c r="C583">
        <v>0</v>
      </c>
      <c r="D583">
        <v>711641.15410000004</v>
      </c>
      <c r="E583">
        <v>0</v>
      </c>
      <c r="F583">
        <v>1302510.075</v>
      </c>
      <c r="G583">
        <v>1848.8938800000001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0</v>
      </c>
      <c r="M583" s="1">
        <f t="shared" si="39"/>
        <v>0</v>
      </c>
      <c r="N583" s="1">
        <f t="shared" si="40"/>
        <v>4117702.1788525362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>
        <v>0</v>
      </c>
      <c r="F584">
        <v>1125036.0109999999</v>
      </c>
      <c r="G584">
        <v>4.8281000000000002E-4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0</v>
      </c>
      <c r="M584" s="1">
        <f t="shared" si="39"/>
        <v>0</v>
      </c>
      <c r="N584" s="1">
        <f t="shared" si="40"/>
        <v>0.99690155977073236</v>
      </c>
      <c r="O584" s="1"/>
    </row>
    <row r="585" spans="1:15" x14ac:dyDescent="0.25">
      <c r="A585">
        <v>924</v>
      </c>
      <c r="B585">
        <v>32575.109820000001</v>
      </c>
      <c r="C585">
        <v>0</v>
      </c>
      <c r="D585">
        <v>477987.04389999999</v>
      </c>
      <c r="E585">
        <v>0</v>
      </c>
      <c r="F585">
        <v>1053112.8759999999</v>
      </c>
      <c r="G585">
        <v>7864.5783419999998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0</v>
      </c>
      <c r="M585" s="1">
        <f t="shared" si="39"/>
        <v>0</v>
      </c>
      <c r="N585" s="1">
        <f t="shared" si="40"/>
        <v>5670825.1816514963</v>
      </c>
      <c r="O585" s="1"/>
    </row>
    <row r="586" spans="1:15" x14ac:dyDescent="0.25">
      <c r="A586">
        <v>925</v>
      </c>
      <c r="B586">
        <v>12529.0658</v>
      </c>
      <c r="C586">
        <v>0</v>
      </c>
      <c r="D586">
        <v>86046.128110000005</v>
      </c>
      <c r="E586">
        <v>0</v>
      </c>
      <c r="F586">
        <v>801252.99280000001</v>
      </c>
      <c r="G586" s="1">
        <v>2.1800000000000001E-5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0</v>
      </c>
      <c r="M586" s="1">
        <f t="shared" si="39"/>
        <v>0</v>
      </c>
      <c r="N586" s="1">
        <f t="shared" si="40"/>
        <v>0.10762040404174454</v>
      </c>
      <c r="O586" s="1"/>
    </row>
    <row r="587" spans="1:15" x14ac:dyDescent="0.25">
      <c r="A587">
        <v>926</v>
      </c>
      <c r="B587">
        <v>15021.284970000001</v>
      </c>
      <c r="C587">
        <v>0</v>
      </c>
      <c r="D587">
        <v>112625.564</v>
      </c>
      <c r="E587">
        <v>0</v>
      </c>
      <c r="F587">
        <v>856359.63780000003</v>
      </c>
      <c r="G587" s="1">
        <v>1.3400000000000001E-6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0</v>
      </c>
      <c r="M587" s="1">
        <f t="shared" si="39"/>
        <v>0</v>
      </c>
      <c r="N587" s="1">
        <f t="shared" si="40"/>
        <v>3.2462518381836301E-3</v>
      </c>
      <c r="O587" s="1"/>
    </row>
    <row r="588" spans="1:15" x14ac:dyDescent="0.25">
      <c r="A588">
        <v>927</v>
      </c>
      <c r="B588">
        <v>24950.530879999998</v>
      </c>
      <c r="C588">
        <v>0</v>
      </c>
      <c r="D588">
        <v>396106.84659999999</v>
      </c>
      <c r="E588">
        <v>0</v>
      </c>
      <c r="F588">
        <v>988816.93350000004</v>
      </c>
      <c r="G588">
        <v>6687.0159569999996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0</v>
      </c>
      <c r="M588" s="1">
        <f t="shared" si="39"/>
        <v>0</v>
      </c>
      <c r="N588" s="1">
        <f t="shared" si="40"/>
        <v>8783796.8623276446</v>
      </c>
      <c r="O588" s="1"/>
    </row>
    <row r="589" spans="1:15" x14ac:dyDescent="0.25">
      <c r="A589">
        <v>928</v>
      </c>
      <c r="B589">
        <v>11503.207689999999</v>
      </c>
      <c r="C589">
        <v>0</v>
      </c>
      <c r="D589">
        <v>332586.44339999999</v>
      </c>
      <c r="E589">
        <v>0</v>
      </c>
      <c r="F589">
        <v>955232.77919999999</v>
      </c>
      <c r="G589">
        <v>830.8335515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0</v>
      </c>
      <c r="M589" s="1">
        <f t="shared" si="39"/>
        <v>0</v>
      </c>
      <c r="N589" s="1">
        <f t="shared" si="40"/>
        <v>1837213.3207805036</v>
      </c>
      <c r="O589" s="1"/>
    </row>
    <row r="590" spans="1:15" x14ac:dyDescent="0.25">
      <c r="A590">
        <v>931</v>
      </c>
      <c r="B590">
        <v>26392.8796</v>
      </c>
      <c r="C590">
        <v>0</v>
      </c>
      <c r="D590">
        <v>171970.9933</v>
      </c>
      <c r="E590">
        <v>0</v>
      </c>
      <c r="F590">
        <v>953439.78480000002</v>
      </c>
      <c r="G590" s="1">
        <v>4.4400000000000002E-5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0</v>
      </c>
      <c r="M590" s="1">
        <f t="shared" si="39"/>
        <v>0</v>
      </c>
      <c r="N590" s="1">
        <f t="shared" si="40"/>
        <v>0.11796847237753022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>
        <v>0</v>
      </c>
      <c r="F591">
        <v>909519.73369999998</v>
      </c>
      <c r="G591" s="1">
        <v>2.6100000000000001E-5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0</v>
      </c>
      <c r="N591" s="1">
        <f t="shared" si="40"/>
        <v>9.6525453768869354E-2</v>
      </c>
      <c r="O591" s="1"/>
    </row>
    <row r="592" spans="1:15" x14ac:dyDescent="0.25">
      <c r="A592">
        <v>933</v>
      </c>
      <c r="B592">
        <v>25714.871719999999</v>
      </c>
      <c r="C592">
        <v>0</v>
      </c>
      <c r="D592">
        <v>162365.68489999999</v>
      </c>
      <c r="E592">
        <v>0</v>
      </c>
      <c r="F592">
        <v>968801.72580000001</v>
      </c>
      <c r="G592" s="1">
        <v>-4.3000000000000003E-6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0</v>
      </c>
      <c r="M592" s="1">
        <f t="shared" si="39"/>
        <v>0</v>
      </c>
      <c r="N592" s="1">
        <f t="shared" si="40"/>
        <v>-7.6419198659005514E-3</v>
      </c>
      <c r="O592" s="1"/>
    </row>
    <row r="593" spans="1:15" x14ac:dyDescent="0.25">
      <c r="A593">
        <v>934</v>
      </c>
      <c r="B593">
        <v>23296.070749999999</v>
      </c>
      <c r="C593">
        <v>0</v>
      </c>
      <c r="D593">
        <v>98402.988970000006</v>
      </c>
      <c r="E593">
        <v>0</v>
      </c>
      <c r="F593">
        <v>885476.05449999997</v>
      </c>
      <c r="G593" s="1">
        <v>4.2299999999999998E-5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0</v>
      </c>
      <c r="M593" s="1">
        <f t="shared" si="39"/>
        <v>0</v>
      </c>
      <c r="N593" s="1">
        <f t="shared" si="40"/>
        <v>0.11956052486379926</v>
      </c>
      <c r="O593" s="1"/>
    </row>
    <row r="594" spans="1:15" x14ac:dyDescent="0.25">
      <c r="A594">
        <v>935</v>
      </c>
      <c r="B594">
        <v>22919.660609999999</v>
      </c>
      <c r="C594">
        <v>0</v>
      </c>
      <c r="D594">
        <v>93269.491850000006</v>
      </c>
      <c r="E594">
        <v>0</v>
      </c>
      <c r="F594">
        <v>889589.70070000004</v>
      </c>
      <c r="G594" s="1">
        <v>-4.9400000000000001E-6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</v>
      </c>
      <c r="M594" s="1">
        <f t="shared" si="39"/>
        <v>0</v>
      </c>
      <c r="N594" s="1">
        <f t="shared" si="40"/>
        <v>-2.1952850141448488E-2</v>
      </c>
      <c r="O594" s="1"/>
    </row>
    <row r="595" spans="1:15" x14ac:dyDescent="0.25">
      <c r="A595">
        <v>936</v>
      </c>
      <c r="B595">
        <v>25618.95966</v>
      </c>
      <c r="C595">
        <v>0</v>
      </c>
      <c r="D595">
        <v>92543.582370000004</v>
      </c>
      <c r="E595">
        <v>0</v>
      </c>
      <c r="F595">
        <v>881063.02419999999</v>
      </c>
      <c r="G595" s="1">
        <v>3.0700000000000001E-5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0</v>
      </c>
      <c r="M595" s="1">
        <f t="shared" si="39"/>
        <v>0</v>
      </c>
      <c r="N595" s="1">
        <f t="shared" si="40"/>
        <v>0.14778134821589636</v>
      </c>
      <c r="O595" s="1"/>
    </row>
    <row r="596" spans="1:15" x14ac:dyDescent="0.25">
      <c r="A596">
        <v>939</v>
      </c>
      <c r="B596">
        <v>189359.4944</v>
      </c>
      <c r="C596">
        <v>0</v>
      </c>
      <c r="D596">
        <v>818556.12939999998</v>
      </c>
      <c r="E596">
        <v>0</v>
      </c>
      <c r="F596">
        <v>1311662.7080000001</v>
      </c>
      <c r="G596">
        <v>1235.430216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</v>
      </c>
      <c r="M596" s="1">
        <f t="shared" si="39"/>
        <v>0</v>
      </c>
      <c r="N596" s="1">
        <f t="shared" si="40"/>
        <v>3223104.3220498995</v>
      </c>
      <c r="O596" s="1"/>
    </row>
    <row r="597" spans="1:15" x14ac:dyDescent="0.25">
      <c r="A597">
        <v>940</v>
      </c>
      <c r="B597">
        <v>30557.731520000001</v>
      </c>
      <c r="C597">
        <v>0</v>
      </c>
      <c r="D597">
        <v>485873.73570000002</v>
      </c>
      <c r="E597">
        <v>0</v>
      </c>
      <c r="F597">
        <v>981646.17209999997</v>
      </c>
      <c r="G597">
        <v>830.83363020000002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0</v>
      </c>
      <c r="M597" s="1">
        <f t="shared" si="39"/>
        <v>0</v>
      </c>
      <c r="N597" s="1">
        <f t="shared" si="40"/>
        <v>1389291.2041049781</v>
      </c>
      <c r="O597" s="1"/>
    </row>
    <row r="598" spans="1:15" x14ac:dyDescent="0.25">
      <c r="A598">
        <v>941</v>
      </c>
      <c r="B598">
        <v>32064.006539999998</v>
      </c>
      <c r="C598">
        <v>0</v>
      </c>
      <c r="D598">
        <v>483219.22639999999</v>
      </c>
      <c r="E598">
        <v>0</v>
      </c>
      <c r="F598">
        <v>988115.28220000002</v>
      </c>
      <c r="G598">
        <v>830.83356690000005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0</v>
      </c>
      <c r="M598" s="1">
        <f t="shared" si="39"/>
        <v>0</v>
      </c>
      <c r="N598" s="1">
        <f t="shared" si="40"/>
        <v>1490947.9047250946</v>
      </c>
      <c r="O598" s="1"/>
    </row>
    <row r="599" spans="1:15" x14ac:dyDescent="0.25">
      <c r="A599">
        <v>942</v>
      </c>
      <c r="B599">
        <v>15466.043600000001</v>
      </c>
      <c r="C599">
        <v>0</v>
      </c>
      <c r="D599">
        <v>239318.22409999999</v>
      </c>
      <c r="E599">
        <v>0</v>
      </c>
      <c r="F599">
        <v>883248.21869999997</v>
      </c>
      <c r="G599">
        <v>6940.3855469999999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0</v>
      </c>
      <c r="M599" s="1">
        <f t="shared" si="39"/>
        <v>0</v>
      </c>
      <c r="N599" s="1">
        <f t="shared" si="40"/>
        <v>13287181.220880382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>
        <v>0</v>
      </c>
      <c r="F600">
        <v>860307.59069999994</v>
      </c>
      <c r="G600" s="1">
        <v>3.04E-5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0</v>
      </c>
      <c r="M600" s="1">
        <f t="shared" si="39"/>
        <v>0</v>
      </c>
      <c r="N600" s="1">
        <f t="shared" si="40"/>
        <v>5.4485206951656963E-2</v>
      </c>
      <c r="O600" s="1"/>
    </row>
    <row r="601" spans="1:15" x14ac:dyDescent="0.25">
      <c r="A601">
        <v>944</v>
      </c>
      <c r="B601">
        <v>24252.207149999998</v>
      </c>
      <c r="C601">
        <v>0</v>
      </c>
      <c r="D601">
        <v>554512.91949999996</v>
      </c>
      <c r="E601">
        <v>0</v>
      </c>
      <c r="F601">
        <v>997943.18559999997</v>
      </c>
      <c r="G601">
        <v>8553.5386749999998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0</v>
      </c>
      <c r="M601" s="1">
        <f t="shared" si="39"/>
        <v>0</v>
      </c>
      <c r="N601" s="1">
        <f t="shared" si="40"/>
        <v>15304127.926334258</v>
      </c>
      <c r="O601" s="1"/>
    </row>
    <row r="602" spans="1:15" x14ac:dyDescent="0.25">
      <c r="A602">
        <v>945</v>
      </c>
      <c r="B602">
        <v>28941.796880000002</v>
      </c>
      <c r="C602">
        <v>0</v>
      </c>
      <c r="D602">
        <v>529355.32160000002</v>
      </c>
      <c r="E602">
        <v>0</v>
      </c>
      <c r="F602">
        <v>994329.02309999999</v>
      </c>
      <c r="G602">
        <v>7964.7018129999997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0</v>
      </c>
      <c r="M602" s="1">
        <f t="shared" si="39"/>
        <v>0</v>
      </c>
      <c r="N602" s="1">
        <f t="shared" si="40"/>
        <v>9287460.4548535887</v>
      </c>
      <c r="O602" s="1"/>
    </row>
    <row r="603" spans="1:15" x14ac:dyDescent="0.25">
      <c r="A603">
        <v>946</v>
      </c>
      <c r="B603">
        <v>22446.759050000001</v>
      </c>
      <c r="C603">
        <v>0</v>
      </c>
      <c r="D603">
        <v>574668.86529999995</v>
      </c>
      <c r="E603">
        <v>0</v>
      </c>
      <c r="F603">
        <v>1008806.426</v>
      </c>
      <c r="G603">
        <v>8553.5388870000006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0</v>
      </c>
      <c r="M603" s="1">
        <f t="shared" si="39"/>
        <v>0</v>
      </c>
      <c r="N603" s="1">
        <f t="shared" si="40"/>
        <v>8693740.6755382158</v>
      </c>
      <c r="O603" s="1"/>
    </row>
    <row r="604" spans="1:15" x14ac:dyDescent="0.25">
      <c r="A604">
        <v>949</v>
      </c>
      <c r="B604">
        <v>13925.48949</v>
      </c>
      <c r="C604">
        <v>0</v>
      </c>
      <c r="D604">
        <v>410469.69939999998</v>
      </c>
      <c r="E604">
        <v>0</v>
      </c>
      <c r="F604">
        <v>827276.49080000003</v>
      </c>
      <c r="G604" s="1">
        <v>-5.49E-6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0</v>
      </c>
      <c r="M604" s="1">
        <f t="shared" si="39"/>
        <v>0</v>
      </c>
      <c r="N604" s="1">
        <f t="shared" si="40"/>
        <v>-1.8267385106116002E-2</v>
      </c>
      <c r="O604" s="1"/>
    </row>
    <row r="605" spans="1:15" x14ac:dyDescent="0.25">
      <c r="A605">
        <v>950</v>
      </c>
      <c r="B605">
        <v>86729.290500000003</v>
      </c>
      <c r="C605">
        <v>0</v>
      </c>
      <c r="D605">
        <v>670059.97569999995</v>
      </c>
      <c r="E605">
        <v>0</v>
      </c>
      <c r="F605">
        <v>1096811.7849999999</v>
      </c>
      <c r="G605">
        <v>8853.2451209999999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0</v>
      </c>
      <c r="M605" s="1">
        <f t="shared" si="39"/>
        <v>0</v>
      </c>
      <c r="N605" s="1">
        <f t="shared" si="40"/>
        <v>41979083.804917529</v>
      </c>
      <c r="O605" s="1"/>
    </row>
    <row r="606" spans="1:15" x14ac:dyDescent="0.25">
      <c r="A606">
        <v>951</v>
      </c>
      <c r="B606">
        <v>36406.379240000002</v>
      </c>
      <c r="C606">
        <v>0</v>
      </c>
      <c r="D606">
        <v>560365.92449999996</v>
      </c>
      <c r="E606">
        <v>0</v>
      </c>
      <c r="F606">
        <v>978930.29150000005</v>
      </c>
      <c r="G606">
        <v>6940.3855169999997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0</v>
      </c>
      <c r="M606" s="1">
        <f t="shared" si="39"/>
        <v>0</v>
      </c>
      <c r="N606" s="1">
        <f t="shared" si="40"/>
        <v>28176681.290430028</v>
      </c>
      <c r="O606" s="1"/>
    </row>
    <row r="607" spans="1:15" x14ac:dyDescent="0.25">
      <c r="A607">
        <v>952</v>
      </c>
      <c r="B607">
        <v>113352.9039</v>
      </c>
      <c r="C607">
        <v>0</v>
      </c>
      <c r="D607">
        <v>821006.4926</v>
      </c>
      <c r="E607">
        <v>723.46590000000003</v>
      </c>
      <c r="F607">
        <v>1295351.902</v>
      </c>
      <c r="G607">
        <v>2098.025494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0</v>
      </c>
      <c r="M607" s="1">
        <f t="shared" si="39"/>
        <v>2756811.9250501124</v>
      </c>
      <c r="N607" s="1">
        <f t="shared" si="40"/>
        <v>3740619.3168374272</v>
      </c>
      <c r="O607" s="1"/>
    </row>
    <row r="608" spans="1:15" x14ac:dyDescent="0.25">
      <c r="A608">
        <v>953</v>
      </c>
      <c r="B608">
        <v>124479.32889999999</v>
      </c>
      <c r="C608">
        <v>0</v>
      </c>
      <c r="D608">
        <v>832861.83570000005</v>
      </c>
      <c r="E608">
        <v>0</v>
      </c>
      <c r="F608">
        <v>1327212.416</v>
      </c>
      <c r="G608">
        <v>153.38510600000001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0</v>
      </c>
      <c r="M608" s="1">
        <f t="shared" si="39"/>
        <v>0</v>
      </c>
      <c r="N608" s="1">
        <f t="shared" si="40"/>
        <v>85851.93242987791</v>
      </c>
      <c r="O608" s="1"/>
    </row>
    <row r="609" spans="1:15" x14ac:dyDescent="0.25">
      <c r="A609">
        <v>954</v>
      </c>
      <c r="B609">
        <v>41311.490330000001</v>
      </c>
      <c r="C609">
        <v>0</v>
      </c>
      <c r="D609">
        <v>635736.66119999997</v>
      </c>
      <c r="E609">
        <v>0</v>
      </c>
      <c r="F609">
        <v>1127839.7009999999</v>
      </c>
      <c r="G609">
        <v>1848.438866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0</v>
      </c>
      <c r="M609" s="1">
        <f t="shared" si="39"/>
        <v>0</v>
      </c>
      <c r="N609" s="1">
        <f t="shared" si="40"/>
        <v>2343846.4499074719</v>
      </c>
      <c r="O609" s="1"/>
    </row>
    <row r="610" spans="1:15" x14ac:dyDescent="0.25">
      <c r="A610">
        <v>955</v>
      </c>
      <c r="B610">
        <v>22205.102139999999</v>
      </c>
      <c r="C610">
        <v>0</v>
      </c>
      <c r="D610">
        <v>334842.85330000002</v>
      </c>
      <c r="E610">
        <v>0</v>
      </c>
      <c r="F610">
        <v>973206.3689</v>
      </c>
      <c r="G610" s="1">
        <v>2.5700000000000001E-5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0</v>
      </c>
      <c r="M610" s="1">
        <f t="shared" si="39"/>
        <v>0</v>
      </c>
      <c r="N610" s="1">
        <f t="shared" si="40"/>
        <v>5.0083454354400959E-2</v>
      </c>
      <c r="O610" s="1"/>
    </row>
    <row r="611" spans="1:15" x14ac:dyDescent="0.25">
      <c r="A611">
        <v>958</v>
      </c>
      <c r="B611">
        <v>30960.744600000002</v>
      </c>
      <c r="C611">
        <v>0</v>
      </c>
      <c r="D611">
        <v>337385.59850000002</v>
      </c>
      <c r="E611">
        <v>0</v>
      </c>
      <c r="F611">
        <v>1059638.862</v>
      </c>
      <c r="G611">
        <v>723.46583029999999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0</v>
      </c>
      <c r="M611" s="1">
        <f t="shared" si="39"/>
        <v>0</v>
      </c>
      <c r="N611" s="1">
        <f t="shared" si="40"/>
        <v>3484452.7030413719</v>
      </c>
      <c r="O611" s="1"/>
    </row>
    <row r="612" spans="1:15" x14ac:dyDescent="0.25">
      <c r="A612">
        <v>959</v>
      </c>
      <c r="B612">
        <v>9915.8390120000004</v>
      </c>
      <c r="C612">
        <v>0</v>
      </c>
      <c r="D612">
        <v>37987.788939999999</v>
      </c>
      <c r="E612">
        <v>0</v>
      </c>
      <c r="F612">
        <v>260117.7616</v>
      </c>
      <c r="G612" s="1">
        <v>1.5099999999999999E-5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0</v>
      </c>
      <c r="M612" s="1">
        <f t="shared" si="39"/>
        <v>0</v>
      </c>
      <c r="N612" s="1">
        <f t="shared" si="40"/>
        <v>2.2684854413738041E-2</v>
      </c>
      <c r="O612" s="1"/>
    </row>
    <row r="613" spans="1:15" x14ac:dyDescent="0.25">
      <c r="A613">
        <v>960</v>
      </c>
      <c r="B613">
        <v>13768.20939</v>
      </c>
      <c r="C613">
        <v>0</v>
      </c>
      <c r="D613">
        <v>103004.26489999999</v>
      </c>
      <c r="E613">
        <v>0</v>
      </c>
      <c r="F613">
        <v>732007.78</v>
      </c>
      <c r="G613" s="1">
        <v>2.3300000000000001E-5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0</v>
      </c>
      <c r="M613" s="1">
        <f t="shared" si="39"/>
        <v>0</v>
      </c>
      <c r="N613" s="1">
        <f t="shared" si="40"/>
        <v>2.1996042551199812E-2</v>
      </c>
      <c r="O613" s="1"/>
    </row>
    <row r="614" spans="1:15" x14ac:dyDescent="0.25">
      <c r="A614">
        <v>961</v>
      </c>
      <c r="B614">
        <v>28828.62887</v>
      </c>
      <c r="C614">
        <v>0</v>
      </c>
      <c r="D614">
        <v>212322.53779999999</v>
      </c>
      <c r="E614">
        <v>0</v>
      </c>
      <c r="F614">
        <v>1035014.44</v>
      </c>
      <c r="G614">
        <v>2.1803999999999999E-4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0</v>
      </c>
      <c r="M614" s="1">
        <f t="shared" si="39"/>
        <v>0</v>
      </c>
      <c r="N614" s="1">
        <f t="shared" si="40"/>
        <v>0.79032353097639707</v>
      </c>
      <c r="O614" s="1"/>
    </row>
    <row r="615" spans="1:15" x14ac:dyDescent="0.25">
      <c r="A615">
        <v>962</v>
      </c>
      <c r="B615">
        <v>13431.31515</v>
      </c>
      <c r="C615">
        <v>0</v>
      </c>
      <c r="D615">
        <v>124561.98850000001</v>
      </c>
      <c r="E615">
        <v>0</v>
      </c>
      <c r="F615">
        <v>875961.70940000005</v>
      </c>
      <c r="G615" s="1">
        <v>7.3000000000000004E-6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0</v>
      </c>
      <c r="M615" s="1">
        <f t="shared" si="39"/>
        <v>0</v>
      </c>
      <c r="N615" s="1">
        <f t="shared" si="40"/>
        <v>8.2184459775324608E-3</v>
      </c>
      <c r="O615" s="1"/>
    </row>
    <row r="616" spans="1:15" x14ac:dyDescent="0.25">
      <c r="A616">
        <v>963</v>
      </c>
      <c r="B616">
        <v>59156.79148</v>
      </c>
      <c r="C616">
        <v>0</v>
      </c>
      <c r="D616">
        <v>619125.61410000001</v>
      </c>
      <c r="E616">
        <v>0</v>
      </c>
      <c r="F616">
        <v>1339829.706</v>
      </c>
      <c r="G616">
        <v>2997.0623399999999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0</v>
      </c>
      <c r="M616" s="1">
        <f t="shared" si="39"/>
        <v>0</v>
      </c>
      <c r="N616" s="1">
        <f t="shared" si="40"/>
        <v>1871653.2744802986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>
        <v>0</v>
      </c>
      <c r="F617">
        <v>1229459.7050000001</v>
      </c>
      <c r="G617">
        <v>830.83395910000002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0</v>
      </c>
      <c r="M617" s="1">
        <f t="shared" si="39"/>
        <v>0</v>
      </c>
      <c r="N617" s="1">
        <f t="shared" si="40"/>
        <v>1052705.4949183925</v>
      </c>
      <c r="O617" s="1"/>
    </row>
    <row r="618" spans="1:15" x14ac:dyDescent="0.25">
      <c r="A618">
        <v>965</v>
      </c>
      <c r="B618">
        <v>17946.223279999998</v>
      </c>
      <c r="C618">
        <v>0</v>
      </c>
      <c r="D618">
        <v>147829.48740000001</v>
      </c>
      <c r="E618">
        <v>0</v>
      </c>
      <c r="F618">
        <v>924957.81240000005</v>
      </c>
      <c r="G618" s="1">
        <v>7.5299999999999999E-6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0</v>
      </c>
      <c r="M618" s="1">
        <f t="shared" si="39"/>
        <v>0</v>
      </c>
      <c r="N618" s="1">
        <f t="shared" si="40"/>
        <v>1.4700792072061123E-2</v>
      </c>
      <c r="O618" s="1"/>
    </row>
    <row r="619" spans="1:15" x14ac:dyDescent="0.25">
      <c r="A619">
        <v>966</v>
      </c>
      <c r="B619">
        <v>26131.921320000001</v>
      </c>
      <c r="C619">
        <v>0</v>
      </c>
      <c r="D619">
        <v>188764.4045</v>
      </c>
      <c r="E619">
        <v>0</v>
      </c>
      <c r="F619">
        <v>1056219.1440000001</v>
      </c>
      <c r="G619" s="1">
        <v>1.03E-5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0</v>
      </c>
      <c r="M619" s="1">
        <f t="shared" si="39"/>
        <v>0</v>
      </c>
      <c r="N619" s="1">
        <f t="shared" si="40"/>
        <v>2.3459396544417602E-2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>
        <v>0</v>
      </c>
      <c r="F620">
        <v>1113002.7579999999</v>
      </c>
      <c r="G620">
        <v>6940.3851889999996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0</v>
      </c>
      <c r="M620" s="1">
        <f t="shared" si="39"/>
        <v>0</v>
      </c>
      <c r="N620" s="1">
        <f t="shared" si="40"/>
        <v>4927965.6490816846</v>
      </c>
      <c r="O620" s="1"/>
    </row>
    <row r="621" spans="1:15" x14ac:dyDescent="0.25">
      <c r="A621">
        <v>968</v>
      </c>
      <c r="B621">
        <v>39253.084779999997</v>
      </c>
      <c r="C621">
        <v>0</v>
      </c>
      <c r="D621">
        <v>491148.05349999998</v>
      </c>
      <c r="E621">
        <v>0</v>
      </c>
      <c r="F621">
        <v>1193329.1510000001</v>
      </c>
      <c r="G621">
        <v>6687.0164080000004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0</v>
      </c>
      <c r="M621" s="1">
        <f t="shared" si="39"/>
        <v>0</v>
      </c>
      <c r="N621" s="1">
        <f t="shared" si="40"/>
        <v>4822501.7237104429</v>
      </c>
      <c r="O621" s="1"/>
    </row>
    <row r="622" spans="1:15" x14ac:dyDescent="0.25">
      <c r="A622">
        <v>969</v>
      </c>
      <c r="B622">
        <v>93465.793579999998</v>
      </c>
      <c r="C622">
        <v>0</v>
      </c>
      <c r="D622">
        <v>841825.47569999995</v>
      </c>
      <c r="E622">
        <v>0</v>
      </c>
      <c r="F622">
        <v>1504763.4509999999</v>
      </c>
      <c r="G622">
        <v>6381.792668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0</v>
      </c>
      <c r="M622" s="1">
        <f t="shared" si="39"/>
        <v>0</v>
      </c>
      <c r="N622" s="1">
        <f t="shared" si="40"/>
        <v>5333782.6815987444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3925.9695999999999</v>
      </c>
      <c r="F623">
        <v>1582930.62</v>
      </c>
      <c r="G623">
        <v>8453.5578829999995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0</v>
      </c>
      <c r="M623" s="1">
        <f t="shared" si="39"/>
        <v>10075443.948628545</v>
      </c>
      <c r="N623" s="1">
        <f t="shared" si="40"/>
        <v>10150804.598735895</v>
      </c>
      <c r="O623" s="1"/>
    </row>
    <row r="624" spans="1:15" x14ac:dyDescent="0.25">
      <c r="A624">
        <v>971</v>
      </c>
      <c r="B624">
        <v>99679.657680000004</v>
      </c>
      <c r="C624">
        <v>0</v>
      </c>
      <c r="D624">
        <v>916183.58490000002</v>
      </c>
      <c r="E624">
        <v>0</v>
      </c>
      <c r="F624">
        <v>1558722.6540000001</v>
      </c>
      <c r="G624">
        <v>9810.1053489999995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0</v>
      </c>
      <c r="M624" s="1">
        <f t="shared" si="39"/>
        <v>0</v>
      </c>
      <c r="N624" s="1">
        <f t="shared" si="40"/>
        <v>3537515.1205522274</v>
      </c>
      <c r="O624" s="1"/>
    </row>
    <row r="625" spans="1:15" x14ac:dyDescent="0.25">
      <c r="A625">
        <v>972</v>
      </c>
      <c r="B625">
        <v>10677.46171</v>
      </c>
      <c r="C625">
        <v>0</v>
      </c>
      <c r="D625">
        <v>72895.28443</v>
      </c>
      <c r="E625">
        <v>0</v>
      </c>
      <c r="F625">
        <v>699151.12879999995</v>
      </c>
      <c r="G625" s="1">
        <v>4.4700000000000004E-6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0</v>
      </c>
      <c r="M625" s="1">
        <f t="shared" si="39"/>
        <v>0</v>
      </c>
      <c r="N625" s="1">
        <f t="shared" si="40"/>
        <v>2.0553962815024165E-2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>
        <v>0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0</v>
      </c>
      <c r="M626" s="1">
        <f t="shared" si="39"/>
        <v>0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>
        <v>0</v>
      </c>
      <c r="F627">
        <v>1431634.64</v>
      </c>
      <c r="G627">
        <v>3304.2234469999999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0</v>
      </c>
      <c r="M627" s="1">
        <f t="shared" si="39"/>
        <v>0</v>
      </c>
      <c r="N627" s="1">
        <f t="shared" si="40"/>
        <v>9795148.3776679691</v>
      </c>
      <c r="O627" s="1"/>
    </row>
    <row r="628" spans="1:15" x14ac:dyDescent="0.25">
      <c r="A628">
        <v>975</v>
      </c>
      <c r="B628">
        <v>29532.687290000002</v>
      </c>
      <c r="C628">
        <v>0</v>
      </c>
      <c r="D628">
        <v>534582.18359999999</v>
      </c>
      <c r="E628">
        <v>0</v>
      </c>
      <c r="F628">
        <v>1214880.43</v>
      </c>
      <c r="G628">
        <v>6687.0162790000004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0</v>
      </c>
      <c r="M628" s="1">
        <f t="shared" si="39"/>
        <v>0</v>
      </c>
      <c r="N628" s="1">
        <f t="shared" si="40"/>
        <v>8952331.4116309434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>
        <v>0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0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>
        <v>0</v>
      </c>
      <c r="D630">
        <v>92666.541329999993</v>
      </c>
      <c r="E630">
        <v>0</v>
      </c>
      <c r="F630">
        <v>827430.60060000001</v>
      </c>
      <c r="G630" s="1">
        <v>1.9599999999999999E-5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0</v>
      </c>
      <c r="M630" s="1">
        <f t="shared" si="39"/>
        <v>0</v>
      </c>
      <c r="N630" s="1">
        <f t="shared" si="40"/>
        <v>5.185095242625732E-2</v>
      </c>
      <c r="O630" s="1"/>
    </row>
    <row r="631" spans="1:15" x14ac:dyDescent="0.25">
      <c r="A631">
        <v>978</v>
      </c>
      <c r="B631">
        <v>3082.518626</v>
      </c>
      <c r="C631">
        <v>0</v>
      </c>
      <c r="D631">
        <v>47298.885349999997</v>
      </c>
      <c r="E631">
        <v>0</v>
      </c>
      <c r="F631">
        <v>441928.91629999998</v>
      </c>
      <c r="G631" s="1">
        <v>-2.4199999999999999E-5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0</v>
      </c>
      <c r="M631" s="1">
        <f t="shared" si="39"/>
        <v>0</v>
      </c>
      <c r="N631" s="1">
        <f t="shared" si="40"/>
        <v>-0.11309978530628383</v>
      </c>
      <c r="O631" s="1"/>
    </row>
    <row r="632" spans="1:15" x14ac:dyDescent="0.25">
      <c r="A632">
        <v>979</v>
      </c>
      <c r="B632">
        <v>22360.274600000001</v>
      </c>
      <c r="C632">
        <v>0</v>
      </c>
      <c r="D632">
        <v>305439.67609999998</v>
      </c>
      <c r="E632">
        <v>0</v>
      </c>
      <c r="F632">
        <v>1114099.9990000001</v>
      </c>
      <c r="G632">
        <v>-3.1645000000000002E-4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0</v>
      </c>
      <c r="M632" s="1">
        <f t="shared" si="39"/>
        <v>0</v>
      </c>
      <c r="N632" s="1">
        <f t="shared" si="40"/>
        <v>-0.79610240721660808</v>
      </c>
      <c r="O632" s="1"/>
    </row>
    <row r="633" spans="1:15" x14ac:dyDescent="0.25">
      <c r="A633">
        <v>980</v>
      </c>
      <c r="B633">
        <v>30688.757310000001</v>
      </c>
      <c r="C633">
        <v>0</v>
      </c>
      <c r="D633">
        <v>350625.09850000002</v>
      </c>
      <c r="E633">
        <v>0</v>
      </c>
      <c r="F633">
        <v>1137815.531</v>
      </c>
      <c r="G633">
        <v>830.83345229999998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0</v>
      </c>
      <c r="M633" s="1">
        <f t="shared" si="39"/>
        <v>0</v>
      </c>
      <c r="N633" s="1">
        <f t="shared" si="40"/>
        <v>1056853.5104331828</v>
      </c>
      <c r="O633" s="1"/>
    </row>
    <row r="634" spans="1:15" x14ac:dyDescent="0.25">
      <c r="A634">
        <v>981</v>
      </c>
      <c r="B634">
        <v>9729.7194710000003</v>
      </c>
      <c r="C634">
        <v>0</v>
      </c>
      <c r="D634">
        <v>96835.998749999999</v>
      </c>
      <c r="E634">
        <v>0</v>
      </c>
      <c r="F634">
        <v>801889.15489999996</v>
      </c>
      <c r="G634" s="1">
        <v>-3.82E-5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0</v>
      </c>
      <c r="M634" s="1">
        <f t="shared" si="39"/>
        <v>0</v>
      </c>
      <c r="N634" s="1">
        <f t="shared" si="40"/>
        <v>-0.10827831995954627</v>
      </c>
      <c r="O634" s="1"/>
    </row>
    <row r="635" spans="1:15" x14ac:dyDescent="0.25">
      <c r="A635">
        <v>982</v>
      </c>
      <c r="B635">
        <v>23459.463159999999</v>
      </c>
      <c r="C635">
        <v>0</v>
      </c>
      <c r="D635">
        <v>169173.01089999999</v>
      </c>
      <c r="E635">
        <v>0</v>
      </c>
      <c r="F635">
        <v>1008634.853</v>
      </c>
      <c r="G635" s="1">
        <v>2.2900000000000001E-5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0</v>
      </c>
      <c r="M635" s="1">
        <f t="shared" si="39"/>
        <v>0</v>
      </c>
      <c r="N635" s="1">
        <f t="shared" si="40"/>
        <v>5.5024679673334444E-2</v>
      </c>
      <c r="O635" s="1"/>
    </row>
    <row r="636" spans="1:15" x14ac:dyDescent="0.25">
      <c r="A636">
        <v>983</v>
      </c>
      <c r="B636">
        <v>23665.963169999999</v>
      </c>
      <c r="C636">
        <v>0</v>
      </c>
      <c r="D636">
        <v>150244.77249999999</v>
      </c>
      <c r="E636">
        <v>0</v>
      </c>
      <c r="F636">
        <v>972884.66619999998</v>
      </c>
      <c r="G636" s="1">
        <v>4.9299999999999999E-5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0</v>
      </c>
      <c r="M636" s="1">
        <f t="shared" si="39"/>
        <v>0</v>
      </c>
      <c r="N636" s="1">
        <f t="shared" si="40"/>
        <v>0.22357766775893143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>
        <v>0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0</v>
      </c>
      <c r="M637" s="1">
        <f t="shared" si="39"/>
        <v>0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>
        <v>0</v>
      </c>
      <c r="D638">
        <v>147152.35329999999</v>
      </c>
      <c r="E638">
        <v>0</v>
      </c>
      <c r="F638">
        <v>729847.50410000002</v>
      </c>
      <c r="G638" s="1">
        <v>-1.63E-5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0</v>
      </c>
      <c r="M638" s="1">
        <f t="shared" si="39"/>
        <v>0</v>
      </c>
      <c r="N638" s="1">
        <f t="shared" si="40"/>
        <v>-1.9946352751631851E-2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>
        <v>0</v>
      </c>
      <c r="F639">
        <v>200462.03820000001</v>
      </c>
      <c r="G639" s="1">
        <v>1.36E-5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0</v>
      </c>
      <c r="M639" s="1">
        <f t="shared" si="39"/>
        <v>0</v>
      </c>
      <c r="N639" s="1">
        <f t="shared" si="40"/>
        <v>6.126444891113593E-2</v>
      </c>
      <c r="O639" s="1"/>
    </row>
    <row r="640" spans="1:15" x14ac:dyDescent="0.25">
      <c r="A640">
        <v>1001</v>
      </c>
      <c r="B640">
        <v>5976.3029880000004</v>
      </c>
      <c r="C640">
        <v>0</v>
      </c>
      <c r="D640">
        <v>30657.732250000001</v>
      </c>
      <c r="E640">
        <v>0</v>
      </c>
      <c r="F640">
        <v>149756.58350000001</v>
      </c>
      <c r="G640" s="1">
        <v>-5.8200000000000002E-6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0</v>
      </c>
      <c r="M640" s="1">
        <f t="shared" si="39"/>
        <v>0</v>
      </c>
      <c r="N640" s="1">
        <f t="shared" si="40"/>
        <v>-3.286852340665896E-2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>
        <v>0</v>
      </c>
      <c r="F641">
        <v>198836.57949999999</v>
      </c>
      <c r="G641" s="1">
        <v>-1.5500000000000001E-5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0</v>
      </c>
      <c r="M641" s="1">
        <f t="shared" si="39"/>
        <v>0</v>
      </c>
      <c r="N641" s="1">
        <f t="shared" si="40"/>
        <v>-5.9523572558776508E-2</v>
      </c>
      <c r="O641" s="1"/>
    </row>
    <row r="642" spans="1:15" x14ac:dyDescent="0.25">
      <c r="A642">
        <v>1003</v>
      </c>
      <c r="B642">
        <v>13588.61627</v>
      </c>
      <c r="C642">
        <v>0</v>
      </c>
      <c r="D642">
        <v>121235.4097</v>
      </c>
      <c r="E642">
        <v>0</v>
      </c>
      <c r="F642">
        <v>414755.84029999998</v>
      </c>
      <c r="G642" s="1">
        <v>-3.7799999999999997E-5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0</v>
      </c>
      <c r="M642" s="1">
        <f t="shared" si="39"/>
        <v>0</v>
      </c>
      <c r="N642" s="1">
        <f t="shared" si="40"/>
        <v>-6.8737102112139306E-2</v>
      </c>
      <c r="O642" s="1"/>
    </row>
    <row r="643" spans="1:15" x14ac:dyDescent="0.25">
      <c r="A643">
        <v>1004</v>
      </c>
      <c r="B643">
        <v>3823.2045480000002</v>
      </c>
      <c r="C643">
        <v>0</v>
      </c>
      <c r="D643">
        <v>50348.806060000003</v>
      </c>
      <c r="E643">
        <v>0</v>
      </c>
      <c r="F643">
        <v>171188.28899999999</v>
      </c>
      <c r="G643" s="1">
        <v>-2.9300000000000001E-5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0</v>
      </c>
      <c r="M643" s="1">
        <f t="shared" ref="M643:M706" si="43">$U$3*$K643*E643</f>
        <v>0</v>
      </c>
      <c r="N643" s="1">
        <f t="shared" ref="N643:N706" si="44">$U$4*$K643*G643</f>
        <v>-0.1150229269289916</v>
      </c>
      <c r="O643" s="1"/>
    </row>
    <row r="644" spans="1:15" x14ac:dyDescent="0.25">
      <c r="A644">
        <v>1005</v>
      </c>
      <c r="B644">
        <v>4097.4531889999998</v>
      </c>
      <c r="C644">
        <v>0</v>
      </c>
      <c r="D644">
        <v>98114.865969999999</v>
      </c>
      <c r="E644">
        <v>0</v>
      </c>
      <c r="F644">
        <v>240782.86960000001</v>
      </c>
      <c r="G644" s="1">
        <v>-3.5299999999999997E-5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0</v>
      </c>
      <c r="M644" s="1">
        <f t="shared" si="43"/>
        <v>0</v>
      </c>
      <c r="N644" s="1">
        <f t="shared" si="44"/>
        <v>-0.13527636638567361</v>
      </c>
      <c r="O644" s="1"/>
    </row>
    <row r="645" spans="1:15" x14ac:dyDescent="0.25">
      <c r="A645">
        <v>1006</v>
      </c>
      <c r="B645">
        <v>46838.221960000003</v>
      </c>
      <c r="C645">
        <v>0</v>
      </c>
      <c r="D645">
        <v>174437.3046</v>
      </c>
      <c r="E645">
        <v>0</v>
      </c>
      <c r="F645">
        <v>860006.26930000004</v>
      </c>
      <c r="G645" s="1">
        <v>-4.6E-5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0</v>
      </c>
      <c r="M645" s="1">
        <f t="shared" si="43"/>
        <v>0</v>
      </c>
      <c r="N645" s="1">
        <f t="shared" si="44"/>
        <v>-5.8547131068742202E-2</v>
      </c>
      <c r="O645" s="1"/>
    </row>
    <row r="646" spans="1:15" x14ac:dyDescent="0.25">
      <c r="A646">
        <v>1007</v>
      </c>
      <c r="B646">
        <v>103879.3089</v>
      </c>
      <c r="C646">
        <v>0</v>
      </c>
      <c r="D646">
        <v>637266.78570000001</v>
      </c>
      <c r="E646">
        <v>0</v>
      </c>
      <c r="F646">
        <v>1303767.1680000001</v>
      </c>
      <c r="G646" s="1">
        <v>4.6400000000000003E-5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</v>
      </c>
      <c r="M646" s="1">
        <f t="shared" si="43"/>
        <v>0</v>
      </c>
      <c r="N646" s="1">
        <f t="shared" si="44"/>
        <v>7.6415851943361132E-2</v>
      </c>
      <c r="O646" s="1"/>
    </row>
    <row r="647" spans="1:15" x14ac:dyDescent="0.25">
      <c r="A647">
        <v>1008</v>
      </c>
      <c r="B647">
        <v>4167.5393560000002</v>
      </c>
      <c r="C647">
        <v>0</v>
      </c>
      <c r="D647">
        <v>70266.258199999997</v>
      </c>
      <c r="E647">
        <v>0</v>
      </c>
      <c r="F647">
        <v>175314.4454</v>
      </c>
      <c r="G647" s="1">
        <v>4.0399999999999999E-5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0</v>
      </c>
      <c r="M647" s="1">
        <f t="shared" si="43"/>
        <v>0</v>
      </c>
      <c r="N647" s="1">
        <f t="shared" si="44"/>
        <v>0.12025148983393298</v>
      </c>
      <c r="O647" s="1"/>
    </row>
    <row r="648" spans="1:15" x14ac:dyDescent="0.25">
      <c r="A648">
        <v>1009</v>
      </c>
      <c r="B648">
        <v>76153.406050000005</v>
      </c>
      <c r="C648">
        <v>0</v>
      </c>
      <c r="D648">
        <v>371765.51819999999</v>
      </c>
      <c r="E648">
        <v>0</v>
      </c>
      <c r="F648">
        <v>1135935.004</v>
      </c>
      <c r="G648" s="1">
        <v>-3.6900000000000002E-5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0</v>
      </c>
      <c r="M648" s="1">
        <f t="shared" si="43"/>
        <v>0</v>
      </c>
      <c r="N648" s="1">
        <f t="shared" si="44"/>
        <v>-8.6855489584300449E-2</v>
      </c>
      <c r="O648" s="1"/>
    </row>
    <row r="649" spans="1:15" x14ac:dyDescent="0.25">
      <c r="A649">
        <v>1010</v>
      </c>
      <c r="B649">
        <v>31374.42986</v>
      </c>
      <c r="C649">
        <v>0</v>
      </c>
      <c r="D649">
        <v>150772.27369999999</v>
      </c>
      <c r="E649">
        <v>0</v>
      </c>
      <c r="F649">
        <v>347676.27510000003</v>
      </c>
      <c r="G649" s="1">
        <v>1.7200000000000001E-5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0</v>
      </c>
      <c r="M649" s="1">
        <f t="shared" si="43"/>
        <v>0</v>
      </c>
      <c r="N649" s="1">
        <f t="shared" si="44"/>
        <v>4.9220305337625975E-2</v>
      </c>
      <c r="O649" s="1"/>
    </row>
    <row r="650" spans="1:15" x14ac:dyDescent="0.25">
      <c r="A650">
        <v>1011</v>
      </c>
      <c r="B650">
        <v>50970.113790000003</v>
      </c>
      <c r="C650">
        <v>0</v>
      </c>
      <c r="D650">
        <v>172544.1</v>
      </c>
      <c r="E650">
        <v>0</v>
      </c>
      <c r="F650">
        <v>844267.11399999994</v>
      </c>
      <c r="G650" s="1">
        <v>-4.88E-5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0</v>
      </c>
      <c r="M650" s="1">
        <f t="shared" si="43"/>
        <v>0</v>
      </c>
      <c r="N650" s="1">
        <f t="shared" si="44"/>
        <v>-0.1506089724010673</v>
      </c>
      <c r="O650" s="1"/>
    </row>
    <row r="651" spans="1:15" x14ac:dyDescent="0.25">
      <c r="A651">
        <v>1012</v>
      </c>
      <c r="B651">
        <v>22159.266019999999</v>
      </c>
      <c r="C651">
        <v>0</v>
      </c>
      <c r="D651">
        <v>126103.1185</v>
      </c>
      <c r="E651">
        <v>0</v>
      </c>
      <c r="F651">
        <v>319813.01380000002</v>
      </c>
      <c r="G651" s="1">
        <v>2.97E-5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0</v>
      </c>
      <c r="M651" s="1">
        <f t="shared" si="43"/>
        <v>0</v>
      </c>
      <c r="N651" s="1">
        <f t="shared" si="44"/>
        <v>5.7737815064657645E-2</v>
      </c>
      <c r="O651" s="1"/>
    </row>
    <row r="652" spans="1:15" x14ac:dyDescent="0.25">
      <c r="A652">
        <v>1013</v>
      </c>
      <c r="B652">
        <v>64062.242010000002</v>
      </c>
      <c r="C652">
        <v>0</v>
      </c>
      <c r="D652">
        <v>198821.93350000001</v>
      </c>
      <c r="E652">
        <v>0</v>
      </c>
      <c r="F652">
        <v>821857.69739999995</v>
      </c>
      <c r="G652" s="1">
        <v>3.8600000000000003E-6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0</v>
      </c>
      <c r="M652" s="1">
        <f t="shared" si="43"/>
        <v>0</v>
      </c>
      <c r="N652" s="1">
        <f t="shared" si="44"/>
        <v>7.0087377670948522E-3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>
        <v>0</v>
      </c>
      <c r="F653">
        <v>130128.86169999999</v>
      </c>
      <c r="G653" s="1">
        <v>1.43E-5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0</v>
      </c>
      <c r="N653" s="1">
        <f t="shared" si="44"/>
        <v>0.15917795931407369</v>
      </c>
      <c r="O653" s="1"/>
    </row>
    <row r="654" spans="1:15" x14ac:dyDescent="0.25">
      <c r="A654">
        <v>1015</v>
      </c>
      <c r="B654">
        <v>58984.214469999999</v>
      </c>
      <c r="C654">
        <v>0</v>
      </c>
      <c r="D654">
        <v>148137.21049999999</v>
      </c>
      <c r="E654">
        <v>0</v>
      </c>
      <c r="F654">
        <v>496476.37650000001</v>
      </c>
      <c r="G654" s="1">
        <v>4.7500000000000003E-5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0</v>
      </c>
      <c r="M654" s="1">
        <f t="shared" si="43"/>
        <v>0</v>
      </c>
      <c r="N654" s="1">
        <f t="shared" si="44"/>
        <v>6.3235156776916504E-2</v>
      </c>
      <c r="O654" s="1"/>
    </row>
    <row r="655" spans="1:15" x14ac:dyDescent="0.25">
      <c r="A655">
        <v>1016</v>
      </c>
      <c r="B655">
        <v>36750.033880000003</v>
      </c>
      <c r="C655">
        <v>0</v>
      </c>
      <c r="D655">
        <v>106351.9859</v>
      </c>
      <c r="E655">
        <v>0</v>
      </c>
      <c r="F655">
        <v>314171.85749999998</v>
      </c>
      <c r="G655" s="1">
        <v>-2.0999999999999999E-5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0</v>
      </c>
      <c r="M655" s="1">
        <f t="shared" si="43"/>
        <v>0</v>
      </c>
      <c r="N655" s="1">
        <f t="shared" si="44"/>
        <v>-6.3444069777690001E-2</v>
      </c>
      <c r="O655" s="1"/>
    </row>
    <row r="656" spans="1:15" x14ac:dyDescent="0.25">
      <c r="A656">
        <v>1017</v>
      </c>
      <c r="B656">
        <v>49383.043189999997</v>
      </c>
      <c r="C656">
        <v>0</v>
      </c>
      <c r="D656">
        <v>107853.54429999999</v>
      </c>
      <c r="E656">
        <v>0</v>
      </c>
      <c r="F656">
        <v>322515.88890000002</v>
      </c>
      <c r="G656" s="1">
        <v>1.6699999999999999E-5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0</v>
      </c>
      <c r="M656" s="1">
        <f t="shared" si="43"/>
        <v>0</v>
      </c>
      <c r="N656" s="1">
        <f t="shared" si="44"/>
        <v>2.3159213626091579E-2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>
        <v>0</v>
      </c>
      <c r="F657">
        <v>366546.26990000001</v>
      </c>
      <c r="G657" s="1">
        <v>-3.68E-5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0</v>
      </c>
      <c r="M657" s="1">
        <f t="shared" si="43"/>
        <v>0</v>
      </c>
      <c r="N657" s="1">
        <f t="shared" si="44"/>
        <v>-8.9462417260581129E-2</v>
      </c>
      <c r="O657" s="1"/>
    </row>
    <row r="658" spans="1:15" x14ac:dyDescent="0.25">
      <c r="A658">
        <v>1019</v>
      </c>
      <c r="B658">
        <v>81522.847380000007</v>
      </c>
      <c r="C658">
        <v>0</v>
      </c>
      <c r="D658">
        <v>201683.31450000001</v>
      </c>
      <c r="E658">
        <v>0</v>
      </c>
      <c r="F658">
        <v>951475.64480000001</v>
      </c>
      <c r="G658" s="1">
        <v>-3.5700000000000001E-6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0</v>
      </c>
      <c r="M658" s="1">
        <f t="shared" si="43"/>
        <v>0</v>
      </c>
      <c r="N658" s="1">
        <f t="shared" si="44"/>
        <v>-4.1356071900324094E-3</v>
      </c>
      <c r="O658" s="1"/>
    </row>
    <row r="659" spans="1:15" x14ac:dyDescent="0.25">
      <c r="A659">
        <v>1020</v>
      </c>
      <c r="B659">
        <v>52767.192909999998</v>
      </c>
      <c r="C659">
        <v>0</v>
      </c>
      <c r="D659">
        <v>124634.1673</v>
      </c>
      <c r="E659">
        <v>0</v>
      </c>
      <c r="F659">
        <v>364288.27269999997</v>
      </c>
      <c r="G659" s="1">
        <v>-3.3599999999999997E-5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0</v>
      </c>
      <c r="M659" s="1">
        <f t="shared" si="43"/>
        <v>0</v>
      </c>
      <c r="N659" s="1">
        <f t="shared" si="44"/>
        <v>-6.6395191816820159E-2</v>
      </c>
      <c r="O659" s="1"/>
    </row>
    <row r="660" spans="1:15" x14ac:dyDescent="0.25">
      <c r="A660">
        <v>1021</v>
      </c>
      <c r="B660">
        <v>60585.039340000003</v>
      </c>
      <c r="C660">
        <v>0</v>
      </c>
      <c r="D660">
        <v>146962.15460000001</v>
      </c>
      <c r="E660">
        <v>0</v>
      </c>
      <c r="F660">
        <v>697128.55929999996</v>
      </c>
      <c r="G660" s="1">
        <v>-1.33E-5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0</v>
      </c>
      <c r="M660" s="1">
        <f t="shared" si="43"/>
        <v>0</v>
      </c>
      <c r="N660" s="1">
        <f t="shared" si="44"/>
        <v>-9.79332608846256E-3</v>
      </c>
      <c r="O660" s="1"/>
    </row>
    <row r="661" spans="1:15" x14ac:dyDescent="0.25">
      <c r="A661">
        <v>1022</v>
      </c>
      <c r="B661">
        <v>34607.632729999998</v>
      </c>
      <c r="C661">
        <v>0</v>
      </c>
      <c r="D661">
        <v>95643.970379999999</v>
      </c>
      <c r="E661">
        <v>0</v>
      </c>
      <c r="F661">
        <v>264136.69349999999</v>
      </c>
      <c r="G661" s="1">
        <v>2.8799999999999999E-5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0</v>
      </c>
      <c r="M661" s="1">
        <f t="shared" si="43"/>
        <v>0</v>
      </c>
      <c r="N661" s="1">
        <f t="shared" si="44"/>
        <v>0.11226812688598177</v>
      </c>
      <c r="O661" s="1"/>
    </row>
    <row r="662" spans="1:15" x14ac:dyDescent="0.25">
      <c r="A662">
        <v>1023</v>
      </c>
      <c r="B662">
        <v>81270.307560000001</v>
      </c>
      <c r="C662">
        <v>0</v>
      </c>
      <c r="D662">
        <v>205120.83850000001</v>
      </c>
      <c r="E662">
        <v>0</v>
      </c>
      <c r="F662">
        <v>935330.77879999997</v>
      </c>
      <c r="G662" s="1">
        <v>-2.1100000000000001E-5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0</v>
      </c>
      <c r="M662" s="1">
        <f t="shared" si="43"/>
        <v>0</v>
      </c>
      <c r="N662" s="1">
        <f t="shared" si="44"/>
        <v>-1.2714074256196924E-2</v>
      </c>
      <c r="O662" s="1"/>
    </row>
    <row r="663" spans="1:15" x14ac:dyDescent="0.25">
      <c r="A663">
        <v>1024</v>
      </c>
      <c r="B663">
        <v>65851.116670000003</v>
      </c>
      <c r="C663">
        <v>0</v>
      </c>
      <c r="D663">
        <v>162874.2953</v>
      </c>
      <c r="E663">
        <v>0</v>
      </c>
      <c r="F663">
        <v>768423.6764</v>
      </c>
      <c r="G663" s="1">
        <v>-4.9799999999999998E-5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0</v>
      </c>
      <c r="M663" s="1">
        <f t="shared" si="43"/>
        <v>0</v>
      </c>
      <c r="N663" s="1">
        <f t="shared" si="44"/>
        <v>-3.2655357498340434E-2</v>
      </c>
      <c r="O663" s="1"/>
    </row>
    <row r="664" spans="1:15" x14ac:dyDescent="0.25">
      <c r="A664">
        <v>1025</v>
      </c>
      <c r="B664">
        <v>89622.219870000001</v>
      </c>
      <c r="C664">
        <v>0</v>
      </c>
      <c r="D664">
        <v>251604.36919999999</v>
      </c>
      <c r="E664">
        <v>0</v>
      </c>
      <c r="F664">
        <v>1017261.339</v>
      </c>
      <c r="G664">
        <v>1.7558999999999999E-4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0</v>
      </c>
      <c r="M664" s="1">
        <f t="shared" si="43"/>
        <v>0</v>
      </c>
      <c r="N664" s="1">
        <f t="shared" si="44"/>
        <v>0.30704388902732249</v>
      </c>
      <c r="O664" s="1"/>
    </row>
    <row r="665" spans="1:15" x14ac:dyDescent="0.25">
      <c r="A665">
        <v>1026</v>
      </c>
      <c r="B665">
        <v>80045.717929999999</v>
      </c>
      <c r="C665">
        <v>0</v>
      </c>
      <c r="D665">
        <v>306247.59529999999</v>
      </c>
      <c r="E665">
        <v>0</v>
      </c>
      <c r="F665">
        <v>1029765.633</v>
      </c>
      <c r="G665">
        <v>2.6414E-4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0</v>
      </c>
      <c r="M665" s="1">
        <f t="shared" si="43"/>
        <v>0</v>
      </c>
      <c r="N665" s="1">
        <f t="shared" si="44"/>
        <v>0.16768868672130807</v>
      </c>
      <c r="O665" s="1"/>
    </row>
    <row r="666" spans="1:15" x14ac:dyDescent="0.25">
      <c r="A666">
        <v>1027</v>
      </c>
      <c r="B666">
        <v>70649.882819999999</v>
      </c>
      <c r="C666">
        <v>0</v>
      </c>
      <c r="D666">
        <v>204160.75839999999</v>
      </c>
      <c r="E666">
        <v>0</v>
      </c>
      <c r="F666">
        <v>929514.86029999994</v>
      </c>
      <c r="G666" s="1">
        <v>-3.01E-5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0</v>
      </c>
      <c r="M666" s="1">
        <f t="shared" si="43"/>
        <v>0</v>
      </c>
      <c r="N666" s="1">
        <f t="shared" si="44"/>
        <v>-5.8401118618106047E-2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>
        <v>0</v>
      </c>
      <c r="F667">
        <v>480998.68369999999</v>
      </c>
      <c r="G667" s="1">
        <v>-1.8300000000000001E-5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0</v>
      </c>
      <c r="M667" s="1">
        <f t="shared" si="43"/>
        <v>0</v>
      </c>
      <c r="N667" s="1">
        <f t="shared" si="44"/>
        <v>-2.7679890089322902E-2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>
        <v>0</v>
      </c>
      <c r="F668">
        <v>523666.60639999999</v>
      </c>
      <c r="G668" s="1">
        <v>-6.0299999999999999E-6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0</v>
      </c>
      <c r="M668" s="1">
        <f t="shared" si="43"/>
        <v>0</v>
      </c>
      <c r="N668" s="1">
        <f t="shared" si="44"/>
        <v>-1.0719438295543398E-2</v>
      </c>
      <c r="O668" s="1"/>
    </row>
    <row r="669" spans="1:15" x14ac:dyDescent="0.25">
      <c r="A669">
        <v>1030</v>
      </c>
      <c r="B669">
        <v>222862.4044</v>
      </c>
      <c r="C669">
        <v>0</v>
      </c>
      <c r="D669">
        <v>871196.48979999998</v>
      </c>
      <c r="E669">
        <v>0</v>
      </c>
      <c r="F669">
        <v>1527692.63</v>
      </c>
      <c r="G669">
        <v>7620.929873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0</v>
      </c>
      <c r="M669" s="1">
        <f t="shared" si="43"/>
        <v>0</v>
      </c>
      <c r="N669" s="1">
        <f t="shared" si="44"/>
        <v>1861963.2640892102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>
        <v>0</v>
      </c>
      <c r="F670">
        <v>914630.17799999996</v>
      </c>
      <c r="G670" s="1">
        <v>-4.6400000000000003E-5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0</v>
      </c>
      <c r="M670" s="1">
        <f t="shared" si="43"/>
        <v>0</v>
      </c>
      <c r="N670" s="1">
        <f t="shared" si="44"/>
        <v>-0.39284109794631844</v>
      </c>
      <c r="O670" s="1"/>
    </row>
    <row r="671" spans="1:15" x14ac:dyDescent="0.25">
      <c r="A671">
        <v>1032</v>
      </c>
      <c r="B671">
        <v>2647.1760450000002</v>
      </c>
      <c r="C671">
        <v>0</v>
      </c>
      <c r="D671">
        <v>46887.900260000002</v>
      </c>
      <c r="E671">
        <v>0</v>
      </c>
      <c r="F671">
        <v>239977.7665</v>
      </c>
      <c r="G671" s="1">
        <v>-1.8099999999999999E-5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0</v>
      </c>
      <c r="M671" s="1">
        <f t="shared" si="43"/>
        <v>0</v>
      </c>
      <c r="N671" s="1">
        <f t="shared" si="44"/>
        <v>-0.110599025321895</v>
      </c>
      <c r="O671" s="1"/>
    </row>
    <row r="672" spans="1:15" x14ac:dyDescent="0.25">
      <c r="A672">
        <v>1033</v>
      </c>
      <c r="B672">
        <v>4836.4138839999996</v>
      </c>
      <c r="C672">
        <v>0</v>
      </c>
      <c r="D672">
        <v>35800.922209999997</v>
      </c>
      <c r="E672">
        <v>0</v>
      </c>
      <c r="F672">
        <v>211301.9186</v>
      </c>
      <c r="G672" s="1">
        <v>7.9300000000000003E-6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0</v>
      </c>
      <c r="M672" s="1">
        <f t="shared" si="43"/>
        <v>0</v>
      </c>
      <c r="N672" s="1">
        <f t="shared" si="44"/>
        <v>3.7910216679816082E-2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>
        <v>0</v>
      </c>
      <c r="F673">
        <v>89989.981150000007</v>
      </c>
      <c r="G673" s="1">
        <v>-4.8999999999999997E-7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0</v>
      </c>
      <c r="M673" s="1">
        <f t="shared" si="43"/>
        <v>0</v>
      </c>
      <c r="N673" s="1">
        <f t="shared" si="44"/>
        <v>-2.8275034481641498E-3</v>
      </c>
      <c r="O673" s="1"/>
    </row>
    <row r="674" spans="1:15" x14ac:dyDescent="0.25">
      <c r="A674">
        <v>1035</v>
      </c>
      <c r="B674">
        <v>8649.9054489999999</v>
      </c>
      <c r="C674">
        <v>0</v>
      </c>
      <c r="D674">
        <v>70540.975560000006</v>
      </c>
      <c r="E674">
        <v>0</v>
      </c>
      <c r="F674">
        <v>178840.24960000001</v>
      </c>
      <c r="G674" s="1">
        <v>-2.2200000000000001E-5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0</v>
      </c>
      <c r="M674" s="1">
        <f t="shared" si="43"/>
        <v>0</v>
      </c>
      <c r="N674" s="1">
        <f t="shared" si="44"/>
        <v>-4.9791281973476757E-2</v>
      </c>
      <c r="O674" s="1"/>
    </row>
    <row r="675" spans="1:15" x14ac:dyDescent="0.25">
      <c r="A675">
        <v>1036</v>
      </c>
      <c r="B675">
        <v>81009.522089999999</v>
      </c>
      <c r="C675">
        <v>0</v>
      </c>
      <c r="D675">
        <v>260727.7579</v>
      </c>
      <c r="E675">
        <v>0</v>
      </c>
      <c r="F675">
        <v>1016788.807</v>
      </c>
      <c r="G675">
        <v>2.1175999999999999E-4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0</v>
      </c>
      <c r="M675" s="1">
        <f t="shared" si="43"/>
        <v>0</v>
      </c>
      <c r="N675" s="1">
        <f t="shared" si="44"/>
        <v>0.19567275790330038</v>
      </c>
      <c r="O675" s="1"/>
    </row>
    <row r="676" spans="1:15" x14ac:dyDescent="0.25">
      <c r="A676">
        <v>1037</v>
      </c>
      <c r="B676">
        <v>33645.215629999999</v>
      </c>
      <c r="C676">
        <v>0</v>
      </c>
      <c r="D676">
        <v>130475.24589999999</v>
      </c>
      <c r="E676">
        <v>0</v>
      </c>
      <c r="F676">
        <v>729601.71440000006</v>
      </c>
      <c r="G676" s="1">
        <v>-9.6099999999999995E-6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0</v>
      </c>
      <c r="M676" s="1">
        <f t="shared" si="43"/>
        <v>0</v>
      </c>
      <c r="N676" s="1">
        <f t="shared" si="44"/>
        <v>-5.8636637260842716E-3</v>
      </c>
      <c r="O676" s="1"/>
    </row>
    <row r="677" spans="1:15" x14ac:dyDescent="0.25">
      <c r="A677">
        <v>1038</v>
      </c>
      <c r="B677">
        <v>14819.004569999999</v>
      </c>
      <c r="C677">
        <v>0</v>
      </c>
      <c r="D677">
        <v>131507.5955</v>
      </c>
      <c r="E677">
        <v>0</v>
      </c>
      <c r="F677">
        <v>708374.67130000005</v>
      </c>
      <c r="G677" s="1">
        <v>-8.1599999999999998E-6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0</v>
      </c>
      <c r="M677" s="1">
        <f t="shared" si="43"/>
        <v>0</v>
      </c>
      <c r="N677" s="1">
        <f t="shared" si="44"/>
        <v>-2.2398378584613556E-2</v>
      </c>
      <c r="O677" s="1"/>
    </row>
    <row r="678" spans="1:15" x14ac:dyDescent="0.25">
      <c r="A678">
        <v>1039</v>
      </c>
      <c r="B678">
        <v>12740.14451</v>
      </c>
      <c r="C678">
        <v>0</v>
      </c>
      <c r="D678">
        <v>115160.86410000001</v>
      </c>
      <c r="E678">
        <v>0</v>
      </c>
      <c r="F678">
        <v>578421.05779999995</v>
      </c>
      <c r="G678" s="1">
        <v>1.8700000000000001E-5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0</v>
      </c>
      <c r="M678" s="1">
        <f t="shared" si="43"/>
        <v>0</v>
      </c>
      <c r="N678" s="1">
        <f t="shared" si="44"/>
        <v>5.043902053873122E-2</v>
      </c>
      <c r="O678" s="1"/>
    </row>
    <row r="679" spans="1:15" x14ac:dyDescent="0.25">
      <c r="A679">
        <v>1040</v>
      </c>
      <c r="B679">
        <v>7906.1433470000002</v>
      </c>
      <c r="C679">
        <v>0</v>
      </c>
      <c r="D679">
        <v>79300.099820000003</v>
      </c>
      <c r="E679">
        <v>0</v>
      </c>
      <c r="F679">
        <v>237299.10930000001</v>
      </c>
      <c r="G679" s="1">
        <v>-1.24E-5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0</v>
      </c>
      <c r="M679" s="1">
        <f t="shared" si="43"/>
        <v>0</v>
      </c>
      <c r="N679" s="1">
        <f t="shared" si="44"/>
        <v>-7.9354213801540799E-2</v>
      </c>
      <c r="O679" s="1"/>
    </row>
    <row r="680" spans="1:15" x14ac:dyDescent="0.25">
      <c r="A680">
        <v>1041</v>
      </c>
      <c r="B680">
        <v>26806.848099999999</v>
      </c>
      <c r="C680">
        <v>0</v>
      </c>
      <c r="D680">
        <v>117548.4535</v>
      </c>
      <c r="E680">
        <v>0</v>
      </c>
      <c r="F680">
        <v>375155.75199999998</v>
      </c>
      <c r="G680" s="1">
        <v>4.71E-5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0</v>
      </c>
      <c r="M680" s="1">
        <f t="shared" si="43"/>
        <v>0</v>
      </c>
      <c r="N680" s="1">
        <f t="shared" si="44"/>
        <v>0.15402606084028767</v>
      </c>
      <c r="O680" s="1"/>
    </row>
    <row r="681" spans="1:15" x14ac:dyDescent="0.25">
      <c r="A681">
        <v>1042</v>
      </c>
      <c r="B681">
        <v>26846.940699999999</v>
      </c>
      <c r="C681">
        <v>0</v>
      </c>
      <c r="D681">
        <v>111922.273</v>
      </c>
      <c r="E681">
        <v>0</v>
      </c>
      <c r="F681">
        <v>262767.86349999998</v>
      </c>
      <c r="G681" s="1">
        <v>-1.49E-5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0</v>
      </c>
      <c r="M681" s="1">
        <f t="shared" si="43"/>
        <v>0</v>
      </c>
      <c r="N681" s="1">
        <f t="shared" si="44"/>
        <v>-4.1863337382737703E-2</v>
      </c>
      <c r="O681" s="1"/>
    </row>
    <row r="682" spans="1:15" x14ac:dyDescent="0.25">
      <c r="A682">
        <v>1043</v>
      </c>
      <c r="B682">
        <v>51519.968059999999</v>
      </c>
      <c r="C682">
        <v>0</v>
      </c>
      <c r="D682">
        <v>118130.8026</v>
      </c>
      <c r="E682">
        <v>0</v>
      </c>
      <c r="F682">
        <v>308374.9534</v>
      </c>
      <c r="G682" s="1">
        <v>-3.8600000000000003E-5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0</v>
      </c>
      <c r="M682" s="1">
        <f t="shared" si="43"/>
        <v>0</v>
      </c>
      <c r="N682" s="1">
        <f t="shared" si="44"/>
        <v>-3.6623941480028406E-2</v>
      </c>
      <c r="O682" s="1"/>
    </row>
    <row r="683" spans="1:15" x14ac:dyDescent="0.25">
      <c r="A683">
        <v>1044</v>
      </c>
      <c r="B683">
        <v>41989.398419999998</v>
      </c>
      <c r="C683">
        <v>0</v>
      </c>
      <c r="D683">
        <v>155265.70929999999</v>
      </c>
      <c r="E683">
        <v>0</v>
      </c>
      <c r="F683">
        <v>588826.24589999998</v>
      </c>
      <c r="G683" s="1">
        <v>-1.6500000000000001E-5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0</v>
      </c>
      <c r="M683" s="1">
        <f t="shared" si="43"/>
        <v>0</v>
      </c>
      <c r="N683" s="1">
        <f t="shared" si="44"/>
        <v>-5.6896647477808059E-2</v>
      </c>
      <c r="O683" s="1"/>
    </row>
    <row r="684" spans="1:15" x14ac:dyDescent="0.25">
      <c r="A684">
        <v>1045</v>
      </c>
      <c r="B684">
        <v>54306.972479999997</v>
      </c>
      <c r="C684">
        <v>0</v>
      </c>
      <c r="D684">
        <v>165712.9216</v>
      </c>
      <c r="E684">
        <v>0</v>
      </c>
      <c r="F684">
        <v>855890.08550000004</v>
      </c>
      <c r="G684" s="1">
        <v>-3.7200000000000003E-5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0</v>
      </c>
      <c r="M684" s="1">
        <f t="shared" si="43"/>
        <v>0</v>
      </c>
      <c r="N684" s="1">
        <f t="shared" si="44"/>
        <v>-0.1233076802069711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>
        <v>0</v>
      </c>
      <c r="F685">
        <v>769574.49470000004</v>
      </c>
      <c r="G685" s="1">
        <v>3.6900000000000002E-5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0</v>
      </c>
      <c r="M685" s="1">
        <f t="shared" si="43"/>
        <v>0</v>
      </c>
      <c r="N685" s="1">
        <f t="shared" si="44"/>
        <v>2.7887338771443452E-2</v>
      </c>
      <c r="O685" s="1"/>
    </row>
    <row r="686" spans="1:15" x14ac:dyDescent="0.25">
      <c r="A686">
        <v>1047</v>
      </c>
      <c r="B686">
        <v>38067.321709999997</v>
      </c>
      <c r="C686">
        <v>0</v>
      </c>
      <c r="D686">
        <v>131271.9087</v>
      </c>
      <c r="E686">
        <v>0</v>
      </c>
      <c r="F686">
        <v>720714.72600000002</v>
      </c>
      <c r="G686" s="1">
        <v>-4.9700000000000002E-5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0</v>
      </c>
      <c r="M686" s="1">
        <f t="shared" si="43"/>
        <v>0</v>
      </c>
      <c r="N686" s="1">
        <f t="shared" si="44"/>
        <v>-4.593229017299854E-2</v>
      </c>
      <c r="O686" s="1"/>
    </row>
    <row r="687" spans="1:15" x14ac:dyDescent="0.25">
      <c r="A687">
        <v>1048</v>
      </c>
      <c r="B687">
        <v>85503.28959</v>
      </c>
      <c r="C687">
        <v>0</v>
      </c>
      <c r="D687">
        <v>347186.61729999998</v>
      </c>
      <c r="E687">
        <v>0</v>
      </c>
      <c r="F687">
        <v>1084773.4720000001</v>
      </c>
      <c r="G687">
        <v>2.9908000000000002E-4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0</v>
      </c>
      <c r="M687" s="1">
        <f t="shared" si="43"/>
        <v>0</v>
      </c>
      <c r="N687" s="1">
        <f t="shared" si="44"/>
        <v>0.40583377664063253</v>
      </c>
      <c r="O687" s="1"/>
    </row>
    <row r="688" spans="1:15" x14ac:dyDescent="0.25">
      <c r="A688">
        <v>1049</v>
      </c>
      <c r="B688">
        <v>87658.835000000006</v>
      </c>
      <c r="C688">
        <v>0</v>
      </c>
      <c r="D688">
        <v>625785.75379999995</v>
      </c>
      <c r="E688">
        <v>0</v>
      </c>
      <c r="F688">
        <v>1252087.183</v>
      </c>
      <c r="G688">
        <v>2.0406999999999999E-4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0</v>
      </c>
      <c r="M688" s="1">
        <f t="shared" si="43"/>
        <v>0</v>
      </c>
      <c r="N688" s="1">
        <f t="shared" si="44"/>
        <v>8.2202489360474529E-2</v>
      </c>
      <c r="O688" s="1"/>
    </row>
    <row r="689" spans="1:15" x14ac:dyDescent="0.25">
      <c r="A689">
        <v>1050</v>
      </c>
      <c r="B689">
        <v>116456.36079999999</v>
      </c>
      <c r="C689">
        <v>0</v>
      </c>
      <c r="D689">
        <v>703984.69220000005</v>
      </c>
      <c r="E689">
        <v>0</v>
      </c>
      <c r="F689">
        <v>1359188.3929999999</v>
      </c>
      <c r="G689">
        <v>830.83391830000005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0</v>
      </c>
      <c r="M689" s="1">
        <f t="shared" si="43"/>
        <v>0</v>
      </c>
      <c r="N689" s="1">
        <f t="shared" si="44"/>
        <v>216659.71941194031</v>
      </c>
      <c r="O689" s="1"/>
    </row>
    <row r="690" spans="1:15" x14ac:dyDescent="0.25">
      <c r="A690">
        <v>1051</v>
      </c>
      <c r="B690">
        <v>66854.338399999993</v>
      </c>
      <c r="C690">
        <v>0</v>
      </c>
      <c r="D690">
        <v>162546.86429999999</v>
      </c>
      <c r="E690">
        <v>0</v>
      </c>
      <c r="F690">
        <v>823976.64720000001</v>
      </c>
      <c r="G690" s="1">
        <v>-9.3600000000000002E-6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0</v>
      </c>
      <c r="M690" s="1">
        <f t="shared" si="43"/>
        <v>0</v>
      </c>
      <c r="N690" s="1">
        <f t="shared" si="44"/>
        <v>-2.6121399529469406E-2</v>
      </c>
      <c r="O690" s="1"/>
    </row>
    <row r="691" spans="1:15" x14ac:dyDescent="0.25">
      <c r="A691">
        <v>1052</v>
      </c>
      <c r="B691">
        <v>93658.881469999993</v>
      </c>
      <c r="C691">
        <v>0</v>
      </c>
      <c r="D691">
        <v>620315.1925</v>
      </c>
      <c r="E691">
        <v>0</v>
      </c>
      <c r="F691">
        <v>1286554.51</v>
      </c>
      <c r="G691">
        <v>-4.6422999999999999E-4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0</v>
      </c>
      <c r="M691" s="1">
        <f t="shared" si="43"/>
        <v>0</v>
      </c>
      <c r="N691" s="1">
        <f t="shared" si="44"/>
        <v>-0.20534842703811071</v>
      </c>
      <c r="O691" s="1"/>
    </row>
    <row r="692" spans="1:15" x14ac:dyDescent="0.25">
      <c r="A692">
        <v>1053</v>
      </c>
      <c r="B692">
        <v>108129.7316</v>
      </c>
      <c r="C692">
        <v>0</v>
      </c>
      <c r="D692">
        <v>608709.02450000006</v>
      </c>
      <c r="E692">
        <v>0</v>
      </c>
      <c r="F692">
        <v>1287319.922</v>
      </c>
      <c r="G692" s="1">
        <v>-5.13E-5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0</v>
      </c>
      <c r="M692" s="1">
        <f t="shared" si="43"/>
        <v>0</v>
      </c>
      <c r="N692" s="1">
        <f t="shared" si="44"/>
        <v>-2.2351350394846523E-2</v>
      </c>
      <c r="O692" s="1"/>
    </row>
    <row r="693" spans="1:15" x14ac:dyDescent="0.25">
      <c r="A693">
        <v>1054</v>
      </c>
      <c r="B693">
        <v>92655.147379999995</v>
      </c>
      <c r="C693">
        <v>0</v>
      </c>
      <c r="D693">
        <v>602755.85939999996</v>
      </c>
      <c r="E693">
        <v>0</v>
      </c>
      <c r="F693">
        <v>1275241.5759999999</v>
      </c>
      <c r="G693">
        <v>3925.9700710000002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0</v>
      </c>
      <c r="M693" s="1">
        <f t="shared" si="43"/>
        <v>0</v>
      </c>
      <c r="N693" s="1">
        <f t="shared" si="44"/>
        <v>1355468.0829830575</v>
      </c>
      <c r="O693" s="1"/>
    </row>
    <row r="694" spans="1:15" x14ac:dyDescent="0.25">
      <c r="A694">
        <v>1055</v>
      </c>
      <c r="B694">
        <v>148631.08720000001</v>
      </c>
      <c r="C694">
        <v>0</v>
      </c>
      <c r="D694">
        <v>820261.23160000006</v>
      </c>
      <c r="E694">
        <v>0</v>
      </c>
      <c r="F694">
        <v>1544090.405</v>
      </c>
      <c r="G694">
        <v>6687.0157929999996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0</v>
      </c>
      <c r="M694" s="1">
        <f t="shared" si="43"/>
        <v>0</v>
      </c>
      <c r="N694" s="1">
        <f t="shared" si="44"/>
        <v>1838097.9908803427</v>
      </c>
      <c r="O694" s="1"/>
    </row>
    <row r="695" spans="1:15" x14ac:dyDescent="0.25">
      <c r="A695">
        <v>1056</v>
      </c>
      <c r="B695">
        <v>95825.518819999998</v>
      </c>
      <c r="C695">
        <v>0</v>
      </c>
      <c r="D695">
        <v>418750.36570000002</v>
      </c>
      <c r="E695">
        <v>0</v>
      </c>
      <c r="F695">
        <v>1177859.8829999999</v>
      </c>
      <c r="G695" s="1">
        <v>7.9500000000000001E-6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0</v>
      </c>
      <c r="M695" s="1">
        <f t="shared" si="43"/>
        <v>0</v>
      </c>
      <c r="N695" s="1">
        <f t="shared" si="44"/>
        <v>1.3974985925819056E-2</v>
      </c>
      <c r="O695" s="1"/>
    </row>
    <row r="696" spans="1:15" x14ac:dyDescent="0.25">
      <c r="A696">
        <v>1057</v>
      </c>
      <c r="B696">
        <v>126922.6238</v>
      </c>
      <c r="C696">
        <v>0</v>
      </c>
      <c r="D696">
        <v>522186.91159999999</v>
      </c>
      <c r="E696">
        <v>0</v>
      </c>
      <c r="F696">
        <v>1377311.9450000001</v>
      </c>
      <c r="G696">
        <v>-4.7118000000000003E-4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0</v>
      </c>
      <c r="M696" s="1">
        <f t="shared" si="43"/>
        <v>0</v>
      </c>
      <c r="N696" s="1">
        <f t="shared" si="44"/>
        <v>-0.18579103492679586</v>
      </c>
      <c r="O696" s="1"/>
    </row>
    <row r="697" spans="1:15" x14ac:dyDescent="0.25">
      <c r="A697">
        <v>1058</v>
      </c>
      <c r="B697">
        <v>110225.30070000001</v>
      </c>
      <c r="C697">
        <v>0</v>
      </c>
      <c r="D697">
        <v>563009.9301</v>
      </c>
      <c r="E697">
        <v>0</v>
      </c>
      <c r="F697">
        <v>1313881.5789999999</v>
      </c>
      <c r="G697">
        <v>3925.9692399999999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</v>
      </c>
      <c r="M697" s="1">
        <f t="shared" si="43"/>
        <v>0</v>
      </c>
      <c r="N697" s="1">
        <f t="shared" si="44"/>
        <v>2198252.9921910437</v>
      </c>
      <c r="O697" s="1"/>
    </row>
    <row r="698" spans="1:15" x14ac:dyDescent="0.25">
      <c r="A698">
        <v>1059</v>
      </c>
      <c r="B698">
        <v>146307.30869999999</v>
      </c>
      <c r="C698">
        <v>0</v>
      </c>
      <c r="D698">
        <v>740863.64419999998</v>
      </c>
      <c r="E698">
        <v>0</v>
      </c>
      <c r="F698">
        <v>1457460.057</v>
      </c>
      <c r="G698">
        <v>6687.016251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</v>
      </c>
      <c r="M698" s="1">
        <f t="shared" si="43"/>
        <v>0</v>
      </c>
      <c r="N698" s="1">
        <f t="shared" si="44"/>
        <v>2587522.1653103111</v>
      </c>
      <c r="O698" s="1"/>
    </row>
    <row r="699" spans="1:15" x14ac:dyDescent="0.25">
      <c r="A699">
        <v>1060</v>
      </c>
      <c r="B699">
        <v>77207.347819999995</v>
      </c>
      <c r="C699">
        <v>0</v>
      </c>
      <c r="D699">
        <v>221725.6685</v>
      </c>
      <c r="E699">
        <v>0</v>
      </c>
      <c r="F699">
        <v>1006900.492</v>
      </c>
      <c r="G699">
        <v>-3.9365E-4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0</v>
      </c>
      <c r="M699" s="1">
        <f t="shared" si="43"/>
        <v>0</v>
      </c>
      <c r="N699" s="1">
        <f t="shared" si="44"/>
        <v>-0.6057110074733506</v>
      </c>
      <c r="O699" s="1"/>
    </row>
    <row r="700" spans="1:15" x14ac:dyDescent="0.25">
      <c r="A700">
        <v>1061</v>
      </c>
      <c r="B700">
        <v>85316.493549999999</v>
      </c>
      <c r="C700">
        <v>0</v>
      </c>
      <c r="D700">
        <v>225399.47700000001</v>
      </c>
      <c r="E700">
        <v>0</v>
      </c>
      <c r="F700">
        <v>968265.29799999995</v>
      </c>
      <c r="G700" s="1">
        <v>1.7399999999999999E-5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0</v>
      </c>
      <c r="M700" s="1">
        <f t="shared" si="43"/>
        <v>0</v>
      </c>
      <c r="N700" s="1">
        <f t="shared" si="44"/>
        <v>3.4016597441609224E-2</v>
      </c>
      <c r="O700" s="1"/>
    </row>
    <row r="701" spans="1:15" x14ac:dyDescent="0.25">
      <c r="A701">
        <v>1062</v>
      </c>
      <c r="B701">
        <v>97162.754560000001</v>
      </c>
      <c r="C701">
        <v>0</v>
      </c>
      <c r="D701">
        <v>307312.36310000002</v>
      </c>
      <c r="E701">
        <v>0</v>
      </c>
      <c r="F701">
        <v>1189617.3060000001</v>
      </c>
      <c r="G701" s="1">
        <v>1.5500000000000001E-5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0</v>
      </c>
      <c r="M701" s="1">
        <f t="shared" si="43"/>
        <v>0</v>
      </c>
      <c r="N701" s="1">
        <f t="shared" si="44"/>
        <v>9.4908192259387514E-3</v>
      </c>
      <c r="O701" s="1"/>
    </row>
    <row r="702" spans="1:15" x14ac:dyDescent="0.25">
      <c r="A702">
        <v>1063</v>
      </c>
      <c r="B702">
        <v>67267.352530000004</v>
      </c>
      <c r="C702">
        <v>0</v>
      </c>
      <c r="D702">
        <v>207589.0116</v>
      </c>
      <c r="E702">
        <v>0</v>
      </c>
      <c r="F702">
        <v>947457.81460000004</v>
      </c>
      <c r="G702" s="1">
        <v>9.1200000000000008E-6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0</v>
      </c>
      <c r="M702" s="1">
        <f t="shared" si="43"/>
        <v>0</v>
      </c>
      <c r="N702" s="1">
        <f t="shared" si="44"/>
        <v>1.5325061908165634E-2</v>
      </c>
      <c r="O702" s="1"/>
    </row>
    <row r="703" spans="1:15" x14ac:dyDescent="0.25">
      <c r="A703">
        <v>1064</v>
      </c>
      <c r="B703">
        <v>66058.996440000003</v>
      </c>
      <c r="C703">
        <v>0</v>
      </c>
      <c r="D703">
        <v>205201.557</v>
      </c>
      <c r="E703">
        <v>0</v>
      </c>
      <c r="F703">
        <v>913588.90700000001</v>
      </c>
      <c r="G703" s="1">
        <v>2.6599999999999999E-5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0</v>
      </c>
      <c r="M703" s="1">
        <f t="shared" si="43"/>
        <v>0</v>
      </c>
      <c r="N703" s="1">
        <f t="shared" si="44"/>
        <v>2.00424953831571E-2</v>
      </c>
      <c r="O703" s="1"/>
    </row>
    <row r="704" spans="1:15" x14ac:dyDescent="0.25">
      <c r="A704">
        <v>1065</v>
      </c>
      <c r="B704">
        <v>73454.924440000003</v>
      </c>
      <c r="C704">
        <v>0</v>
      </c>
      <c r="D704">
        <v>245110.3321</v>
      </c>
      <c r="E704">
        <v>0</v>
      </c>
      <c r="F704">
        <v>1015040.48</v>
      </c>
      <c r="G704">
        <v>-4.2653E-4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0</v>
      </c>
      <c r="M704" s="1">
        <f t="shared" si="43"/>
        <v>0</v>
      </c>
      <c r="N704" s="1">
        <f t="shared" si="44"/>
        <v>-0.28223148386825542</v>
      </c>
      <c r="O704" s="1"/>
    </row>
    <row r="705" spans="1:15" x14ac:dyDescent="0.25">
      <c r="A705">
        <v>1066</v>
      </c>
      <c r="B705">
        <v>56402.918449999997</v>
      </c>
      <c r="C705">
        <v>0</v>
      </c>
      <c r="D705">
        <v>180108.90429999999</v>
      </c>
      <c r="E705">
        <v>0</v>
      </c>
      <c r="F705">
        <v>774322.48609999998</v>
      </c>
      <c r="G705" s="1">
        <v>-3.0800000000000003E-5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0</v>
      </c>
      <c r="M705" s="1">
        <f t="shared" si="43"/>
        <v>0</v>
      </c>
      <c r="N705" s="1">
        <f t="shared" si="44"/>
        <v>-4.9065108751483448E-2</v>
      </c>
      <c r="O705" s="1"/>
    </row>
    <row r="706" spans="1:15" x14ac:dyDescent="0.25">
      <c r="A706">
        <v>1067</v>
      </c>
      <c r="B706">
        <v>57423.813199999997</v>
      </c>
      <c r="C706">
        <v>0</v>
      </c>
      <c r="D706">
        <v>170447.24830000001</v>
      </c>
      <c r="E706">
        <v>0</v>
      </c>
      <c r="F706">
        <v>514139.63010000001</v>
      </c>
      <c r="G706" s="1">
        <v>-4.9200000000000003E-5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0</v>
      </c>
      <c r="M706" s="1">
        <f t="shared" si="43"/>
        <v>0</v>
      </c>
      <c r="N706" s="1">
        <f t="shared" si="44"/>
        <v>-8.7102517727529374E-2</v>
      </c>
      <c r="O706" s="1"/>
    </row>
    <row r="707" spans="1:15" x14ac:dyDescent="0.25">
      <c r="A707">
        <v>1068</v>
      </c>
      <c r="B707">
        <v>10124.45253</v>
      </c>
      <c r="C707">
        <v>0</v>
      </c>
      <c r="D707">
        <v>93201.191940000004</v>
      </c>
      <c r="E707">
        <v>0</v>
      </c>
      <c r="F707">
        <v>234143.57740000001</v>
      </c>
      <c r="G707" s="1">
        <v>3.2799999999999998E-5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0</v>
      </c>
      <c r="M707" s="1">
        <f t="shared" ref="M707:M770" si="47">$U$3*$K707*E707</f>
        <v>0</v>
      </c>
      <c r="N707" s="1">
        <f t="shared" ref="N707:N770" si="48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>
        <v>0</v>
      </c>
      <c r="D708">
        <v>235276.4988</v>
      </c>
      <c r="E708">
        <v>0</v>
      </c>
      <c r="F708">
        <v>938367.59849999996</v>
      </c>
      <c r="G708" s="1">
        <v>-2.58E-5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0</v>
      </c>
      <c r="M708" s="1">
        <f t="shared" si="47"/>
        <v>0</v>
      </c>
      <c r="N708" s="1">
        <f t="shared" si="48"/>
        <v>-1.8254602301834344E-2</v>
      </c>
      <c r="O708" s="1"/>
    </row>
    <row r="709" spans="1:15" x14ac:dyDescent="0.25">
      <c r="A709">
        <v>1070</v>
      </c>
      <c r="B709">
        <v>35384.525130000002</v>
      </c>
      <c r="C709">
        <v>0</v>
      </c>
      <c r="D709">
        <v>130584.8165</v>
      </c>
      <c r="E709">
        <v>0</v>
      </c>
      <c r="F709">
        <v>335645.84409999999</v>
      </c>
      <c r="G709" s="1">
        <v>-1.01E-5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0</v>
      </c>
      <c r="M709" s="1">
        <f t="shared" si="47"/>
        <v>0</v>
      </c>
      <c r="N709" s="1">
        <f t="shared" si="48"/>
        <v>-1.4000434431793021E-2</v>
      </c>
      <c r="O709" s="1"/>
    </row>
    <row r="710" spans="1:15" x14ac:dyDescent="0.25">
      <c r="A710">
        <v>1071</v>
      </c>
      <c r="B710">
        <v>6178.7281759999996</v>
      </c>
      <c r="C710">
        <v>0</v>
      </c>
      <c r="D710">
        <v>21343.108530000001</v>
      </c>
      <c r="E710">
        <v>0</v>
      </c>
      <c r="F710">
        <v>109862.7904</v>
      </c>
      <c r="G710" s="1">
        <v>3.6699999999999998E-5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0</v>
      </c>
      <c r="M710" s="1">
        <f t="shared" si="47"/>
        <v>0</v>
      </c>
      <c r="N710" s="1">
        <f t="shared" si="48"/>
        <v>8.4528169598532293E-2</v>
      </c>
      <c r="O710" s="1"/>
    </row>
    <row r="711" spans="1:15" x14ac:dyDescent="0.25">
      <c r="A711">
        <v>1072</v>
      </c>
      <c r="B711">
        <v>52835.724439999998</v>
      </c>
      <c r="C711">
        <v>0</v>
      </c>
      <c r="D711">
        <v>138681.6709</v>
      </c>
      <c r="E711">
        <v>0</v>
      </c>
      <c r="F711">
        <v>522728.07040000003</v>
      </c>
      <c r="G711" s="1">
        <v>1.19E-5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0</v>
      </c>
      <c r="M711" s="1">
        <f t="shared" si="47"/>
        <v>0</v>
      </c>
      <c r="N711" s="1">
        <f t="shared" si="48"/>
        <v>1.6638546345871801E-2</v>
      </c>
      <c r="O711" s="1"/>
    </row>
    <row r="712" spans="1:15" x14ac:dyDescent="0.25">
      <c r="A712">
        <v>1073</v>
      </c>
      <c r="B712">
        <v>73372.349629999997</v>
      </c>
      <c r="C712">
        <v>0</v>
      </c>
      <c r="D712">
        <v>265770.93310000002</v>
      </c>
      <c r="E712">
        <v>0</v>
      </c>
      <c r="F712">
        <v>1007351.741</v>
      </c>
      <c r="G712">
        <v>-2.6137000000000003E-4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0</v>
      </c>
      <c r="M712" s="1">
        <f t="shared" si="47"/>
        <v>0</v>
      </c>
      <c r="N712" s="1">
        <f t="shared" si="48"/>
        <v>-4.9281220746506829E-2</v>
      </c>
      <c r="O712" s="1"/>
    </row>
    <row r="713" spans="1:15" x14ac:dyDescent="0.25">
      <c r="A713">
        <v>1074</v>
      </c>
      <c r="B713">
        <v>88433.290569999997</v>
      </c>
      <c r="C713">
        <v>0</v>
      </c>
      <c r="D713">
        <v>596221.74569999997</v>
      </c>
      <c r="E713">
        <v>0</v>
      </c>
      <c r="F713">
        <v>1253946.916</v>
      </c>
      <c r="G713">
        <v>3925.9691499999999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0</v>
      </c>
      <c r="M713" s="1">
        <f t="shared" si="47"/>
        <v>0</v>
      </c>
      <c r="N713" s="1">
        <f t="shared" si="48"/>
        <v>947437.46583473054</v>
      </c>
      <c r="O713" s="1"/>
    </row>
    <row r="714" spans="1:15" x14ac:dyDescent="0.25">
      <c r="A714">
        <v>1075</v>
      </c>
      <c r="B714">
        <v>15819.99323</v>
      </c>
      <c r="C714">
        <v>0</v>
      </c>
      <c r="D714">
        <v>130342.8303</v>
      </c>
      <c r="E714">
        <v>0</v>
      </c>
      <c r="F714">
        <v>279683.3273</v>
      </c>
      <c r="G714" s="1">
        <v>-3.3000000000000003E-5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0</v>
      </c>
      <c r="M714" s="1">
        <f t="shared" si="47"/>
        <v>0</v>
      </c>
      <c r="N714" s="1">
        <f t="shared" si="48"/>
        <v>-0.11752138752306482</v>
      </c>
      <c r="O714" s="1"/>
    </row>
    <row r="715" spans="1:15" x14ac:dyDescent="0.25">
      <c r="A715">
        <v>1076</v>
      </c>
      <c r="B715">
        <v>23782.44483</v>
      </c>
      <c r="C715">
        <v>0</v>
      </c>
      <c r="D715">
        <v>159314.40030000001</v>
      </c>
      <c r="E715">
        <v>0</v>
      </c>
      <c r="F715">
        <v>562664.36800000002</v>
      </c>
      <c r="G715" s="1">
        <v>-3.3899999999999997E-5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0</v>
      </c>
      <c r="M715" s="1">
        <f t="shared" si="47"/>
        <v>0</v>
      </c>
      <c r="N715" s="1">
        <f t="shared" si="48"/>
        <v>-0.19390974356954702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>
        <v>0</v>
      </c>
      <c r="F716">
        <v>264526.60330000002</v>
      </c>
      <c r="G716" s="1">
        <v>-2.6199999999999999E-6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</v>
      </c>
      <c r="M716" s="1">
        <f t="shared" si="47"/>
        <v>0</v>
      </c>
      <c r="N716" s="1">
        <f t="shared" si="48"/>
        <v>-1.562747498940258E-2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>
        <v>0</v>
      </c>
      <c r="F717">
        <v>208715.1299</v>
      </c>
      <c r="G717" s="1">
        <v>3.2799999999999998E-5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0</v>
      </c>
      <c r="M717" s="1">
        <f t="shared" si="47"/>
        <v>0</v>
      </c>
      <c r="N717" s="1">
        <f t="shared" si="48"/>
        <v>0.11061923266441945</v>
      </c>
      <c r="O717" s="1"/>
    </row>
    <row r="718" spans="1:15" x14ac:dyDescent="0.25">
      <c r="A718">
        <v>1079</v>
      </c>
      <c r="B718">
        <v>17015.85571</v>
      </c>
      <c r="C718">
        <v>0</v>
      </c>
      <c r="D718">
        <v>128298.0906</v>
      </c>
      <c r="E718">
        <v>0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0</v>
      </c>
      <c r="M718" s="1">
        <f t="shared" si="47"/>
        <v>0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>
        <v>0</v>
      </c>
      <c r="D719">
        <v>63376.765050000002</v>
      </c>
      <c r="E719">
        <v>0</v>
      </c>
      <c r="F719">
        <v>189396.8836</v>
      </c>
      <c r="G719" s="1">
        <v>2.0800000000000001E-5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0</v>
      </c>
      <c r="M719" s="1">
        <f t="shared" si="47"/>
        <v>0</v>
      </c>
      <c r="N719" s="1">
        <f t="shared" si="48"/>
        <v>7.4163843347836336E-2</v>
      </c>
      <c r="O719" s="1"/>
    </row>
    <row r="720" spans="1:15" x14ac:dyDescent="0.25">
      <c r="A720">
        <v>1081</v>
      </c>
      <c r="B720">
        <v>29735.580539999999</v>
      </c>
      <c r="C720">
        <v>0</v>
      </c>
      <c r="D720">
        <v>133878.90820000001</v>
      </c>
      <c r="E720">
        <v>0</v>
      </c>
      <c r="F720">
        <v>301886.30540000001</v>
      </c>
      <c r="G720" s="1">
        <v>-4.3800000000000001E-5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0</v>
      </c>
      <c r="M720" s="1">
        <f t="shared" si="47"/>
        <v>0</v>
      </c>
      <c r="N720" s="1">
        <f t="shared" si="48"/>
        <v>-0.14002170122633761</v>
      </c>
      <c r="O720" s="1"/>
    </row>
    <row r="721" spans="1:15" x14ac:dyDescent="0.25">
      <c r="A721">
        <v>1082</v>
      </c>
      <c r="B721">
        <v>13667.93916</v>
      </c>
      <c r="C721">
        <v>0</v>
      </c>
      <c r="D721">
        <v>130613.35520000001</v>
      </c>
      <c r="E721">
        <v>0</v>
      </c>
      <c r="F721">
        <v>439069.88179999997</v>
      </c>
      <c r="G721" s="1">
        <v>3.3000000000000003E-5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0</v>
      </c>
      <c r="M721" s="1">
        <f t="shared" si="47"/>
        <v>0</v>
      </c>
      <c r="N721" s="1">
        <f t="shared" si="48"/>
        <v>9.5449231672551912E-2</v>
      </c>
      <c r="O721" s="1"/>
    </row>
    <row r="722" spans="1:15" x14ac:dyDescent="0.25">
      <c r="A722">
        <v>1083</v>
      </c>
      <c r="B722">
        <v>5342.6659579999996</v>
      </c>
      <c r="C722">
        <v>0</v>
      </c>
      <c r="D722">
        <v>90719.823799999998</v>
      </c>
      <c r="E722">
        <v>0</v>
      </c>
      <c r="F722">
        <v>240505.9798</v>
      </c>
      <c r="G722" s="1">
        <v>4.7700000000000001E-5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0</v>
      </c>
      <c r="M722" s="1">
        <f t="shared" si="47"/>
        <v>0</v>
      </c>
      <c r="N722" s="1">
        <f t="shared" si="48"/>
        <v>0.20091771652471049</v>
      </c>
      <c r="O722" s="1"/>
    </row>
    <row r="723" spans="1:15" x14ac:dyDescent="0.25">
      <c r="A723">
        <v>1084</v>
      </c>
      <c r="B723">
        <v>42968.029419999999</v>
      </c>
      <c r="C723">
        <v>0</v>
      </c>
      <c r="D723">
        <v>137098.43460000001</v>
      </c>
      <c r="E723">
        <v>0</v>
      </c>
      <c r="F723">
        <v>671734.77619999996</v>
      </c>
      <c r="G723" s="1">
        <v>1.47E-5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0</v>
      </c>
      <c r="M723" s="1">
        <f t="shared" si="47"/>
        <v>0</v>
      </c>
      <c r="N723" s="1">
        <f t="shared" si="48"/>
        <v>4.1697161247335586E-2</v>
      </c>
      <c r="O723" s="1"/>
    </row>
    <row r="724" spans="1:15" x14ac:dyDescent="0.25">
      <c r="A724">
        <v>1085</v>
      </c>
      <c r="B724">
        <v>83164.018209999995</v>
      </c>
      <c r="C724">
        <v>0</v>
      </c>
      <c r="D724">
        <v>402005.64909999998</v>
      </c>
      <c r="E724">
        <v>0</v>
      </c>
      <c r="F724">
        <v>1149879.649</v>
      </c>
      <c r="G724">
        <v>-1.7293000000000001E-4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0</v>
      </c>
      <c r="M724" s="1">
        <f t="shared" si="47"/>
        <v>0</v>
      </c>
      <c r="N724" s="1">
        <f t="shared" si="48"/>
        <v>-3.6756637920386116E-2</v>
      </c>
      <c r="O724" s="1"/>
    </row>
    <row r="725" spans="1:15" x14ac:dyDescent="0.25">
      <c r="A725">
        <v>1087</v>
      </c>
      <c r="B725">
        <v>8995.9721960000006</v>
      </c>
      <c r="C725">
        <v>0</v>
      </c>
      <c r="D725">
        <v>105113.0154</v>
      </c>
      <c r="E725">
        <v>0</v>
      </c>
      <c r="F725">
        <v>302046.60139999999</v>
      </c>
      <c r="G725" s="1">
        <v>-1.08E-5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0</v>
      </c>
      <c r="M725" s="1">
        <f t="shared" si="47"/>
        <v>0</v>
      </c>
      <c r="N725" s="1">
        <f t="shared" si="48"/>
        <v>-3.6732805979393164E-2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>
        <v>0</v>
      </c>
      <c r="F726">
        <v>516162.69079999998</v>
      </c>
      <c r="G726" s="1">
        <v>3.7299999999999999E-5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</v>
      </c>
      <c r="M726" s="1">
        <f t="shared" si="47"/>
        <v>0</v>
      </c>
      <c r="N726" s="1">
        <f t="shared" si="48"/>
        <v>0.30554787905937719</v>
      </c>
      <c r="O726" s="1"/>
    </row>
    <row r="727" spans="1:15" x14ac:dyDescent="0.25">
      <c r="A727">
        <v>1089</v>
      </c>
      <c r="B727">
        <v>9321.1290480000007</v>
      </c>
      <c r="C727">
        <v>0</v>
      </c>
      <c r="D727">
        <v>126351.91680000001</v>
      </c>
      <c r="E727">
        <v>0</v>
      </c>
      <c r="F727">
        <v>395033.10350000003</v>
      </c>
      <c r="G727" s="1">
        <v>3.4700000000000003E-5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0</v>
      </c>
      <c r="M727" s="1">
        <f t="shared" si="47"/>
        <v>0</v>
      </c>
      <c r="N727" s="1">
        <f t="shared" si="48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>
        <v>0</v>
      </c>
      <c r="F728">
        <v>195714.8714</v>
      </c>
      <c r="G728" s="1">
        <v>3.6199999999999999E-5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0</v>
      </c>
      <c r="N728" s="1">
        <f t="shared" si="48"/>
        <v>0.19263647400868622</v>
      </c>
      <c r="O728" s="1"/>
    </row>
    <row r="729" spans="1:15" x14ac:dyDescent="0.25">
      <c r="A729">
        <v>1091</v>
      </c>
      <c r="B729">
        <v>6340.8881510000001</v>
      </c>
      <c r="C729">
        <v>0</v>
      </c>
      <c r="D729">
        <v>74144.81882</v>
      </c>
      <c r="E729">
        <v>0</v>
      </c>
      <c r="F729">
        <v>173450.60380000001</v>
      </c>
      <c r="G729" s="1">
        <v>-5.3000000000000001E-6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0</v>
      </c>
      <c r="M729" s="1">
        <f t="shared" si="47"/>
        <v>0</v>
      </c>
      <c r="N729" s="1">
        <f t="shared" si="48"/>
        <v>-1.2133235508461281E-2</v>
      </c>
      <c r="O729" s="1"/>
    </row>
    <row r="730" spans="1:15" x14ac:dyDescent="0.25">
      <c r="A730">
        <v>1092</v>
      </c>
      <c r="B730">
        <v>3960.07888</v>
      </c>
      <c r="C730">
        <v>0</v>
      </c>
      <c r="D730">
        <v>17776.125660000002</v>
      </c>
      <c r="E730">
        <v>0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0</v>
      </c>
      <c r="M730" s="1">
        <f t="shared" si="47"/>
        <v>0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>
        <v>0</v>
      </c>
      <c r="D731">
        <v>332279.25679999997</v>
      </c>
      <c r="E731">
        <v>0</v>
      </c>
      <c r="F731">
        <v>1227401.588</v>
      </c>
      <c r="G731" s="1">
        <v>9.6900000000000004E-6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0</v>
      </c>
      <c r="M731" s="1">
        <f t="shared" si="47"/>
        <v>0</v>
      </c>
      <c r="N731" s="1">
        <f t="shared" si="48"/>
        <v>3.0223281224283551E-3</v>
      </c>
      <c r="O731" s="1"/>
    </row>
    <row r="732" spans="1:15" x14ac:dyDescent="0.25">
      <c r="A732">
        <v>1095</v>
      </c>
      <c r="B732">
        <v>91092.25404</v>
      </c>
      <c r="C732">
        <v>0</v>
      </c>
      <c r="D732">
        <v>316106.75780000002</v>
      </c>
      <c r="E732">
        <v>0</v>
      </c>
      <c r="F732">
        <v>1160440.7379999999</v>
      </c>
      <c r="G732">
        <v>3.2517000000000001E-4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0</v>
      </c>
      <c r="M732" s="1">
        <f t="shared" si="47"/>
        <v>0</v>
      </c>
      <c r="N732" s="1">
        <f t="shared" si="48"/>
        <v>0.10729878547194796</v>
      </c>
      <c r="O732" s="1"/>
    </row>
    <row r="733" spans="1:15" x14ac:dyDescent="0.25">
      <c r="A733">
        <v>1096</v>
      </c>
      <c r="B733">
        <v>4398.4109049999997</v>
      </c>
      <c r="C733">
        <v>0</v>
      </c>
      <c r="D733">
        <v>53679.536220000002</v>
      </c>
      <c r="E733">
        <v>0</v>
      </c>
      <c r="F733">
        <v>259339.90040000001</v>
      </c>
      <c r="G733" s="1">
        <v>-6.3400000000000003E-6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0</v>
      </c>
      <c r="M733" s="1">
        <f t="shared" si="47"/>
        <v>0</v>
      </c>
      <c r="N733" s="1">
        <f t="shared" si="48"/>
        <v>-5.5424440384761542E-3</v>
      </c>
      <c r="O733" s="1"/>
    </row>
    <row r="734" spans="1:15" x14ac:dyDescent="0.25">
      <c r="A734">
        <v>1097</v>
      </c>
      <c r="B734">
        <v>67483.727610000002</v>
      </c>
      <c r="C734">
        <v>0</v>
      </c>
      <c r="D734">
        <v>229149.50150000001</v>
      </c>
      <c r="E734">
        <v>0</v>
      </c>
      <c r="F734">
        <v>1023423.477</v>
      </c>
      <c r="G734">
        <v>-4.1340000000000002E-4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0</v>
      </c>
      <c r="M734" s="1">
        <f t="shared" si="47"/>
        <v>0</v>
      </c>
      <c r="N734" s="1">
        <f t="shared" si="48"/>
        <v>-0.20525093894586952</v>
      </c>
      <c r="O734" s="1"/>
    </row>
    <row r="735" spans="1:15" x14ac:dyDescent="0.25">
      <c r="A735">
        <v>1099</v>
      </c>
      <c r="B735">
        <v>110121.13740000001</v>
      </c>
      <c r="C735">
        <v>0</v>
      </c>
      <c r="D735">
        <v>357287.54810000001</v>
      </c>
      <c r="E735">
        <v>0</v>
      </c>
      <c r="F735">
        <v>1208211.254</v>
      </c>
      <c r="G735">
        <v>2.3304E-4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0</v>
      </c>
      <c r="M735" s="1">
        <f t="shared" si="47"/>
        <v>0</v>
      </c>
      <c r="N735" s="1">
        <f t="shared" si="48"/>
        <v>0.11349245382295586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>
        <v>0</v>
      </c>
      <c r="F736">
        <v>239452.27540000001</v>
      </c>
      <c r="G736" s="1">
        <v>-3.6900000000000002E-5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0</v>
      </c>
      <c r="M736" s="1">
        <f t="shared" si="47"/>
        <v>0</v>
      </c>
      <c r="N736" s="1">
        <f t="shared" si="48"/>
        <v>-0.16214637344106925</v>
      </c>
      <c r="O736" s="1"/>
    </row>
    <row r="737" spans="1:15" x14ac:dyDescent="0.25">
      <c r="A737">
        <v>1101</v>
      </c>
      <c r="B737">
        <v>3313.7681050000001</v>
      </c>
      <c r="C737">
        <v>0</v>
      </c>
      <c r="D737">
        <v>37876.705179999997</v>
      </c>
      <c r="E737">
        <v>0</v>
      </c>
      <c r="F737">
        <v>672629.83470000001</v>
      </c>
      <c r="G737" s="1">
        <v>-3.9400000000000002E-5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0</v>
      </c>
      <c r="M737" s="1">
        <f t="shared" si="47"/>
        <v>0</v>
      </c>
      <c r="N737" s="1">
        <f t="shared" si="48"/>
        <v>-0.29866382262360669</v>
      </c>
      <c r="O737" s="1"/>
    </row>
    <row r="738" spans="1:15" x14ac:dyDescent="0.25">
      <c r="A738">
        <v>1102</v>
      </c>
      <c r="B738">
        <v>8166.4601810000004</v>
      </c>
      <c r="C738">
        <v>0</v>
      </c>
      <c r="D738">
        <v>42206.313540000003</v>
      </c>
      <c r="E738">
        <v>0</v>
      </c>
      <c r="F738">
        <v>387467.82439999998</v>
      </c>
      <c r="G738" s="1">
        <v>-4.6900000000000002E-5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0</v>
      </c>
      <c r="M738" s="1">
        <f t="shared" si="47"/>
        <v>0</v>
      </c>
      <c r="N738" s="1">
        <f t="shared" si="48"/>
        <v>-0.29125480544661903</v>
      </c>
      <c r="O738" s="1"/>
    </row>
    <row r="739" spans="1:15" x14ac:dyDescent="0.25">
      <c r="A739">
        <v>1103</v>
      </c>
      <c r="B739">
        <v>5714.5354340000004</v>
      </c>
      <c r="C739">
        <v>0</v>
      </c>
      <c r="D739">
        <v>25472.491679999999</v>
      </c>
      <c r="E739">
        <v>0</v>
      </c>
      <c r="F739">
        <v>253860.92869999999</v>
      </c>
      <c r="G739" s="1">
        <v>-8.85E-6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0</v>
      </c>
      <c r="M739" s="1">
        <f t="shared" si="47"/>
        <v>0</v>
      </c>
      <c r="N739" s="1">
        <f t="shared" si="48"/>
        <v>-6.0374769729353558E-2</v>
      </c>
      <c r="O739" s="1"/>
    </row>
    <row r="740" spans="1:15" x14ac:dyDescent="0.25">
      <c r="A740">
        <v>1104</v>
      </c>
      <c r="B740">
        <v>4171.5381230000003</v>
      </c>
      <c r="C740">
        <v>0</v>
      </c>
      <c r="D740">
        <v>31122.77547</v>
      </c>
      <c r="E740">
        <v>0</v>
      </c>
      <c r="F740">
        <v>215535.15429999999</v>
      </c>
      <c r="G740" s="1">
        <v>-4.7800000000000003E-5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0</v>
      </c>
      <c r="M740" s="1">
        <f t="shared" si="47"/>
        <v>0</v>
      </c>
      <c r="N740" s="1">
        <f t="shared" si="48"/>
        <v>-0.10405899933539108</v>
      </c>
      <c r="O740" s="1"/>
    </row>
    <row r="741" spans="1:15" x14ac:dyDescent="0.25">
      <c r="A741">
        <v>1105</v>
      </c>
      <c r="B741">
        <v>9285.7780550000007</v>
      </c>
      <c r="C741">
        <v>0</v>
      </c>
      <c r="D741">
        <v>153550.10550000001</v>
      </c>
      <c r="E741">
        <v>0</v>
      </c>
      <c r="F741">
        <v>538656.53570000001</v>
      </c>
      <c r="G741" s="1">
        <v>-9.7899999999999994E-6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0</v>
      </c>
      <c r="M741" s="1">
        <f t="shared" si="47"/>
        <v>0</v>
      </c>
      <c r="N741" s="1">
        <f t="shared" si="48"/>
        <v>-4.4294021779850208E-2</v>
      </c>
      <c r="O741" s="1"/>
    </row>
    <row r="742" spans="1:15" x14ac:dyDescent="0.25">
      <c r="A742">
        <v>1106</v>
      </c>
      <c r="B742">
        <v>9385.0848069999993</v>
      </c>
      <c r="C742">
        <v>0</v>
      </c>
      <c r="D742">
        <v>100040.196</v>
      </c>
      <c r="E742">
        <v>0</v>
      </c>
      <c r="F742">
        <v>342050.20209999999</v>
      </c>
      <c r="G742" s="1">
        <v>-4.2799999999999997E-5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0</v>
      </c>
      <c r="M742" s="1">
        <f t="shared" si="47"/>
        <v>0</v>
      </c>
      <c r="N742" s="1">
        <f t="shared" si="48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>
        <v>0</v>
      </c>
      <c r="F743">
        <v>200528.53030000001</v>
      </c>
      <c r="G743" s="1">
        <v>4.4700000000000002E-5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0</v>
      </c>
      <c r="N743" s="1">
        <f t="shared" si="48"/>
        <v>0.28437043022900915</v>
      </c>
      <c r="O743" s="1"/>
    </row>
    <row r="744" spans="1:15" x14ac:dyDescent="0.25">
      <c r="A744">
        <v>1108</v>
      </c>
      <c r="B744">
        <v>10018.257970000001</v>
      </c>
      <c r="C744">
        <v>0</v>
      </c>
      <c r="D744">
        <v>102222.03780000001</v>
      </c>
      <c r="E744">
        <v>0</v>
      </c>
      <c r="F744">
        <v>341611.02059999999</v>
      </c>
      <c r="G744" s="1">
        <v>-1.59E-5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0</v>
      </c>
      <c r="M744" s="1">
        <f t="shared" si="47"/>
        <v>0</v>
      </c>
      <c r="N744" s="1">
        <f t="shared" si="48"/>
        <v>-4.7257854859196292E-2</v>
      </c>
      <c r="O744" s="1"/>
    </row>
    <row r="745" spans="1:15" x14ac:dyDescent="0.25">
      <c r="A745">
        <v>1109</v>
      </c>
      <c r="B745">
        <v>6878.7881880000004</v>
      </c>
      <c r="C745">
        <v>0</v>
      </c>
      <c r="D745">
        <v>39455.949769999999</v>
      </c>
      <c r="E745">
        <v>0</v>
      </c>
      <c r="F745">
        <v>274536.38050000003</v>
      </c>
      <c r="G745" s="1">
        <v>4.4900000000000002E-6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0</v>
      </c>
      <c r="M745" s="1">
        <f t="shared" si="47"/>
        <v>0</v>
      </c>
      <c r="N745" s="1">
        <f t="shared" si="48"/>
        <v>1.7813572802246522E-2</v>
      </c>
      <c r="O745" s="1"/>
    </row>
    <row r="746" spans="1:15" x14ac:dyDescent="0.25">
      <c r="A746">
        <v>1110</v>
      </c>
      <c r="B746">
        <v>9535.3730849999993</v>
      </c>
      <c r="C746">
        <v>0</v>
      </c>
      <c r="D746">
        <v>87366.245030000005</v>
      </c>
      <c r="E746">
        <v>0</v>
      </c>
      <c r="F746">
        <v>325477.18320000003</v>
      </c>
      <c r="G746" s="1">
        <v>-2.3200000000000001E-5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0</v>
      </c>
      <c r="M746" s="1">
        <f t="shared" si="47"/>
        <v>0</v>
      </c>
      <c r="N746" s="1">
        <f t="shared" si="48"/>
        <v>-1.9653352264018084E-2</v>
      </c>
      <c r="O746" s="1"/>
    </row>
    <row r="747" spans="1:15" x14ac:dyDescent="0.25">
      <c r="A747">
        <v>1111</v>
      </c>
      <c r="B747">
        <v>22162.806629999999</v>
      </c>
      <c r="C747">
        <v>0</v>
      </c>
      <c r="D747">
        <v>105768.3235</v>
      </c>
      <c r="E747">
        <v>0</v>
      </c>
      <c r="F747">
        <v>278349.62050000002</v>
      </c>
      <c r="G747" s="1">
        <v>3.5800000000000003E-5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0</v>
      </c>
      <c r="M747" s="1">
        <f t="shared" si="47"/>
        <v>0</v>
      </c>
      <c r="N747" s="1">
        <f t="shared" si="48"/>
        <v>4.6501600811762293E-2</v>
      </c>
      <c r="O747" s="1"/>
    </row>
    <row r="748" spans="1:15" x14ac:dyDescent="0.25">
      <c r="A748">
        <v>1112</v>
      </c>
      <c r="B748">
        <v>37917.467750000003</v>
      </c>
      <c r="C748">
        <v>0</v>
      </c>
      <c r="D748">
        <v>112609.9611</v>
      </c>
      <c r="E748">
        <v>0</v>
      </c>
      <c r="F748">
        <v>280567.94069999998</v>
      </c>
      <c r="G748" s="1">
        <v>3.5200000000000002E-5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0</v>
      </c>
      <c r="M748" s="1">
        <f t="shared" si="47"/>
        <v>0</v>
      </c>
      <c r="N748" s="1">
        <f t="shared" si="48"/>
        <v>2.9363603610939846E-2</v>
      </c>
      <c r="O748" s="1"/>
    </row>
    <row r="749" spans="1:15" x14ac:dyDescent="0.25">
      <c r="A749">
        <v>1113</v>
      </c>
      <c r="B749">
        <v>4740.5322399999995</v>
      </c>
      <c r="C749">
        <v>0</v>
      </c>
      <c r="D749">
        <v>64926.036910000003</v>
      </c>
      <c r="E749">
        <v>0</v>
      </c>
      <c r="F749">
        <v>222606.22700000001</v>
      </c>
      <c r="G749" s="1">
        <v>3.79E-5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0</v>
      </c>
      <c r="M749" s="1">
        <f t="shared" si="47"/>
        <v>0</v>
      </c>
      <c r="N749" s="1">
        <f t="shared" si="48"/>
        <v>9.5747254260943437E-2</v>
      </c>
      <c r="O749" s="1"/>
    </row>
    <row r="750" spans="1:15" x14ac:dyDescent="0.25">
      <c r="A750">
        <v>1114</v>
      </c>
      <c r="B750">
        <v>2062.0521220000001</v>
      </c>
      <c r="C750">
        <v>0</v>
      </c>
      <c r="D750">
        <v>62343.529820000003</v>
      </c>
      <c r="E750">
        <v>0</v>
      </c>
      <c r="F750">
        <v>149140.29949999999</v>
      </c>
      <c r="G750" s="1">
        <v>4.9999999999999998E-8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0</v>
      </c>
      <c r="M750" s="1">
        <f t="shared" si="47"/>
        <v>0</v>
      </c>
      <c r="N750" s="1">
        <f t="shared" si="48"/>
        <v>2.4833665114386001E-4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>
        <v>0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0</v>
      </c>
      <c r="M751" s="1">
        <f t="shared" si="47"/>
        <v>0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>
        <v>0</v>
      </c>
      <c r="D752">
        <v>87800.193429999999</v>
      </c>
      <c r="E752">
        <v>0</v>
      </c>
      <c r="F752">
        <v>218257.7438</v>
      </c>
      <c r="G752" s="1">
        <v>3.93E-5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0</v>
      </c>
      <c r="M752" s="1">
        <f t="shared" si="47"/>
        <v>0</v>
      </c>
      <c r="N752" s="1">
        <f t="shared" si="48"/>
        <v>0.13503696267475951</v>
      </c>
      <c r="O752" s="1"/>
    </row>
    <row r="753" spans="1:15" x14ac:dyDescent="0.25">
      <c r="A753">
        <v>1117</v>
      </c>
      <c r="B753">
        <v>24336.303550000001</v>
      </c>
      <c r="C753">
        <v>0</v>
      </c>
      <c r="D753">
        <v>90639.543479999993</v>
      </c>
      <c r="E753">
        <v>0</v>
      </c>
      <c r="F753">
        <v>251622.32810000001</v>
      </c>
      <c r="G753" s="1">
        <v>4.9100000000000001E-5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0</v>
      </c>
      <c r="M753" s="1">
        <f t="shared" si="47"/>
        <v>0</v>
      </c>
      <c r="N753" s="1">
        <f t="shared" si="48"/>
        <v>5.5284842678338691E-2</v>
      </c>
      <c r="O753" s="1"/>
    </row>
    <row r="754" spans="1:15" x14ac:dyDescent="0.25">
      <c r="A754">
        <v>1118</v>
      </c>
      <c r="B754">
        <v>12532.652700000001</v>
      </c>
      <c r="C754">
        <v>0</v>
      </c>
      <c r="D754">
        <v>98635.016560000004</v>
      </c>
      <c r="E754">
        <v>0</v>
      </c>
      <c r="F754">
        <v>305816.83419999998</v>
      </c>
      <c r="G754" s="1">
        <v>-3.2199999999999997E-5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0</v>
      </c>
      <c r="M754" s="1">
        <f t="shared" si="47"/>
        <v>0</v>
      </c>
      <c r="N754" s="1">
        <f t="shared" si="48"/>
        <v>-0.13926850374893737</v>
      </c>
      <c r="O754" s="1"/>
    </row>
    <row r="755" spans="1:15" x14ac:dyDescent="0.25">
      <c r="A755">
        <v>1119</v>
      </c>
      <c r="B755">
        <v>37904.543449999997</v>
      </c>
      <c r="C755">
        <v>0</v>
      </c>
      <c r="D755">
        <v>107017.38710000001</v>
      </c>
      <c r="E755">
        <v>0</v>
      </c>
      <c r="F755">
        <v>271951.80339999998</v>
      </c>
      <c r="G755" s="1">
        <v>3.8600000000000003E-5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0</v>
      </c>
      <c r="M755" s="1">
        <f t="shared" si="47"/>
        <v>0</v>
      </c>
      <c r="N755" s="1">
        <f t="shared" si="48"/>
        <v>5.0903150651747532E-2</v>
      </c>
      <c r="O755" s="1"/>
    </row>
    <row r="756" spans="1:15" x14ac:dyDescent="0.25">
      <c r="A756">
        <v>1120</v>
      </c>
      <c r="B756">
        <v>20516.30472</v>
      </c>
      <c r="C756">
        <v>0</v>
      </c>
      <c r="D756">
        <v>87923.730649999998</v>
      </c>
      <c r="E756">
        <v>0</v>
      </c>
      <c r="F756">
        <v>242043.36840000001</v>
      </c>
      <c r="G756" s="1">
        <v>2.2200000000000001E-5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0</v>
      </c>
      <c r="M756" s="1">
        <f t="shared" si="47"/>
        <v>0</v>
      </c>
      <c r="N756" s="1">
        <f t="shared" si="48"/>
        <v>6.9622197201469435E-2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>
        <v>0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0</v>
      </c>
      <c r="M757" s="1">
        <f t="shared" si="47"/>
        <v>0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>
        <v>0</v>
      </c>
      <c r="D758">
        <v>129584.62119999999</v>
      </c>
      <c r="E758">
        <v>0</v>
      </c>
      <c r="F758">
        <v>293318.91970000003</v>
      </c>
      <c r="G758" s="1">
        <v>4.57E-5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0</v>
      </c>
      <c r="M758" s="1">
        <f t="shared" si="47"/>
        <v>0</v>
      </c>
      <c r="N758" s="1">
        <f t="shared" si="48"/>
        <v>0.29475183691657802</v>
      </c>
      <c r="O758" s="1"/>
    </row>
    <row r="759" spans="1:15" x14ac:dyDescent="0.25">
      <c r="A759">
        <v>1123</v>
      </c>
      <c r="B759">
        <v>16808.374680000001</v>
      </c>
      <c r="C759">
        <v>0</v>
      </c>
      <c r="D759">
        <v>110849.8861</v>
      </c>
      <c r="E759">
        <v>0</v>
      </c>
      <c r="F759">
        <v>287088.64299999998</v>
      </c>
      <c r="G759" s="1">
        <v>-4.7500000000000003E-5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0</v>
      </c>
      <c r="M759" s="1">
        <f t="shared" si="47"/>
        <v>0</v>
      </c>
      <c r="N759" s="1">
        <f t="shared" si="48"/>
        <v>-0.26004378822852753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>
        <v>0</v>
      </c>
      <c r="F760">
        <v>225589.7727</v>
      </c>
      <c r="G760" s="1">
        <v>3.0300000000000001E-5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0</v>
      </c>
      <c r="M760" s="1">
        <f t="shared" si="47"/>
        <v>0</v>
      </c>
      <c r="N760" s="1">
        <f t="shared" si="48"/>
        <v>9.9557140635274599E-2</v>
      </c>
      <c r="O760" s="1"/>
    </row>
    <row r="761" spans="1:15" x14ac:dyDescent="0.25">
      <c r="A761">
        <v>1125</v>
      </c>
      <c r="B761">
        <v>44116.576840000002</v>
      </c>
      <c r="C761">
        <v>0</v>
      </c>
      <c r="D761">
        <v>141197.79250000001</v>
      </c>
      <c r="E761">
        <v>0</v>
      </c>
      <c r="F761">
        <v>376716.48300000001</v>
      </c>
      <c r="G761" s="1">
        <v>-3.96E-5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0</v>
      </c>
      <c r="M761" s="1">
        <f t="shared" si="47"/>
        <v>0</v>
      </c>
      <c r="N761" s="1">
        <f t="shared" si="48"/>
        <v>-0.11798166824128475</v>
      </c>
      <c r="O761" s="1"/>
    </row>
    <row r="762" spans="1:15" x14ac:dyDescent="0.25">
      <c r="A762">
        <v>1126</v>
      </c>
      <c r="B762">
        <v>59556.801570000003</v>
      </c>
      <c r="C762">
        <v>0</v>
      </c>
      <c r="D762">
        <v>142066.23209999999</v>
      </c>
      <c r="E762">
        <v>0</v>
      </c>
      <c r="F762">
        <v>355246.44189999998</v>
      </c>
      <c r="G762" s="1">
        <v>-3.9799999999999998E-5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0</v>
      </c>
      <c r="M762" s="1">
        <f t="shared" si="47"/>
        <v>0</v>
      </c>
      <c r="N762" s="1">
        <f t="shared" si="48"/>
        <v>-4.8060735896889237E-2</v>
      </c>
      <c r="O762" s="1"/>
    </row>
    <row r="763" spans="1:15" x14ac:dyDescent="0.25">
      <c r="A763">
        <v>1127</v>
      </c>
      <c r="B763">
        <v>2564.8333520000001</v>
      </c>
      <c r="C763">
        <v>0</v>
      </c>
      <c r="D763">
        <v>64992.548069999997</v>
      </c>
      <c r="E763">
        <v>0</v>
      </c>
      <c r="F763">
        <v>137788.38740000001</v>
      </c>
      <c r="G763" s="1">
        <v>-1.34E-5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0</v>
      </c>
      <c r="M763" s="1">
        <f t="shared" si="47"/>
        <v>0</v>
      </c>
      <c r="N763" s="1">
        <f t="shared" si="48"/>
        <v>-4.1674067040540372E-2</v>
      </c>
      <c r="O763" s="1"/>
    </row>
    <row r="764" spans="1:15" x14ac:dyDescent="0.25">
      <c r="A764">
        <v>1128</v>
      </c>
      <c r="B764">
        <v>3247.1244280000001</v>
      </c>
      <c r="C764">
        <v>0</v>
      </c>
      <c r="D764">
        <v>72558.692320000002</v>
      </c>
      <c r="E764">
        <v>0</v>
      </c>
      <c r="F764">
        <v>221642.63380000001</v>
      </c>
      <c r="G764" s="1">
        <v>4.8300000000000002E-5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0</v>
      </c>
      <c r="M764" s="1">
        <f t="shared" si="47"/>
        <v>0</v>
      </c>
      <c r="N764" s="1">
        <f t="shared" si="48"/>
        <v>0.15577495020590204</v>
      </c>
      <c r="O764" s="1"/>
    </row>
    <row r="765" spans="1:15" x14ac:dyDescent="0.25">
      <c r="A765">
        <v>1129</v>
      </c>
      <c r="B765">
        <v>6298.6273440000004</v>
      </c>
      <c r="C765">
        <v>0</v>
      </c>
      <c r="D765">
        <v>76408.2592</v>
      </c>
      <c r="E765">
        <v>0</v>
      </c>
      <c r="F765">
        <v>169744.82829999999</v>
      </c>
      <c r="G765" s="1">
        <v>3.4799999999999999E-5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0</v>
      </c>
      <c r="M765" s="1">
        <f t="shared" si="47"/>
        <v>0</v>
      </c>
      <c r="N765" s="1">
        <f t="shared" si="48"/>
        <v>9.0115971803047451E-2</v>
      </c>
      <c r="O765" s="1"/>
    </row>
    <row r="766" spans="1:15" x14ac:dyDescent="0.25">
      <c r="A766">
        <v>1130</v>
      </c>
      <c r="B766">
        <v>2332.0564380000001</v>
      </c>
      <c r="C766">
        <v>0</v>
      </c>
      <c r="D766">
        <v>35812.479800000001</v>
      </c>
      <c r="E766">
        <v>0</v>
      </c>
      <c r="F766">
        <v>238329.0845</v>
      </c>
      <c r="G766" s="1">
        <v>-3.2299999999999999E-5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0</v>
      </c>
      <c r="M766" s="1">
        <f t="shared" si="47"/>
        <v>0</v>
      </c>
      <c r="N766" s="1">
        <f t="shared" si="48"/>
        <v>-0.10327618413687512</v>
      </c>
      <c r="O766" s="1"/>
    </row>
    <row r="767" spans="1:15" x14ac:dyDescent="0.25">
      <c r="A767">
        <v>1131</v>
      </c>
      <c r="B767">
        <v>9792.1559300000008</v>
      </c>
      <c r="C767">
        <v>0</v>
      </c>
      <c r="D767">
        <v>85812.129920000007</v>
      </c>
      <c r="E767">
        <v>0</v>
      </c>
      <c r="F767">
        <v>259031.54689999999</v>
      </c>
      <c r="G767" s="1">
        <v>-3.9700000000000003E-5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0</v>
      </c>
      <c r="M767" s="1">
        <f t="shared" si="47"/>
        <v>0</v>
      </c>
      <c r="N767" s="1">
        <f t="shared" si="48"/>
        <v>-0.1025092006737197</v>
      </c>
      <c r="O767" s="1"/>
    </row>
    <row r="768" spans="1:15" x14ac:dyDescent="0.25">
      <c r="A768">
        <v>1132</v>
      </c>
      <c r="B768">
        <v>2487.9428119999998</v>
      </c>
      <c r="C768">
        <v>0</v>
      </c>
      <c r="D768">
        <v>73495.441439999995</v>
      </c>
      <c r="E768">
        <v>0</v>
      </c>
      <c r="F768">
        <v>144671.02710000001</v>
      </c>
      <c r="G768" s="1">
        <v>2.87E-5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0</v>
      </c>
      <c r="M768" s="1">
        <f t="shared" si="47"/>
        <v>0</v>
      </c>
      <c r="N768" s="1">
        <f t="shared" si="48"/>
        <v>0.18414229167745111</v>
      </c>
      <c r="O768" s="1"/>
    </row>
    <row r="769" spans="1:15" x14ac:dyDescent="0.25">
      <c r="A769">
        <v>1133</v>
      </c>
      <c r="B769">
        <v>2417.1413170000001</v>
      </c>
      <c r="C769">
        <v>0</v>
      </c>
      <c r="D769">
        <v>53453.355179999999</v>
      </c>
      <c r="E769">
        <v>0</v>
      </c>
      <c r="F769">
        <v>210920.51379999999</v>
      </c>
      <c r="G769" s="1">
        <v>2.0099999999999998E-6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0</v>
      </c>
      <c r="M769" s="1">
        <f t="shared" si="47"/>
        <v>0</v>
      </c>
      <c r="N769" s="1">
        <f t="shared" si="48"/>
        <v>2.887800931476918E-3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>
        <v>0</v>
      </c>
      <c r="F770">
        <v>166058.68369999999</v>
      </c>
      <c r="G770" s="1">
        <v>-1.2799999999999999E-5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0</v>
      </c>
      <c r="M770" s="1">
        <f t="shared" si="47"/>
        <v>0</v>
      </c>
      <c r="N770" s="1">
        <f t="shared" si="48"/>
        <v>-7.8775256615615991E-2</v>
      </c>
      <c r="O770" s="1"/>
    </row>
    <row r="771" spans="1:15" x14ac:dyDescent="0.25">
      <c r="A771">
        <v>1135</v>
      </c>
      <c r="B771">
        <v>3439.528722</v>
      </c>
      <c r="C771">
        <v>0</v>
      </c>
      <c r="D771">
        <v>82401.454199999993</v>
      </c>
      <c r="E771">
        <v>0</v>
      </c>
      <c r="F771">
        <v>191142.57629999999</v>
      </c>
      <c r="G771" s="1">
        <v>-2.2500000000000001E-5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0</v>
      </c>
      <c r="M771" s="1">
        <f t="shared" ref="M771:M834" si="51">$U$3*$K771*E771</f>
        <v>0</v>
      </c>
      <c r="N771" s="1">
        <f t="shared" ref="N771:N834" si="52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>
        <v>0</v>
      </c>
      <c r="D772">
        <v>75415.042130000002</v>
      </c>
      <c r="E772">
        <v>0</v>
      </c>
      <c r="F772">
        <v>244201.37849999999</v>
      </c>
      <c r="G772" s="1">
        <v>-1.7499999999999998E-5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0</v>
      </c>
      <c r="M772" s="1">
        <f t="shared" si="51"/>
        <v>0</v>
      </c>
      <c r="N772" s="1">
        <f t="shared" si="52"/>
        <v>-2.7123649740011999E-2</v>
      </c>
      <c r="O772" s="1"/>
    </row>
    <row r="773" spans="1:15" x14ac:dyDescent="0.25">
      <c r="A773">
        <v>1200</v>
      </c>
      <c r="B773">
        <v>6384.6344559999998</v>
      </c>
      <c r="C773">
        <v>0</v>
      </c>
      <c r="D773">
        <v>32088.847170000001</v>
      </c>
      <c r="E773">
        <v>0</v>
      </c>
      <c r="F773">
        <v>127901.3316</v>
      </c>
      <c r="G773" s="1">
        <v>2.09E-5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0</v>
      </c>
      <c r="M773" s="1">
        <f t="shared" si="51"/>
        <v>0</v>
      </c>
      <c r="N773" s="1">
        <f t="shared" si="52"/>
        <v>0.13975916412425221</v>
      </c>
      <c r="O773" s="1"/>
    </row>
    <row r="774" spans="1:15" x14ac:dyDescent="0.25">
      <c r="A774">
        <v>1201</v>
      </c>
      <c r="B774">
        <v>8751.6784430000007</v>
      </c>
      <c r="C774">
        <v>0</v>
      </c>
      <c r="D774">
        <v>44904.674579999999</v>
      </c>
      <c r="E774">
        <v>0</v>
      </c>
      <c r="F774">
        <v>202901.5183</v>
      </c>
      <c r="G774" s="1">
        <v>-6.8299999999999998E-6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0</v>
      </c>
      <c r="M774" s="1">
        <f t="shared" si="51"/>
        <v>0</v>
      </c>
      <c r="N774" s="1">
        <f t="shared" si="52"/>
        <v>-2.0936950206631395E-2</v>
      </c>
      <c r="O774" s="1"/>
    </row>
    <row r="775" spans="1:15" x14ac:dyDescent="0.25">
      <c r="A775">
        <v>1202</v>
      </c>
      <c r="B775">
        <v>6898.3166899999997</v>
      </c>
      <c r="C775">
        <v>0</v>
      </c>
      <c r="D775">
        <v>44162.810089999999</v>
      </c>
      <c r="E775">
        <v>0</v>
      </c>
      <c r="F775">
        <v>177797.47409999999</v>
      </c>
      <c r="G775" s="1">
        <v>-4.1E-5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0</v>
      </c>
      <c r="M775" s="1">
        <f t="shared" si="51"/>
        <v>0</v>
      </c>
      <c r="N775" s="1">
        <f t="shared" si="52"/>
        <v>-0.16585254620091691</v>
      </c>
      <c r="O775" s="1"/>
    </row>
    <row r="776" spans="1:15" x14ac:dyDescent="0.25">
      <c r="A776">
        <v>1203</v>
      </c>
      <c r="B776">
        <v>9068.8277330000001</v>
      </c>
      <c r="C776">
        <v>0</v>
      </c>
      <c r="D776">
        <v>51354.56639</v>
      </c>
      <c r="E776">
        <v>0</v>
      </c>
      <c r="F776">
        <v>238309.9797</v>
      </c>
      <c r="G776" s="1">
        <v>-2.87E-5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0</v>
      </c>
      <c r="M776" s="1">
        <f t="shared" si="51"/>
        <v>0</v>
      </c>
      <c r="N776" s="1">
        <f t="shared" si="52"/>
        <v>-0.10403094028566751</v>
      </c>
      <c r="O776" s="1"/>
    </row>
    <row r="777" spans="1:15" x14ac:dyDescent="0.25">
      <c r="A777">
        <v>1204</v>
      </c>
      <c r="B777">
        <v>5858.3732849999997</v>
      </c>
      <c r="C777">
        <v>0</v>
      </c>
      <c r="D777">
        <v>47565.420980000003</v>
      </c>
      <c r="E777">
        <v>0</v>
      </c>
      <c r="F777">
        <v>219133.5765</v>
      </c>
      <c r="G777" s="1">
        <v>-2.8200000000000001E-5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0</v>
      </c>
      <c r="M777" s="1">
        <f t="shared" si="51"/>
        <v>0</v>
      </c>
      <c r="N777" s="1">
        <f t="shared" si="52"/>
        <v>-9.5049881057937782E-2</v>
      </c>
      <c r="O777" s="1"/>
    </row>
    <row r="778" spans="1:15" x14ac:dyDescent="0.25">
      <c r="A778">
        <v>1205</v>
      </c>
      <c r="B778">
        <v>5523.0042729999996</v>
      </c>
      <c r="C778">
        <v>0</v>
      </c>
      <c r="D778">
        <v>40585.776890000001</v>
      </c>
      <c r="E778">
        <v>0</v>
      </c>
      <c r="F778">
        <v>142472.96960000001</v>
      </c>
      <c r="G778" s="1">
        <v>-3.8500000000000001E-5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0</v>
      </c>
      <c r="M778" s="1">
        <f t="shared" si="51"/>
        <v>0</v>
      </c>
      <c r="N778" s="1">
        <f t="shared" si="52"/>
        <v>-0.21832558275297001</v>
      </c>
      <c r="O778" s="1"/>
    </row>
    <row r="779" spans="1:15" x14ac:dyDescent="0.25">
      <c r="A779">
        <v>1206</v>
      </c>
      <c r="B779">
        <v>8510.3592439999993</v>
      </c>
      <c r="C779">
        <v>0</v>
      </c>
      <c r="D779">
        <v>45599.167439999997</v>
      </c>
      <c r="E779">
        <v>0</v>
      </c>
      <c r="F779">
        <v>198553.22940000001</v>
      </c>
      <c r="G779" s="1">
        <v>-2.0299999999999999E-5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0</v>
      </c>
      <c r="M779" s="1">
        <f t="shared" si="51"/>
        <v>0</v>
      </c>
      <c r="N779" s="1">
        <f t="shared" si="52"/>
        <v>-9.2568897156626306E-2</v>
      </c>
      <c r="O779" s="1"/>
    </row>
    <row r="780" spans="1:15" x14ac:dyDescent="0.25">
      <c r="A780">
        <v>1207</v>
      </c>
      <c r="B780">
        <v>5891.8509439999998</v>
      </c>
      <c r="C780">
        <v>0</v>
      </c>
      <c r="D780">
        <v>38887.37343</v>
      </c>
      <c r="E780">
        <v>0</v>
      </c>
      <c r="F780">
        <v>146636.43109999999</v>
      </c>
      <c r="G780" s="1">
        <v>-3.4100000000000002E-5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0</v>
      </c>
      <c r="M780" s="1">
        <f t="shared" si="51"/>
        <v>0</v>
      </c>
      <c r="N780" s="1">
        <f t="shared" si="52"/>
        <v>-0.20361616576082764</v>
      </c>
      <c r="O780" s="1"/>
    </row>
    <row r="781" spans="1:15" x14ac:dyDescent="0.25">
      <c r="A781">
        <v>1209</v>
      </c>
      <c r="B781">
        <v>21139.264149999999</v>
      </c>
      <c r="C781">
        <v>0</v>
      </c>
      <c r="D781">
        <v>119479.84639999999</v>
      </c>
      <c r="E781">
        <v>0</v>
      </c>
      <c r="F781">
        <v>369100.51130000001</v>
      </c>
      <c r="G781" s="1">
        <v>-2.12E-5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0</v>
      </c>
      <c r="M781" s="1">
        <f t="shared" si="51"/>
        <v>0</v>
      </c>
      <c r="N781" s="1">
        <f t="shared" si="52"/>
        <v>-2.6151055229195763E-2</v>
      </c>
      <c r="O781" s="1"/>
    </row>
    <row r="782" spans="1:15" x14ac:dyDescent="0.25">
      <c r="A782">
        <v>1210</v>
      </c>
      <c r="B782">
        <v>12754.419019999999</v>
      </c>
      <c r="C782">
        <v>0</v>
      </c>
      <c r="D782">
        <v>58080.227859999999</v>
      </c>
      <c r="E782">
        <v>0</v>
      </c>
      <c r="F782">
        <v>206194.0336</v>
      </c>
      <c r="G782" s="1">
        <v>3.0199999999999999E-5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0</v>
      </c>
      <c r="M782" s="1">
        <f t="shared" si="51"/>
        <v>0</v>
      </c>
      <c r="N782" s="1">
        <f t="shared" si="52"/>
        <v>0.23006455328429101</v>
      </c>
      <c r="O782" s="1"/>
    </row>
    <row r="783" spans="1:15" x14ac:dyDescent="0.25">
      <c r="A783">
        <v>1211</v>
      </c>
      <c r="B783">
        <v>7213.6297249999998</v>
      </c>
      <c r="C783">
        <v>0</v>
      </c>
      <c r="D783">
        <v>40436.778299999998</v>
      </c>
      <c r="E783">
        <v>0</v>
      </c>
      <c r="F783">
        <v>165776.20970000001</v>
      </c>
      <c r="G783" s="1">
        <v>2.0000000000000002E-5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0</v>
      </c>
      <c r="M783" s="1">
        <f t="shared" si="51"/>
        <v>0</v>
      </c>
      <c r="N783" s="1">
        <f t="shared" si="52"/>
        <v>0.10040971464909601</v>
      </c>
      <c r="O783" s="1"/>
    </row>
    <row r="784" spans="1:15" x14ac:dyDescent="0.25">
      <c r="A784">
        <v>1212</v>
      </c>
      <c r="B784">
        <v>9175.1377549999997</v>
      </c>
      <c r="C784">
        <v>0</v>
      </c>
      <c r="D784">
        <v>45103.276610000001</v>
      </c>
      <c r="E784">
        <v>0</v>
      </c>
      <c r="F784">
        <v>166904.55290000001</v>
      </c>
      <c r="G784" s="1">
        <v>-4.2400000000000001E-5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0</v>
      </c>
      <c r="M784" s="1">
        <f t="shared" si="51"/>
        <v>0</v>
      </c>
      <c r="N784" s="1">
        <f t="shared" si="52"/>
        <v>-0.16210814035425433</v>
      </c>
      <c r="O784" s="1"/>
    </row>
    <row r="785" spans="1:15" x14ac:dyDescent="0.25">
      <c r="A785">
        <v>1213</v>
      </c>
      <c r="B785">
        <v>11123.221320000001</v>
      </c>
      <c r="C785">
        <v>0</v>
      </c>
      <c r="D785">
        <v>53151.438419999999</v>
      </c>
      <c r="E785">
        <v>0</v>
      </c>
      <c r="F785">
        <v>192940.5975</v>
      </c>
      <c r="G785" s="1">
        <v>-1.7499999999999998E-5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0</v>
      </c>
      <c r="M785" s="1">
        <f t="shared" si="51"/>
        <v>0</v>
      </c>
      <c r="N785" s="1">
        <f t="shared" si="52"/>
        <v>-3.0957273801137251E-2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>
        <v>0</v>
      </c>
      <c r="F786">
        <v>189498.0791</v>
      </c>
      <c r="G786" s="1">
        <v>-1.1600000000000001E-5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0</v>
      </c>
      <c r="M786" s="1">
        <f t="shared" si="51"/>
        <v>0</v>
      </c>
      <c r="N786" s="1">
        <f t="shared" si="52"/>
        <v>-2.8541309927543043E-2</v>
      </c>
      <c r="O786" s="1"/>
    </row>
    <row r="787" spans="1:15" x14ac:dyDescent="0.25">
      <c r="A787">
        <v>1215</v>
      </c>
      <c r="B787">
        <v>15796.75201</v>
      </c>
      <c r="C787">
        <v>0</v>
      </c>
      <c r="D787">
        <v>63402.907310000002</v>
      </c>
      <c r="E787">
        <v>0</v>
      </c>
      <c r="F787">
        <v>203135.5147</v>
      </c>
      <c r="G787" s="1">
        <v>3.8300000000000003E-5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0</v>
      </c>
      <c r="M787" s="1">
        <f t="shared" si="51"/>
        <v>0</v>
      </c>
      <c r="N787" s="1">
        <f t="shared" si="52"/>
        <v>2.7905047921998632E-2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>
        <v>0</v>
      </c>
      <c r="F788">
        <v>212063.16579999999</v>
      </c>
      <c r="G788" s="1">
        <v>-2.12E-5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0</v>
      </c>
      <c r="M788" s="1">
        <f t="shared" si="51"/>
        <v>0</v>
      </c>
      <c r="N788" s="1">
        <f t="shared" si="52"/>
        <v>-0.10979827403632561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>
        <v>0</v>
      </c>
      <c r="F789">
        <v>126087.8688</v>
      </c>
      <c r="G789" s="1">
        <v>1.98E-5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0</v>
      </c>
      <c r="M789" s="1">
        <f t="shared" si="51"/>
        <v>0</v>
      </c>
      <c r="N789" s="1">
        <f t="shared" si="52"/>
        <v>4.9059900427719072E-2</v>
      </c>
      <c r="O789" s="1"/>
    </row>
    <row r="790" spans="1:15" x14ac:dyDescent="0.25">
      <c r="A790">
        <v>1218</v>
      </c>
      <c r="B790">
        <v>38363.119879999998</v>
      </c>
      <c r="C790">
        <v>0</v>
      </c>
      <c r="D790">
        <v>172981.6476</v>
      </c>
      <c r="E790">
        <v>0</v>
      </c>
      <c r="F790">
        <v>481627.06839999999</v>
      </c>
      <c r="G790" s="1">
        <v>-5.7599999999999999E-6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0</v>
      </c>
      <c r="M790" s="1">
        <f t="shared" si="51"/>
        <v>0</v>
      </c>
      <c r="N790" s="1">
        <f t="shared" si="52"/>
        <v>-1.1041963037920512E-2</v>
      </c>
      <c r="O790" s="1"/>
    </row>
    <row r="791" spans="1:15" x14ac:dyDescent="0.25">
      <c r="A791">
        <v>1219</v>
      </c>
      <c r="B791">
        <v>40949.628019999996</v>
      </c>
      <c r="C791">
        <v>0</v>
      </c>
      <c r="D791">
        <v>178480.35389999999</v>
      </c>
      <c r="E791">
        <v>0</v>
      </c>
      <c r="F791">
        <v>516858.76</v>
      </c>
      <c r="G791" s="1">
        <v>-1.7399999999999999E-5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0</v>
      </c>
      <c r="M791" s="1">
        <f t="shared" si="51"/>
        <v>0</v>
      </c>
      <c r="N791" s="1">
        <f t="shared" si="52"/>
        <v>-1.8574310297112481E-2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>
        <v>0</v>
      </c>
      <c r="F792">
        <v>1076215.3189999999</v>
      </c>
      <c r="G792">
        <v>-3.1338999999999998E-4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0</v>
      </c>
      <c r="M792" s="1">
        <f t="shared" si="51"/>
        <v>0</v>
      </c>
      <c r="N792" s="1">
        <f t="shared" si="52"/>
        <v>-0.2308808701416511</v>
      </c>
      <c r="O792" s="1"/>
    </row>
    <row r="793" spans="1:15" x14ac:dyDescent="0.25">
      <c r="A793">
        <v>1221</v>
      </c>
      <c r="B793">
        <v>22570.804749999999</v>
      </c>
      <c r="C793">
        <v>0</v>
      </c>
      <c r="D793">
        <v>142104.36600000001</v>
      </c>
      <c r="E793">
        <v>0</v>
      </c>
      <c r="F793">
        <v>411558.51909999998</v>
      </c>
      <c r="G793" s="1">
        <v>-4.74E-5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0</v>
      </c>
      <c r="M793" s="1">
        <f t="shared" si="51"/>
        <v>0</v>
      </c>
      <c r="N793" s="1">
        <f t="shared" si="52"/>
        <v>-5.6541275551949946E-2</v>
      </c>
      <c r="O793" s="1"/>
    </row>
    <row r="794" spans="1:15" x14ac:dyDescent="0.25">
      <c r="A794">
        <v>1222</v>
      </c>
      <c r="B794">
        <v>52437.800320000002</v>
      </c>
      <c r="C794">
        <v>0</v>
      </c>
      <c r="D794">
        <v>223530.38769999999</v>
      </c>
      <c r="E794">
        <v>0</v>
      </c>
      <c r="F794">
        <v>831388.85600000003</v>
      </c>
      <c r="G794" s="1">
        <v>-4.0299999999999997E-5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0</v>
      </c>
      <c r="M794" s="1">
        <f t="shared" si="51"/>
        <v>0</v>
      </c>
      <c r="N794" s="1">
        <f t="shared" si="52"/>
        <v>-8.8086987254366478E-2</v>
      </c>
      <c r="O794" s="1"/>
    </row>
    <row r="795" spans="1:15" x14ac:dyDescent="0.25">
      <c r="A795">
        <v>1223</v>
      </c>
      <c r="B795">
        <v>13862.52152</v>
      </c>
      <c r="C795">
        <v>0</v>
      </c>
      <c r="D795">
        <v>113910.66039999999</v>
      </c>
      <c r="E795">
        <v>0</v>
      </c>
      <c r="F795">
        <v>330086.8615</v>
      </c>
      <c r="G795" s="1">
        <v>-1.9300000000000002E-5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0</v>
      </c>
      <c r="M795" s="1">
        <f t="shared" si="51"/>
        <v>0</v>
      </c>
      <c r="N795" s="1">
        <f t="shared" si="52"/>
        <v>-4.2479811364817523E-2</v>
      </c>
      <c r="O795" s="1"/>
    </row>
    <row r="796" spans="1:15" x14ac:dyDescent="0.25">
      <c r="A796">
        <v>1224</v>
      </c>
      <c r="B796">
        <v>83605.746010000003</v>
      </c>
      <c r="C796">
        <v>0</v>
      </c>
      <c r="D796">
        <v>274926.56800000003</v>
      </c>
      <c r="E796">
        <v>0</v>
      </c>
      <c r="F796">
        <v>1054049.699</v>
      </c>
      <c r="G796">
        <v>4.3508000000000002E-4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0</v>
      </c>
      <c r="M796" s="1">
        <f t="shared" si="51"/>
        <v>0</v>
      </c>
      <c r="N796" s="1">
        <f t="shared" si="52"/>
        <v>0.66200577774152347</v>
      </c>
      <c r="O796" s="1"/>
    </row>
    <row r="797" spans="1:15" x14ac:dyDescent="0.25">
      <c r="A797">
        <v>1225</v>
      </c>
      <c r="B797">
        <v>12840.07483</v>
      </c>
      <c r="C797">
        <v>0</v>
      </c>
      <c r="D797">
        <v>104497.5563</v>
      </c>
      <c r="E797">
        <v>0</v>
      </c>
      <c r="F797">
        <v>301592.23499999999</v>
      </c>
      <c r="G797" s="1">
        <v>-8.1000000000000004E-6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0</v>
      </c>
      <c r="M797" s="1">
        <f t="shared" si="51"/>
        <v>0</v>
      </c>
      <c r="N797" s="1">
        <f t="shared" si="52"/>
        <v>-1.2487061640531781E-2</v>
      </c>
      <c r="O797" s="1"/>
    </row>
    <row r="798" spans="1:15" x14ac:dyDescent="0.25">
      <c r="A798">
        <v>1226</v>
      </c>
      <c r="B798">
        <v>31613.473190000001</v>
      </c>
      <c r="C798">
        <v>0</v>
      </c>
      <c r="D798">
        <v>172935.82680000001</v>
      </c>
      <c r="E798">
        <v>0</v>
      </c>
      <c r="F798">
        <v>593971.34080000001</v>
      </c>
      <c r="G798" s="1">
        <v>-1.5800000000000001E-5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0</v>
      </c>
      <c r="M798" s="1">
        <f t="shared" si="51"/>
        <v>0</v>
      </c>
      <c r="N798" s="1">
        <f t="shared" si="52"/>
        <v>-4.0127171199964687E-2</v>
      </c>
      <c r="O798" s="1"/>
    </row>
    <row r="799" spans="1:15" x14ac:dyDescent="0.25">
      <c r="A799">
        <v>1227</v>
      </c>
      <c r="B799">
        <v>33025.855710000003</v>
      </c>
      <c r="C799">
        <v>0</v>
      </c>
      <c r="D799">
        <v>198751.24559999999</v>
      </c>
      <c r="E799">
        <v>0</v>
      </c>
      <c r="F799">
        <v>863222.88199999998</v>
      </c>
      <c r="G799" s="1">
        <v>-4.8699999999999998E-5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0</v>
      </c>
      <c r="M799" s="1">
        <f t="shared" si="51"/>
        <v>0</v>
      </c>
      <c r="N799" s="1">
        <f t="shared" si="52"/>
        <v>-3.9656772643629566E-2</v>
      </c>
      <c r="O799" s="1"/>
    </row>
    <row r="800" spans="1:15" x14ac:dyDescent="0.25">
      <c r="A800">
        <v>1228</v>
      </c>
      <c r="B800">
        <v>30063.898509999999</v>
      </c>
      <c r="C800">
        <v>0</v>
      </c>
      <c r="D800">
        <v>185199.73139999999</v>
      </c>
      <c r="E800">
        <v>0</v>
      </c>
      <c r="F800">
        <v>509231.19380000001</v>
      </c>
      <c r="G800" s="1">
        <v>7.2399999999999997E-7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0</v>
      </c>
      <c r="M800" s="1">
        <f t="shared" si="51"/>
        <v>0</v>
      </c>
      <c r="N800" s="1">
        <f t="shared" si="52"/>
        <v>1.5612696634464327E-3</v>
      </c>
      <c r="O800" s="1"/>
    </row>
    <row r="801" spans="1:15" x14ac:dyDescent="0.25">
      <c r="A801">
        <v>1229</v>
      </c>
      <c r="B801">
        <v>7326.4723459999996</v>
      </c>
      <c r="C801">
        <v>0</v>
      </c>
      <c r="D801">
        <v>81230.504679999998</v>
      </c>
      <c r="E801">
        <v>0</v>
      </c>
      <c r="F801">
        <v>248645.3731</v>
      </c>
      <c r="G801" s="1">
        <v>2.7800000000000001E-5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0</v>
      </c>
      <c r="M801" s="1">
        <f t="shared" si="51"/>
        <v>0</v>
      </c>
      <c r="N801" s="1">
        <f t="shared" si="52"/>
        <v>5.8893534959551325E-2</v>
      </c>
      <c r="O801" s="1"/>
    </row>
    <row r="802" spans="1:15" x14ac:dyDescent="0.25">
      <c r="A802">
        <v>1230</v>
      </c>
      <c r="B802">
        <v>10633.46507</v>
      </c>
      <c r="C802">
        <v>0</v>
      </c>
      <c r="D802">
        <v>105754.6743</v>
      </c>
      <c r="E802">
        <v>0</v>
      </c>
      <c r="F802">
        <v>346418.43859999999</v>
      </c>
      <c r="G802" s="1">
        <v>-3.4100000000000002E-5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0</v>
      </c>
      <c r="M802" s="1">
        <f t="shared" si="51"/>
        <v>0</v>
      </c>
      <c r="N802" s="1">
        <f t="shared" si="52"/>
        <v>-8.7139988476384156E-2</v>
      </c>
      <c r="O802" s="1"/>
    </row>
    <row r="803" spans="1:15" x14ac:dyDescent="0.25">
      <c r="A803">
        <v>1231</v>
      </c>
      <c r="B803">
        <v>7875.0013790000003</v>
      </c>
      <c r="C803">
        <v>0</v>
      </c>
      <c r="D803">
        <v>87452.643110000005</v>
      </c>
      <c r="E803">
        <v>0</v>
      </c>
      <c r="F803">
        <v>268386.27299999999</v>
      </c>
      <c r="G803" s="1">
        <v>-4.2200000000000003E-5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0</v>
      </c>
      <c r="M803" s="1">
        <f t="shared" si="51"/>
        <v>0</v>
      </c>
      <c r="N803" s="1">
        <f t="shared" si="52"/>
        <v>-0.20128415171744615</v>
      </c>
      <c r="O803" s="1"/>
    </row>
    <row r="804" spans="1:15" x14ac:dyDescent="0.25">
      <c r="A804">
        <v>1234</v>
      </c>
      <c r="B804">
        <v>3537.9582500000001</v>
      </c>
      <c r="C804">
        <v>0</v>
      </c>
      <c r="D804">
        <v>55722.708400000003</v>
      </c>
      <c r="E804">
        <v>0</v>
      </c>
      <c r="F804">
        <v>169442.6195</v>
      </c>
      <c r="G804" s="1">
        <v>-8.6500000000000002E-6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0</v>
      </c>
      <c r="M804" s="1">
        <f t="shared" si="51"/>
        <v>0</v>
      </c>
      <c r="N804" s="1">
        <f t="shared" si="52"/>
        <v>-2.6780647925928918E-2</v>
      </c>
      <c r="O804" s="1"/>
    </row>
    <row r="805" spans="1:15" x14ac:dyDescent="0.25">
      <c r="A805">
        <v>1235</v>
      </c>
      <c r="B805">
        <v>1722.0228440000001</v>
      </c>
      <c r="C805">
        <v>0</v>
      </c>
      <c r="D805">
        <v>45779.867080000004</v>
      </c>
      <c r="E805">
        <v>0</v>
      </c>
      <c r="F805">
        <v>168622.40979999999</v>
      </c>
      <c r="G805" s="1">
        <v>3.6300000000000001E-5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0</v>
      </c>
      <c r="M805" s="1">
        <f t="shared" si="51"/>
        <v>0</v>
      </c>
      <c r="N805" s="1">
        <f t="shared" si="52"/>
        <v>0.11299385313224714</v>
      </c>
      <c r="O805" s="1"/>
    </row>
    <row r="806" spans="1:15" x14ac:dyDescent="0.25">
      <c r="A806">
        <v>1236</v>
      </c>
      <c r="B806">
        <v>2750.615538</v>
      </c>
      <c r="C806">
        <v>0</v>
      </c>
      <c r="D806">
        <v>36987.303169999999</v>
      </c>
      <c r="E806">
        <v>0</v>
      </c>
      <c r="F806">
        <v>156636.46309999999</v>
      </c>
      <c r="G806" s="1">
        <v>-1.3499999999999999E-5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0</v>
      </c>
      <c r="M806" s="1">
        <f t="shared" si="51"/>
        <v>0</v>
      </c>
      <c r="N806" s="1">
        <f t="shared" si="52"/>
        <v>-4.6885278513483911E-2</v>
      </c>
      <c r="O806" s="1"/>
    </row>
    <row r="807" spans="1:15" x14ac:dyDescent="0.25">
      <c r="A807">
        <v>1237</v>
      </c>
      <c r="B807">
        <v>3831.9349820000002</v>
      </c>
      <c r="C807">
        <v>0</v>
      </c>
      <c r="D807">
        <v>76492.920020000005</v>
      </c>
      <c r="E807">
        <v>0</v>
      </c>
      <c r="F807">
        <v>215540.4762</v>
      </c>
      <c r="G807" s="1">
        <v>3.2499999999999997E-5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0</v>
      </c>
      <c r="M807" s="1">
        <f t="shared" si="51"/>
        <v>0</v>
      </c>
      <c r="N807" s="1">
        <f t="shared" si="52"/>
        <v>5.6092841818308745E-2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>
        <v>0</v>
      </c>
      <c r="F808">
        <v>41897.065580000002</v>
      </c>
      <c r="G808" s="1">
        <v>-4.2899999999999996E-6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0</v>
      </c>
      <c r="N808" s="1">
        <f t="shared" si="52"/>
        <v>-4.9762720628284948E-2</v>
      </c>
      <c r="O808" s="1"/>
    </row>
    <row r="809" spans="1:15" x14ac:dyDescent="0.25">
      <c r="A809">
        <v>1239</v>
      </c>
      <c r="B809">
        <v>4122.5940499999997</v>
      </c>
      <c r="C809">
        <v>0</v>
      </c>
      <c r="D809">
        <v>46744.500269999997</v>
      </c>
      <c r="E809">
        <v>0</v>
      </c>
      <c r="F809">
        <v>157281.76620000001</v>
      </c>
      <c r="G809" s="1">
        <v>4.0899999999999998E-6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0</v>
      </c>
      <c r="M809" s="1">
        <f t="shared" si="51"/>
        <v>0</v>
      </c>
      <c r="N809" s="1">
        <f t="shared" si="52"/>
        <v>1.2021298252579691E-2</v>
      </c>
      <c r="O809" s="1"/>
    </row>
    <row r="810" spans="1:15" x14ac:dyDescent="0.25">
      <c r="A810">
        <v>1240</v>
      </c>
      <c r="B810">
        <v>2320.2161999999998</v>
      </c>
      <c r="C810">
        <v>0</v>
      </c>
      <c r="D810">
        <v>43364.248720000003</v>
      </c>
      <c r="E810">
        <v>0</v>
      </c>
      <c r="F810">
        <v>162611.1483</v>
      </c>
      <c r="G810" s="1">
        <v>1.7799999999999999E-6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0</v>
      </c>
      <c r="M810" s="1">
        <f t="shared" si="51"/>
        <v>0</v>
      </c>
      <c r="N810" s="1">
        <f t="shared" si="52"/>
        <v>6.7098943138855253E-3</v>
      </c>
      <c r="O810" s="1"/>
    </row>
    <row r="811" spans="1:15" x14ac:dyDescent="0.25">
      <c r="A811">
        <v>1241</v>
      </c>
      <c r="B811">
        <v>2156.457034</v>
      </c>
      <c r="C811">
        <v>0</v>
      </c>
      <c r="D811">
        <v>36368.226390000003</v>
      </c>
      <c r="E811">
        <v>0</v>
      </c>
      <c r="F811">
        <v>148869.27499999999</v>
      </c>
      <c r="G811" s="1">
        <v>2.2200000000000001E-5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0</v>
      </c>
      <c r="M811" s="1">
        <f t="shared" si="51"/>
        <v>0</v>
      </c>
      <c r="N811" s="1">
        <f t="shared" si="52"/>
        <v>0.11357482426222501</v>
      </c>
      <c r="O811" s="1"/>
    </row>
    <row r="812" spans="1:15" x14ac:dyDescent="0.25">
      <c r="A812">
        <v>1242</v>
      </c>
      <c r="B812">
        <v>2748.0295580000002</v>
      </c>
      <c r="C812">
        <v>0</v>
      </c>
      <c r="D812">
        <v>35117.74065</v>
      </c>
      <c r="E812">
        <v>0</v>
      </c>
      <c r="F812">
        <v>152359.09450000001</v>
      </c>
      <c r="G812" s="1">
        <v>-2.8200000000000001E-5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0</v>
      </c>
      <c r="M812" s="1">
        <f t="shared" si="51"/>
        <v>0</v>
      </c>
      <c r="N812" s="1">
        <f t="shared" si="52"/>
        <v>-0.12218839329707425</v>
      </c>
      <c r="O812" s="1"/>
    </row>
    <row r="813" spans="1:15" x14ac:dyDescent="0.25">
      <c r="A813">
        <v>1243</v>
      </c>
      <c r="B813">
        <v>2538.4705720000002</v>
      </c>
      <c r="C813">
        <v>0</v>
      </c>
      <c r="D813">
        <v>26375.995180000002</v>
      </c>
      <c r="E813">
        <v>0</v>
      </c>
      <c r="F813">
        <v>135273.6452</v>
      </c>
      <c r="G813" s="1">
        <v>5.2800000000000003E-6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0</v>
      </c>
      <c r="M813" s="1">
        <f t="shared" si="51"/>
        <v>0</v>
      </c>
      <c r="N813" s="1">
        <f t="shared" si="52"/>
        <v>3.4124533486544165E-2</v>
      </c>
      <c r="O813" s="1"/>
    </row>
    <row r="814" spans="1:15" x14ac:dyDescent="0.25">
      <c r="A814">
        <v>1244</v>
      </c>
      <c r="B814">
        <v>1891.471898</v>
      </c>
      <c r="C814">
        <v>0</v>
      </c>
      <c r="D814">
        <v>26737.779439999998</v>
      </c>
      <c r="E814">
        <v>0</v>
      </c>
      <c r="F814">
        <v>140260.74359999999</v>
      </c>
      <c r="G814" s="1">
        <v>3.8999999999999999E-5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0</v>
      </c>
      <c r="M814" s="1">
        <f t="shared" si="51"/>
        <v>0</v>
      </c>
      <c r="N814" s="1">
        <f t="shared" si="52"/>
        <v>0.1966201852873167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>
        <v>0</v>
      </c>
      <c r="F815">
        <v>109643.4547</v>
      </c>
      <c r="G815" s="1">
        <v>-1.27E-5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0</v>
      </c>
      <c r="M815" s="1">
        <f t="shared" si="51"/>
        <v>0</v>
      </c>
      <c r="N815" s="1">
        <f t="shared" si="52"/>
        <v>-5.1350139014632153E-2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>
        <v>0</v>
      </c>
      <c r="F816">
        <v>181921.86249999999</v>
      </c>
      <c r="G816" s="1">
        <v>-1.8499999999999999E-5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0</v>
      </c>
      <c r="M816" s="1">
        <f t="shared" si="51"/>
        <v>0</v>
      </c>
      <c r="N816" s="1">
        <f t="shared" si="52"/>
        <v>-0.1037474514861555</v>
      </c>
      <c r="O816" s="1"/>
    </row>
    <row r="817" spans="1:15" x14ac:dyDescent="0.25">
      <c r="A817">
        <v>1249</v>
      </c>
      <c r="B817">
        <v>8423.59843</v>
      </c>
      <c r="C817">
        <v>0</v>
      </c>
      <c r="D817">
        <v>89124.985560000001</v>
      </c>
      <c r="E817">
        <v>0</v>
      </c>
      <c r="F817">
        <v>287021.26370000001</v>
      </c>
      <c r="G817" s="1">
        <v>-2.6400000000000001E-5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0</v>
      </c>
      <c r="M817" s="1">
        <f t="shared" si="51"/>
        <v>0</v>
      </c>
      <c r="N817" s="1">
        <f t="shared" si="52"/>
        <v>-6.2067728476068486E-2</v>
      </c>
      <c r="O817" s="1"/>
    </row>
    <row r="818" spans="1:15" x14ac:dyDescent="0.25">
      <c r="A818">
        <v>1250</v>
      </c>
      <c r="B818">
        <v>3959.194567</v>
      </c>
      <c r="C818">
        <v>0</v>
      </c>
      <c r="D818">
        <v>65385.849269999999</v>
      </c>
      <c r="E818">
        <v>0</v>
      </c>
      <c r="F818">
        <v>206772.1232</v>
      </c>
      <c r="G818" s="1">
        <v>-2.2699999999999999E-6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0</v>
      </c>
      <c r="M818" s="1">
        <f t="shared" si="51"/>
        <v>0</v>
      </c>
      <c r="N818" s="1">
        <f t="shared" si="52"/>
        <v>-4.4436621061706072E-3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>
        <v>0</v>
      </c>
      <c r="F819">
        <v>253618.68429999999</v>
      </c>
      <c r="G819" s="1">
        <v>-4.21E-5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0</v>
      </c>
      <c r="M819" s="1">
        <f t="shared" si="51"/>
        <v>0</v>
      </c>
      <c r="N819" s="1">
        <f t="shared" si="52"/>
        <v>-0.11969759829603685</v>
      </c>
      <c r="O819" s="1"/>
    </row>
    <row r="820" spans="1:15" x14ac:dyDescent="0.25">
      <c r="A820">
        <v>1252</v>
      </c>
      <c r="B820">
        <v>7241.5188420000004</v>
      </c>
      <c r="C820">
        <v>0</v>
      </c>
      <c r="D820">
        <v>75371.961739999999</v>
      </c>
      <c r="E820">
        <v>0</v>
      </c>
      <c r="F820">
        <v>265490.85859999998</v>
      </c>
      <c r="G820" s="1">
        <v>-4.3900000000000003E-5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0</v>
      </c>
      <c r="M820" s="1">
        <f t="shared" si="51"/>
        <v>0</v>
      </c>
      <c r="N820" s="1">
        <f t="shared" si="52"/>
        <v>-0.17886393794339836</v>
      </c>
      <c r="O820" s="1"/>
    </row>
    <row r="821" spans="1:15" x14ac:dyDescent="0.25">
      <c r="A821">
        <v>1253</v>
      </c>
      <c r="B821">
        <v>27088.515719999999</v>
      </c>
      <c r="C821">
        <v>0</v>
      </c>
      <c r="D821">
        <v>156958.0644</v>
      </c>
      <c r="E821">
        <v>0</v>
      </c>
      <c r="F821">
        <v>447965.1323</v>
      </c>
      <c r="G821" s="1">
        <v>-2.0299999999999999E-5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0</v>
      </c>
      <c r="M821" s="1">
        <f t="shared" si="51"/>
        <v>0</v>
      </c>
      <c r="N821" s="1">
        <f t="shared" si="52"/>
        <v>-3.7070173802277839E-2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>
        <v>0</v>
      </c>
      <c r="F822">
        <v>271252.99129999999</v>
      </c>
      <c r="G822" s="1">
        <v>-2.72E-5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0</v>
      </c>
      <c r="M822" s="1">
        <f t="shared" si="51"/>
        <v>0</v>
      </c>
      <c r="N822" s="1">
        <f t="shared" si="52"/>
        <v>-0.10822035610286689</v>
      </c>
      <c r="O822" s="1"/>
    </row>
    <row r="823" spans="1:15" x14ac:dyDescent="0.25">
      <c r="A823">
        <v>1255</v>
      </c>
      <c r="B823">
        <v>10889.51072</v>
      </c>
      <c r="C823">
        <v>0</v>
      </c>
      <c r="D823">
        <v>89394.781669999997</v>
      </c>
      <c r="E823">
        <v>0</v>
      </c>
      <c r="F823">
        <v>274581.69160000002</v>
      </c>
      <c r="G823" s="1">
        <v>-2.0299999999999999E-5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0</v>
      </c>
      <c r="M823" s="1">
        <f t="shared" si="51"/>
        <v>0</v>
      </c>
      <c r="N823" s="1">
        <f t="shared" si="52"/>
        <v>-7.1048438564792857E-2</v>
      </c>
      <c r="O823" s="1"/>
    </row>
    <row r="824" spans="1:15" x14ac:dyDescent="0.25">
      <c r="A824">
        <v>1256</v>
      </c>
      <c r="B824">
        <v>9236.5742580000006</v>
      </c>
      <c r="C824">
        <v>0</v>
      </c>
      <c r="D824">
        <v>71414.584419999999</v>
      </c>
      <c r="E824">
        <v>0</v>
      </c>
      <c r="F824">
        <v>247080.8873</v>
      </c>
      <c r="G824" s="1">
        <v>-3.6199999999999999E-5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0</v>
      </c>
      <c r="M824" s="1">
        <f t="shared" si="51"/>
        <v>0</v>
      </c>
      <c r="N824" s="1">
        <f t="shared" si="52"/>
        <v>-0.2936280180172452</v>
      </c>
      <c r="O824" s="1"/>
    </row>
    <row r="825" spans="1:15" x14ac:dyDescent="0.25">
      <c r="A825">
        <v>1257</v>
      </c>
      <c r="B825">
        <v>6646.8655570000001</v>
      </c>
      <c r="C825">
        <v>0</v>
      </c>
      <c r="D825">
        <v>24573.449720000001</v>
      </c>
      <c r="E825">
        <v>0</v>
      </c>
      <c r="F825">
        <v>168497.9725</v>
      </c>
      <c r="G825" s="1">
        <v>-2.9200000000000002E-5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0</v>
      </c>
      <c r="M825" s="1">
        <f t="shared" si="51"/>
        <v>0</v>
      </c>
      <c r="N825" s="1">
        <f t="shared" si="52"/>
        <v>-0.17398517230996202</v>
      </c>
      <c r="O825" s="1"/>
    </row>
    <row r="826" spans="1:15" x14ac:dyDescent="0.25">
      <c r="A826">
        <v>1260</v>
      </c>
      <c r="B826">
        <v>3312.268994</v>
      </c>
      <c r="C826">
        <v>0</v>
      </c>
      <c r="D826">
        <v>90494.274940000003</v>
      </c>
      <c r="E826">
        <v>0</v>
      </c>
      <c r="F826">
        <v>210922.65359999999</v>
      </c>
      <c r="G826" s="1">
        <v>2.9899999999999998E-5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0</v>
      </c>
      <c r="M826" s="1">
        <f t="shared" si="51"/>
        <v>0</v>
      </c>
      <c r="N826" s="1">
        <f t="shared" si="52"/>
        <v>0.1218702917869398</v>
      </c>
      <c r="O826" s="1"/>
    </row>
    <row r="827" spans="1:15" x14ac:dyDescent="0.25">
      <c r="A827">
        <v>1261</v>
      </c>
      <c r="B827">
        <v>8937.2128499999999</v>
      </c>
      <c r="C827">
        <v>0</v>
      </c>
      <c r="D827">
        <v>109649.98850000001</v>
      </c>
      <c r="E827">
        <v>0</v>
      </c>
      <c r="F827">
        <v>299237.63819999999</v>
      </c>
      <c r="G827" s="1">
        <v>-1.7499999999999998E-5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0</v>
      </c>
      <c r="M827" s="1">
        <f t="shared" si="51"/>
        <v>0</v>
      </c>
      <c r="N827" s="1">
        <f t="shared" si="52"/>
        <v>-4.9395566314610249E-2</v>
      </c>
      <c r="O827" s="1"/>
    </row>
    <row r="828" spans="1:15" x14ac:dyDescent="0.25">
      <c r="A828">
        <v>1262</v>
      </c>
      <c r="B828">
        <v>3324.9733390000001</v>
      </c>
      <c r="C828">
        <v>0</v>
      </c>
      <c r="D828">
        <v>91322.064809999996</v>
      </c>
      <c r="E828">
        <v>0</v>
      </c>
      <c r="F828">
        <v>203471.42939999999</v>
      </c>
      <c r="G828" s="1">
        <v>-3.9700000000000003E-5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0</v>
      </c>
      <c r="M828" s="1">
        <f t="shared" si="51"/>
        <v>0</v>
      </c>
      <c r="N828" s="1">
        <f t="shared" si="52"/>
        <v>-0.12099132981366523</v>
      </c>
      <c r="O828" s="1"/>
    </row>
    <row r="829" spans="1:15" x14ac:dyDescent="0.25">
      <c r="A829">
        <v>1263</v>
      </c>
      <c r="B829">
        <v>23155.963810000001</v>
      </c>
      <c r="C829">
        <v>0</v>
      </c>
      <c r="D829">
        <v>143507.43049999999</v>
      </c>
      <c r="E829">
        <v>0</v>
      </c>
      <c r="F829">
        <v>310602.46100000001</v>
      </c>
      <c r="G829" s="1">
        <v>1.13E-5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</v>
      </c>
      <c r="M829" s="1">
        <f t="shared" si="51"/>
        <v>0</v>
      </c>
      <c r="N829" s="1">
        <f t="shared" si="52"/>
        <v>8.627457414987931E-2</v>
      </c>
      <c r="O829" s="1"/>
    </row>
    <row r="830" spans="1:15" x14ac:dyDescent="0.25">
      <c r="A830">
        <v>1264</v>
      </c>
      <c r="B830">
        <v>12059.24469</v>
      </c>
      <c r="C830">
        <v>0</v>
      </c>
      <c r="D830">
        <v>65530.043360000003</v>
      </c>
      <c r="E830">
        <v>0</v>
      </c>
      <c r="F830">
        <v>217454.56450000001</v>
      </c>
      <c r="G830" s="1">
        <v>-1.47E-5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0</v>
      </c>
      <c r="M830" s="1">
        <f t="shared" si="51"/>
        <v>0</v>
      </c>
      <c r="N830" s="1">
        <f t="shared" si="52"/>
        <v>-2.6703920865641672E-2</v>
      </c>
      <c r="O830" s="1"/>
    </row>
    <row r="831" spans="1:15" x14ac:dyDescent="0.25">
      <c r="A831">
        <v>1265</v>
      </c>
      <c r="B831">
        <v>11810.100909999999</v>
      </c>
      <c r="C831">
        <v>0</v>
      </c>
      <c r="D831">
        <v>101768.3351</v>
      </c>
      <c r="E831">
        <v>0</v>
      </c>
      <c r="F831">
        <v>304312.31270000001</v>
      </c>
      <c r="G831" s="1">
        <v>-3.7200000000000003E-5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0</v>
      </c>
      <c r="M831" s="1">
        <f t="shared" si="51"/>
        <v>0</v>
      </c>
      <c r="N831" s="1">
        <f t="shared" si="52"/>
        <v>-7.6442254220571146E-2</v>
      </c>
      <c r="O831" s="1"/>
    </row>
    <row r="832" spans="1:15" x14ac:dyDescent="0.25">
      <c r="A832">
        <v>1266</v>
      </c>
      <c r="B832">
        <v>13457.83144</v>
      </c>
      <c r="C832">
        <v>0</v>
      </c>
      <c r="D832">
        <v>89415.541549999994</v>
      </c>
      <c r="E832">
        <v>0</v>
      </c>
      <c r="F832">
        <v>253573.34830000001</v>
      </c>
      <c r="G832" s="1">
        <v>-4.0200000000000001E-5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</v>
      </c>
      <c r="M832" s="1">
        <f t="shared" si="51"/>
        <v>0</v>
      </c>
      <c r="N832" s="1">
        <f t="shared" si="52"/>
        <v>-0.18022695276287901</v>
      </c>
      <c r="O832" s="1"/>
    </row>
    <row r="833" spans="1:15" x14ac:dyDescent="0.25">
      <c r="A833">
        <v>1267</v>
      </c>
      <c r="B833">
        <v>24540.27059</v>
      </c>
      <c r="C833">
        <v>0</v>
      </c>
      <c r="D833">
        <v>156269.94930000001</v>
      </c>
      <c r="E833">
        <v>0</v>
      </c>
      <c r="F833">
        <v>470534.64159999997</v>
      </c>
      <c r="G833" s="1">
        <v>-4.7099999999999998E-6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0</v>
      </c>
      <c r="M833" s="1">
        <f t="shared" si="51"/>
        <v>0</v>
      </c>
      <c r="N833" s="1">
        <f t="shared" si="52"/>
        <v>-8.8985742214930559E-3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 s="1">
        <v>-4.2299999999999998E-5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0</v>
      </c>
      <c r="M834" s="1">
        <f t="shared" si="51"/>
        <v>0</v>
      </c>
      <c r="N834" s="1">
        <f t="shared" si="52"/>
        <v>-0.15219987665239981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 s="1">
        <v>3.1199999999999999E-5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0</v>
      </c>
      <c r="M835" s="1">
        <f t="shared" ref="M835:M898" si="55">$U$3*$K835*E835</f>
        <v>0</v>
      </c>
      <c r="N835" s="1">
        <f t="shared" ref="N835:N898" si="56">$U$4*$K835*G835</f>
        <v>0.10050787164690793</v>
      </c>
      <c r="O835" s="1"/>
    </row>
    <row r="836" spans="1:15" x14ac:dyDescent="0.25">
      <c r="A836">
        <v>1272</v>
      </c>
      <c r="B836">
        <v>26459.352439999999</v>
      </c>
      <c r="C836">
        <v>0</v>
      </c>
      <c r="D836">
        <v>126863.24340000001</v>
      </c>
      <c r="E836">
        <v>0</v>
      </c>
      <c r="F836">
        <v>283637.66619999998</v>
      </c>
      <c r="G836" s="1">
        <v>-2.5700000000000001E-5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0</v>
      </c>
      <c r="M836" s="1">
        <f t="shared" si="55"/>
        <v>0</v>
      </c>
      <c r="N836" s="1">
        <f t="shared" si="56"/>
        <v>-0.13963709168811814</v>
      </c>
      <c r="O836" s="1"/>
    </row>
    <row r="837" spans="1:15" x14ac:dyDescent="0.25">
      <c r="A837">
        <v>1273</v>
      </c>
      <c r="B837">
        <v>31831.34719</v>
      </c>
      <c r="C837">
        <v>0</v>
      </c>
      <c r="D837">
        <v>115501.8165</v>
      </c>
      <c r="E837">
        <v>0</v>
      </c>
      <c r="F837">
        <v>341936.05979999999</v>
      </c>
      <c r="G837" s="1">
        <v>-4.5000000000000003E-5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0</v>
      </c>
      <c r="M837" s="1">
        <f t="shared" si="55"/>
        <v>0</v>
      </c>
      <c r="N837" s="1">
        <f t="shared" si="56"/>
        <v>-8.4075118363466997E-2</v>
      </c>
      <c r="O837" s="1"/>
    </row>
    <row r="838" spans="1:15" x14ac:dyDescent="0.25">
      <c r="A838">
        <v>1274</v>
      </c>
      <c r="B838">
        <v>31460.61145</v>
      </c>
      <c r="C838">
        <v>0</v>
      </c>
      <c r="D838">
        <v>112155.3749</v>
      </c>
      <c r="E838">
        <v>0</v>
      </c>
      <c r="F838">
        <v>322560.92070000002</v>
      </c>
      <c r="G838" s="1">
        <v>2.41E-5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0</v>
      </c>
      <c r="M838" s="1">
        <f t="shared" si="55"/>
        <v>0</v>
      </c>
      <c r="N838" s="1">
        <f t="shared" si="56"/>
        <v>5.3776100044170425E-2</v>
      </c>
      <c r="O838" s="1"/>
    </row>
    <row r="839" spans="1:15" x14ac:dyDescent="0.25">
      <c r="A839">
        <v>1275</v>
      </c>
      <c r="B839">
        <v>6539.791295</v>
      </c>
      <c r="C839">
        <v>0</v>
      </c>
      <c r="D839">
        <v>77244.899869999994</v>
      </c>
      <c r="E839">
        <v>0</v>
      </c>
      <c r="F839">
        <v>236422.44010000001</v>
      </c>
      <c r="G839" s="1">
        <v>1.6900000000000001E-5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0</v>
      </c>
      <c r="M839" s="1">
        <f t="shared" si="55"/>
        <v>0</v>
      </c>
      <c r="N839" s="1">
        <f t="shared" si="56"/>
        <v>8.4790924622014263E-2</v>
      </c>
      <c r="O839" s="1"/>
    </row>
    <row r="840" spans="1:15" x14ac:dyDescent="0.25">
      <c r="A840">
        <v>1276</v>
      </c>
      <c r="B840">
        <v>24325.59302</v>
      </c>
      <c r="C840">
        <v>0</v>
      </c>
      <c r="D840">
        <v>118322.4942</v>
      </c>
      <c r="E840">
        <v>0</v>
      </c>
      <c r="F840">
        <v>336856.49829999998</v>
      </c>
      <c r="G840" s="1">
        <v>-4.9700000000000002E-5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0</v>
      </c>
      <c r="M840" s="1">
        <f t="shared" si="55"/>
        <v>0</v>
      </c>
      <c r="N840" s="1">
        <f t="shared" si="56"/>
        <v>-0.10869847085929506</v>
      </c>
      <c r="O840" s="1"/>
    </row>
    <row r="841" spans="1:15" x14ac:dyDescent="0.25">
      <c r="A841">
        <v>1277</v>
      </c>
      <c r="B841">
        <v>67248.419569999998</v>
      </c>
      <c r="C841">
        <v>0</v>
      </c>
      <c r="D841">
        <v>243379.11929999999</v>
      </c>
      <c r="E841">
        <v>0</v>
      </c>
      <c r="F841">
        <v>818773.65289999999</v>
      </c>
      <c r="G841" s="1">
        <v>-2.9099999999999999E-5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0</v>
      </c>
      <c r="M841" s="1">
        <f t="shared" si="55"/>
        <v>0</v>
      </c>
      <c r="N841" s="1">
        <f t="shared" si="56"/>
        <v>-2.427647103441594E-2</v>
      </c>
      <c r="O841" s="1"/>
    </row>
    <row r="842" spans="1:15" x14ac:dyDescent="0.25">
      <c r="A842">
        <v>1278</v>
      </c>
      <c r="B842">
        <v>9881.4718310000007</v>
      </c>
      <c r="C842">
        <v>0</v>
      </c>
      <c r="D842">
        <v>94500.422409999999</v>
      </c>
      <c r="E842">
        <v>0</v>
      </c>
      <c r="F842">
        <v>273381.53379999998</v>
      </c>
      <c r="G842" s="1">
        <v>6.2400000000000004E-6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0</v>
      </c>
      <c r="M842" s="1">
        <f t="shared" si="55"/>
        <v>0</v>
      </c>
      <c r="N842" s="1">
        <f t="shared" si="56"/>
        <v>2.0187667292489428E-2</v>
      </c>
      <c r="O842" s="1"/>
    </row>
    <row r="843" spans="1:15" x14ac:dyDescent="0.25">
      <c r="A843">
        <v>1279</v>
      </c>
      <c r="B843">
        <v>8840.5465029999996</v>
      </c>
      <c r="C843">
        <v>0</v>
      </c>
      <c r="D843">
        <v>86939.395499999999</v>
      </c>
      <c r="E843">
        <v>0</v>
      </c>
      <c r="F843">
        <v>271961.32750000001</v>
      </c>
      <c r="G843" s="1">
        <v>2.7399999999999999E-5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0</v>
      </c>
      <c r="M843" s="1">
        <f t="shared" si="55"/>
        <v>0</v>
      </c>
      <c r="N843" s="1">
        <f t="shared" si="56"/>
        <v>6.7090100563677244E-2</v>
      </c>
      <c r="O843" s="1"/>
    </row>
    <row r="844" spans="1:15" x14ac:dyDescent="0.25">
      <c r="A844">
        <v>1280</v>
      </c>
      <c r="B844">
        <v>8021.4090249999999</v>
      </c>
      <c r="C844">
        <v>0</v>
      </c>
      <c r="D844">
        <v>91738.037450000003</v>
      </c>
      <c r="E844">
        <v>0</v>
      </c>
      <c r="F844">
        <v>313284.36739999999</v>
      </c>
      <c r="G844" s="1">
        <v>-2.6299999999999999E-5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0</v>
      </c>
      <c r="M844" s="1">
        <f t="shared" si="55"/>
        <v>0</v>
      </c>
      <c r="N844" s="1">
        <f t="shared" si="56"/>
        <v>-6.928394776143447E-2</v>
      </c>
      <c r="O844" s="1"/>
    </row>
    <row r="845" spans="1:15" x14ac:dyDescent="0.25">
      <c r="A845">
        <v>1281</v>
      </c>
      <c r="B845">
        <v>44222.55805</v>
      </c>
      <c r="C845">
        <v>0</v>
      </c>
      <c r="D845">
        <v>192549.82380000001</v>
      </c>
      <c r="E845">
        <v>0</v>
      </c>
      <c r="F845">
        <v>518717.25660000002</v>
      </c>
      <c r="G845" s="1">
        <v>9.9499999999999996E-6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0</v>
      </c>
      <c r="M845" s="1">
        <f t="shared" si="55"/>
        <v>0</v>
      </c>
      <c r="N845" s="1">
        <f t="shared" si="56"/>
        <v>1.489426734640719E-2</v>
      </c>
      <c r="O845" s="1"/>
    </row>
    <row r="846" spans="1:15" x14ac:dyDescent="0.25">
      <c r="A846">
        <v>1283</v>
      </c>
      <c r="B846">
        <v>7784.961644</v>
      </c>
      <c r="C846">
        <v>0</v>
      </c>
      <c r="D846">
        <v>39440.377439999997</v>
      </c>
      <c r="E846">
        <v>0</v>
      </c>
      <c r="F846">
        <v>139042.4051</v>
      </c>
      <c r="G846" s="1">
        <v>2.6999999999999999E-5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0</v>
      </c>
      <c r="M846" s="1">
        <f t="shared" si="55"/>
        <v>0</v>
      </c>
      <c r="N846" s="1">
        <f t="shared" si="56"/>
        <v>0.13575113131284722</v>
      </c>
      <c r="O846" s="1"/>
    </row>
    <row r="847" spans="1:15" x14ac:dyDescent="0.25">
      <c r="A847">
        <v>1284</v>
      </c>
      <c r="B847">
        <v>8114.879645</v>
      </c>
      <c r="C847">
        <v>0</v>
      </c>
      <c r="D847">
        <v>67742.084570000006</v>
      </c>
      <c r="E847">
        <v>0</v>
      </c>
      <c r="F847">
        <v>159787.5</v>
      </c>
      <c r="G847" s="1">
        <v>-2.0599999999999999E-5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0</v>
      </c>
      <c r="M847" s="1">
        <f t="shared" si="55"/>
        <v>0</v>
      </c>
      <c r="N847" s="1">
        <f t="shared" si="56"/>
        <v>-0.10973041008019919</v>
      </c>
      <c r="O847" s="1"/>
    </row>
    <row r="848" spans="1:15" x14ac:dyDescent="0.25">
      <c r="A848">
        <v>1285</v>
      </c>
      <c r="B848">
        <v>5832.3646740000004</v>
      </c>
      <c r="C848">
        <v>0</v>
      </c>
      <c r="D848">
        <v>24197.549930000001</v>
      </c>
      <c r="E848">
        <v>0</v>
      </c>
      <c r="F848">
        <v>123670.7518</v>
      </c>
      <c r="G848" s="1">
        <v>2.39E-6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0</v>
      </c>
      <c r="M848" s="1">
        <f t="shared" si="55"/>
        <v>0</v>
      </c>
      <c r="N848" s="1">
        <f t="shared" si="56"/>
        <v>1.5122744022521463E-2</v>
      </c>
      <c r="O848" s="1"/>
    </row>
    <row r="849" spans="1:15" x14ac:dyDescent="0.25">
      <c r="A849">
        <v>1286</v>
      </c>
      <c r="B849">
        <v>3333.466844</v>
      </c>
      <c r="C849">
        <v>0</v>
      </c>
      <c r="D849">
        <v>64975.426370000001</v>
      </c>
      <c r="E849">
        <v>0</v>
      </c>
      <c r="F849">
        <v>172844.63440000001</v>
      </c>
      <c r="G849" s="1">
        <v>-6.9199999999999998E-6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0</v>
      </c>
      <c r="M849" s="1">
        <f t="shared" si="55"/>
        <v>0</v>
      </c>
      <c r="N849" s="1">
        <f t="shared" si="56"/>
        <v>-3.6103465822070399E-2</v>
      </c>
      <c r="O849" s="1"/>
    </row>
    <row r="850" spans="1:15" x14ac:dyDescent="0.25">
      <c r="A850">
        <v>1289</v>
      </c>
      <c r="B850">
        <v>12022.09706</v>
      </c>
      <c r="C850">
        <v>0</v>
      </c>
      <c r="D850">
        <v>65726.369630000001</v>
      </c>
      <c r="E850">
        <v>0</v>
      </c>
      <c r="F850">
        <v>249720.9382</v>
      </c>
      <c r="G850" s="1">
        <v>5.4999999999999999E-6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0</v>
      </c>
      <c r="M850" s="1">
        <f t="shared" si="55"/>
        <v>0</v>
      </c>
      <c r="N850" s="1">
        <f t="shared" si="56"/>
        <v>5.8208051912934003E-2</v>
      </c>
      <c r="O850" s="1"/>
    </row>
    <row r="851" spans="1:15" x14ac:dyDescent="0.25">
      <c r="A851">
        <v>1300</v>
      </c>
      <c r="B851">
        <v>32782.18591</v>
      </c>
      <c r="C851">
        <v>0</v>
      </c>
      <c r="D851">
        <v>136373.14199999999</v>
      </c>
      <c r="E851">
        <v>0</v>
      </c>
      <c r="F851">
        <v>410275.17570000002</v>
      </c>
      <c r="G851" s="1">
        <v>-3.8999999999999999E-5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0</v>
      </c>
      <c r="M851" s="1">
        <f t="shared" si="55"/>
        <v>0</v>
      </c>
      <c r="N851" s="1">
        <f t="shared" si="56"/>
        <v>-0.14272912346765673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 s="1">
        <v>4.3300000000000002E-5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0</v>
      </c>
      <c r="M852" s="1">
        <f t="shared" si="55"/>
        <v>0</v>
      </c>
      <c r="N852" s="1">
        <f t="shared" si="56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>
        <v>0</v>
      </c>
      <c r="D854">
        <v>150092.55780000001</v>
      </c>
      <c r="E854">
        <v>0</v>
      </c>
      <c r="F854">
        <v>637112.21860000002</v>
      </c>
      <c r="G854" s="1">
        <v>-4.1499999999999999E-5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0</v>
      </c>
      <c r="M854" s="1">
        <f t="shared" si="55"/>
        <v>0</v>
      </c>
      <c r="N854" s="1">
        <f t="shared" si="56"/>
        <v>-8.3696657918812048E-2</v>
      </c>
      <c r="O854" s="1"/>
    </row>
    <row r="855" spans="1:15" x14ac:dyDescent="0.25">
      <c r="A855">
        <v>1304</v>
      </c>
      <c r="B855">
        <v>27722.174620000002</v>
      </c>
      <c r="C855">
        <v>0</v>
      </c>
      <c r="D855">
        <v>178193.36480000001</v>
      </c>
      <c r="E855">
        <v>0</v>
      </c>
      <c r="F855">
        <v>709471.74410000001</v>
      </c>
      <c r="G855" s="1">
        <v>1.36E-5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0</v>
      </c>
      <c r="M855" s="1">
        <f t="shared" si="55"/>
        <v>0</v>
      </c>
      <c r="N855" s="1">
        <f t="shared" si="56"/>
        <v>1.1578330225692723E-2</v>
      </c>
      <c r="O855" s="1"/>
    </row>
    <row r="856" spans="1:15" x14ac:dyDescent="0.25">
      <c r="A856">
        <v>1305</v>
      </c>
      <c r="B856">
        <v>34116.793530000003</v>
      </c>
      <c r="C856">
        <v>0</v>
      </c>
      <c r="D856">
        <v>198328.36540000001</v>
      </c>
      <c r="E856">
        <v>0</v>
      </c>
      <c r="F856">
        <v>903616.62840000005</v>
      </c>
      <c r="G856" s="1">
        <v>-3.0199999999999999E-5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0</v>
      </c>
      <c r="M856" s="1">
        <f t="shared" si="55"/>
        <v>0</v>
      </c>
      <c r="N856" s="1">
        <f t="shared" si="56"/>
        <v>-2.5189681058428139E-2</v>
      </c>
      <c r="O856" s="1"/>
    </row>
    <row r="857" spans="1:15" x14ac:dyDescent="0.25">
      <c r="A857">
        <v>1306</v>
      </c>
      <c r="B857">
        <v>44077.315329999998</v>
      </c>
      <c r="C857">
        <v>0</v>
      </c>
      <c r="D857">
        <v>243769.58240000001</v>
      </c>
      <c r="E857">
        <v>0</v>
      </c>
      <c r="F857">
        <v>1044577.502</v>
      </c>
      <c r="G857">
        <v>2.5598999999999999E-4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0</v>
      </c>
      <c r="M857" s="1">
        <f t="shared" si="55"/>
        <v>0</v>
      </c>
      <c r="N857" s="1">
        <f t="shared" si="56"/>
        <v>0.3464418531126463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>
        <v>0</v>
      </c>
      <c r="F858">
        <v>225138.75229999999</v>
      </c>
      <c r="G858" s="1">
        <v>-2.2099999999999998E-5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0</v>
      </c>
      <c r="M858" s="1">
        <f t="shared" si="55"/>
        <v>0</v>
      </c>
      <c r="N858" s="1">
        <f t="shared" si="56"/>
        <v>-8.9856260172772082E-2</v>
      </c>
      <c r="O858" s="1"/>
    </row>
    <row r="859" spans="1:15" x14ac:dyDescent="0.25">
      <c r="A859">
        <v>1308</v>
      </c>
      <c r="B859">
        <v>11665.794760000001</v>
      </c>
      <c r="C859">
        <v>0</v>
      </c>
      <c r="D859">
        <v>160676.66310000001</v>
      </c>
      <c r="E859">
        <v>0</v>
      </c>
      <c r="F859">
        <v>692039.90529999998</v>
      </c>
      <c r="G859" s="1">
        <v>3.0800000000000003E-5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0</v>
      </c>
      <c r="M859" s="1">
        <f t="shared" si="55"/>
        <v>0</v>
      </c>
      <c r="N859" s="1">
        <f t="shared" si="56"/>
        <v>6.423872748923784E-2</v>
      </c>
      <c r="O859" s="1"/>
    </row>
    <row r="860" spans="1:15" x14ac:dyDescent="0.25">
      <c r="A860">
        <v>1309</v>
      </c>
      <c r="B860">
        <v>95950.316080000004</v>
      </c>
      <c r="C860">
        <v>0</v>
      </c>
      <c r="D860">
        <v>383498.2352</v>
      </c>
      <c r="E860">
        <v>0</v>
      </c>
      <c r="F860">
        <v>1264088.392</v>
      </c>
      <c r="G860">
        <v>6940.3858380000001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0</v>
      </c>
      <c r="M860" s="1">
        <f t="shared" si="55"/>
        <v>0</v>
      </c>
      <c r="N860" s="1">
        <f t="shared" si="56"/>
        <v>4788602.0222726446</v>
      </c>
      <c r="O860" s="1"/>
    </row>
    <row r="861" spans="1:15" x14ac:dyDescent="0.25">
      <c r="A861">
        <v>1310</v>
      </c>
      <c r="B861">
        <v>6504.3986059999997</v>
      </c>
      <c r="C861">
        <v>0</v>
      </c>
      <c r="D861">
        <v>46110.447050000002</v>
      </c>
      <c r="E861">
        <v>0</v>
      </c>
      <c r="F861">
        <v>218778.3382</v>
      </c>
      <c r="G861" s="1">
        <v>-1.2099999999999999E-5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0</v>
      </c>
      <c r="M861" s="1">
        <f t="shared" si="55"/>
        <v>0</v>
      </c>
      <c r="N861" s="1">
        <f t="shared" si="56"/>
        <v>-4.5226622797052404E-2</v>
      </c>
      <c r="O861" s="1"/>
    </row>
    <row r="862" spans="1:15" x14ac:dyDescent="0.25">
      <c r="A862">
        <v>1311</v>
      </c>
      <c r="B862">
        <v>8262.6484610000007</v>
      </c>
      <c r="C862">
        <v>0</v>
      </c>
      <c r="D862">
        <v>116068.6149</v>
      </c>
      <c r="E862">
        <v>0</v>
      </c>
      <c r="F862">
        <v>448150.9388</v>
      </c>
      <c r="G862" s="1">
        <v>9.8099999999999992E-6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0</v>
      </c>
      <c r="M862" s="1">
        <f t="shared" si="55"/>
        <v>0</v>
      </c>
      <c r="N862" s="1">
        <f t="shared" si="56"/>
        <v>3.2486128368908532E-2</v>
      </c>
      <c r="O862" s="1"/>
    </row>
    <row r="863" spans="1:15" x14ac:dyDescent="0.25">
      <c r="A863">
        <v>1312</v>
      </c>
      <c r="B863">
        <v>6058.1219920000003</v>
      </c>
      <c r="C863">
        <v>0</v>
      </c>
      <c r="D863">
        <v>27819.82244</v>
      </c>
      <c r="E863">
        <v>0</v>
      </c>
      <c r="F863">
        <v>155606.92730000001</v>
      </c>
      <c r="G863" s="1">
        <v>3.3399999999999999E-5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0</v>
      </c>
      <c r="M863" s="1">
        <f t="shared" si="55"/>
        <v>0</v>
      </c>
      <c r="N863" s="1">
        <f t="shared" si="56"/>
        <v>3.2408629970883424E-2</v>
      </c>
      <c r="O863" s="1"/>
    </row>
    <row r="864" spans="1:15" x14ac:dyDescent="0.25">
      <c r="A864">
        <v>1313</v>
      </c>
      <c r="B864">
        <v>10800.33927</v>
      </c>
      <c r="C864">
        <v>0</v>
      </c>
      <c r="D864">
        <v>54756.578930000003</v>
      </c>
      <c r="E864">
        <v>0</v>
      </c>
      <c r="F864">
        <v>269704.25670000003</v>
      </c>
      <c r="G864" s="1">
        <v>2.05E-5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0</v>
      </c>
      <c r="M864" s="1">
        <f t="shared" si="55"/>
        <v>0</v>
      </c>
      <c r="N864" s="1">
        <f t="shared" si="56"/>
        <v>6.0421087385359507E-2</v>
      </c>
      <c r="O864" s="1"/>
    </row>
    <row r="865" spans="1:15" x14ac:dyDescent="0.25">
      <c r="A865">
        <v>1314</v>
      </c>
      <c r="B865">
        <v>7444.2165720000003</v>
      </c>
      <c r="C865">
        <v>0</v>
      </c>
      <c r="D865">
        <v>33744.289649999999</v>
      </c>
      <c r="E865">
        <v>0</v>
      </c>
      <c r="F865">
        <v>173671.0888</v>
      </c>
      <c r="G865" s="1">
        <v>4.6199999999999998E-5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0</v>
      </c>
      <c r="M865" s="1">
        <f t="shared" si="55"/>
        <v>0</v>
      </c>
      <c r="N865" s="1">
        <f t="shared" si="56"/>
        <v>0.13529320453618199</v>
      </c>
      <c r="O865" s="1"/>
    </row>
    <row r="866" spans="1:15" x14ac:dyDescent="0.25">
      <c r="A866">
        <v>1315</v>
      </c>
      <c r="B866">
        <v>7998.0107680000001</v>
      </c>
      <c r="C866">
        <v>0</v>
      </c>
      <c r="D866">
        <v>27302.344440000001</v>
      </c>
      <c r="E866">
        <v>0</v>
      </c>
      <c r="F866">
        <v>178295.2752</v>
      </c>
      <c r="G866" s="1">
        <v>-1.6399999999999999E-5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0</v>
      </c>
      <c r="M866" s="1">
        <f t="shared" si="55"/>
        <v>0</v>
      </c>
      <c r="N866" s="1">
        <f t="shared" si="56"/>
        <v>-7.6137317185039674E-2</v>
      </c>
      <c r="O866" s="1"/>
    </row>
    <row r="867" spans="1:15" x14ac:dyDescent="0.25">
      <c r="A867">
        <v>1316</v>
      </c>
      <c r="B867">
        <v>13541.4133</v>
      </c>
      <c r="C867">
        <v>0</v>
      </c>
      <c r="D867">
        <v>167475.26920000001</v>
      </c>
      <c r="E867">
        <v>0</v>
      </c>
      <c r="F867">
        <v>794602.90020000003</v>
      </c>
      <c r="G867" s="1">
        <v>-4.8199999999999999E-5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0</v>
      </c>
      <c r="M867" s="1">
        <f t="shared" si="55"/>
        <v>0</v>
      </c>
      <c r="N867" s="1">
        <f t="shared" si="56"/>
        <v>-3.3940378186581605E-2</v>
      </c>
      <c r="O867" s="1"/>
    </row>
    <row r="868" spans="1:15" x14ac:dyDescent="0.25">
      <c r="A868">
        <v>1317</v>
      </c>
      <c r="B868">
        <v>11127.475399999999</v>
      </c>
      <c r="C868">
        <v>0</v>
      </c>
      <c r="D868">
        <v>56488.907899999998</v>
      </c>
      <c r="E868">
        <v>0</v>
      </c>
      <c r="F868">
        <v>243252.5338</v>
      </c>
      <c r="G868" s="1">
        <v>-4.7800000000000003E-5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0</v>
      </c>
      <c r="M868" s="1">
        <f t="shared" si="55"/>
        <v>0</v>
      </c>
      <c r="N868" s="1">
        <f t="shared" si="56"/>
        <v>-8.8832970134168229E-2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>
        <v>0</v>
      </c>
      <c r="F869">
        <v>940817.32429999998</v>
      </c>
      <c r="G869" s="1">
        <v>1.59E-5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0</v>
      </c>
      <c r="M869" s="1">
        <f t="shared" si="55"/>
        <v>0</v>
      </c>
      <c r="N869" s="1">
        <f t="shared" si="56"/>
        <v>1.8670301492089144E-2</v>
      </c>
      <c r="O869" s="1"/>
    </row>
    <row r="870" spans="1:15" x14ac:dyDescent="0.25">
      <c r="A870">
        <v>1319</v>
      </c>
      <c r="B870">
        <v>3958.8897539999998</v>
      </c>
      <c r="C870">
        <v>0</v>
      </c>
      <c r="D870">
        <v>59487.238570000001</v>
      </c>
      <c r="E870">
        <v>0</v>
      </c>
      <c r="F870">
        <v>184593.8198</v>
      </c>
      <c r="G870" s="1">
        <v>-1.61E-7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0</v>
      </c>
      <c r="M870" s="1">
        <f t="shared" si="55"/>
        <v>0</v>
      </c>
      <c r="N870" s="1">
        <f t="shared" si="56"/>
        <v>-3.8296880041809061E-4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>
        <v>0</v>
      </c>
      <c r="F871">
        <v>353771.58590000001</v>
      </c>
      <c r="G871" s="1">
        <v>3.5500000000000002E-5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0</v>
      </c>
      <c r="M871" s="1">
        <f t="shared" si="55"/>
        <v>0</v>
      </c>
      <c r="N871" s="1">
        <f t="shared" si="56"/>
        <v>0.26515811200144501</v>
      </c>
      <c r="O871" s="1"/>
    </row>
    <row r="872" spans="1:15" x14ac:dyDescent="0.25">
      <c r="A872">
        <v>1321</v>
      </c>
      <c r="B872">
        <v>35783.826410000001</v>
      </c>
      <c r="C872">
        <v>0</v>
      </c>
      <c r="D872">
        <v>152851.34349999999</v>
      </c>
      <c r="E872">
        <v>0</v>
      </c>
      <c r="F872">
        <v>348762.78220000002</v>
      </c>
      <c r="G872" s="1">
        <v>-2.26E-5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0</v>
      </c>
      <c r="M872" s="1">
        <f t="shared" si="55"/>
        <v>0</v>
      </c>
      <c r="N872" s="1">
        <f t="shared" si="56"/>
        <v>-6.1507888820936642E-2</v>
      </c>
      <c r="O872" s="1"/>
    </row>
    <row r="873" spans="1:15" x14ac:dyDescent="0.25">
      <c r="A873">
        <v>1322</v>
      </c>
      <c r="B873">
        <v>16237.50707</v>
      </c>
      <c r="C873">
        <v>0</v>
      </c>
      <c r="D873">
        <v>49319.917979999998</v>
      </c>
      <c r="E873">
        <v>0</v>
      </c>
      <c r="F873">
        <v>198837.5399</v>
      </c>
      <c r="G873" s="1">
        <v>-2.8900000000000001E-5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0</v>
      </c>
      <c r="M873" s="1">
        <f t="shared" si="55"/>
        <v>0</v>
      </c>
      <c r="N873" s="1">
        <f t="shared" si="56"/>
        <v>-0.10804308545899807</v>
      </c>
      <c r="O873" s="1"/>
    </row>
    <row r="874" spans="1:15" x14ac:dyDescent="0.25">
      <c r="A874">
        <v>1323</v>
      </c>
      <c r="B874">
        <v>25761.19255</v>
      </c>
      <c r="C874">
        <v>0</v>
      </c>
      <c r="D874">
        <v>126338.60649999999</v>
      </c>
      <c r="E874">
        <v>0</v>
      </c>
      <c r="F874">
        <v>331484.37459999998</v>
      </c>
      <c r="G874" s="1">
        <v>-2.12E-5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0</v>
      </c>
      <c r="M874" s="1">
        <f t="shared" si="55"/>
        <v>0</v>
      </c>
      <c r="N874" s="1">
        <f t="shared" si="56"/>
        <v>-8.9946400123457532E-2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>
        <v>0</v>
      </c>
      <c r="F875">
        <v>225661.8867</v>
      </c>
      <c r="G875" s="1">
        <v>-4.9100000000000001E-5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0</v>
      </c>
      <c r="M875" s="1">
        <f t="shared" si="55"/>
        <v>0</v>
      </c>
      <c r="N875" s="1">
        <f t="shared" si="56"/>
        <v>-9.7380041886417704E-2</v>
      </c>
      <c r="O875" s="1"/>
    </row>
    <row r="876" spans="1:15" x14ac:dyDescent="0.25">
      <c r="A876">
        <v>1325</v>
      </c>
      <c r="B876">
        <v>47538.252860000001</v>
      </c>
      <c r="C876">
        <v>0</v>
      </c>
      <c r="D876">
        <v>178690.81709999999</v>
      </c>
      <c r="E876">
        <v>0</v>
      </c>
      <c r="F876">
        <v>770798.18680000002</v>
      </c>
      <c r="G876" s="1">
        <v>2.02E-5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0</v>
      </c>
      <c r="M876" s="1">
        <f t="shared" si="55"/>
        <v>0</v>
      </c>
      <c r="N876" s="1">
        <f t="shared" si="56"/>
        <v>4.7586289310146392E-2</v>
      </c>
      <c r="O876" s="1"/>
    </row>
    <row r="877" spans="1:15" x14ac:dyDescent="0.25">
      <c r="A877">
        <v>1326</v>
      </c>
      <c r="B877">
        <v>151690.84839999999</v>
      </c>
      <c r="C877">
        <v>0</v>
      </c>
      <c r="D877">
        <v>755692.94830000005</v>
      </c>
      <c r="E877">
        <v>0</v>
      </c>
      <c r="F877">
        <v>1322404.5660000001</v>
      </c>
      <c r="G877">
        <v>7835.1850860000004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0</v>
      </c>
      <c r="M877" s="1">
        <f t="shared" si="55"/>
        <v>0</v>
      </c>
      <c r="N877" s="1">
        <f t="shared" si="56"/>
        <v>73187885.581627935</v>
      </c>
      <c r="O877" s="1"/>
    </row>
    <row r="878" spans="1:15" x14ac:dyDescent="0.25">
      <c r="A878">
        <v>1327</v>
      </c>
      <c r="B878">
        <v>27187.239130000002</v>
      </c>
      <c r="C878">
        <v>0</v>
      </c>
      <c r="D878">
        <v>140848.0294</v>
      </c>
      <c r="E878">
        <v>0</v>
      </c>
      <c r="F878">
        <v>643592.33259999997</v>
      </c>
      <c r="G878" s="1">
        <v>3.0499999999999999E-5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0</v>
      </c>
      <c r="M878" s="1">
        <f t="shared" si="55"/>
        <v>0</v>
      </c>
      <c r="N878" s="1">
        <f t="shared" si="56"/>
        <v>7.6954807228667405E-2</v>
      </c>
      <c r="O878" s="1"/>
    </row>
    <row r="879" spans="1:15" x14ac:dyDescent="0.25">
      <c r="A879">
        <v>1328</v>
      </c>
      <c r="B879">
        <v>26807.133900000001</v>
      </c>
      <c r="C879">
        <v>0</v>
      </c>
      <c r="D879">
        <v>143040.82449999999</v>
      </c>
      <c r="E879">
        <v>0</v>
      </c>
      <c r="F879">
        <v>727364.96860000002</v>
      </c>
      <c r="G879" s="1">
        <v>3.8999999999999999E-5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0</v>
      </c>
      <c r="M879" s="1">
        <f t="shared" si="55"/>
        <v>0</v>
      </c>
      <c r="N879" s="1">
        <f t="shared" si="56"/>
        <v>0.18351890577889832</v>
      </c>
      <c r="O879" s="1"/>
    </row>
    <row r="880" spans="1:15" x14ac:dyDescent="0.25">
      <c r="A880">
        <v>1329</v>
      </c>
      <c r="B880">
        <v>19205.486939999999</v>
      </c>
      <c r="C880">
        <v>0</v>
      </c>
      <c r="D880">
        <v>91324.224489999993</v>
      </c>
      <c r="E880">
        <v>0</v>
      </c>
      <c r="F880">
        <v>780567.22019999998</v>
      </c>
      <c r="G880" s="1">
        <v>2.48E-5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0</v>
      </c>
      <c r="M880" s="1">
        <f t="shared" si="55"/>
        <v>0</v>
      </c>
      <c r="N880" s="1">
        <f t="shared" si="56"/>
        <v>1.6223484996866162E-2</v>
      </c>
      <c r="O880" s="1"/>
    </row>
    <row r="881" spans="1:15" x14ac:dyDescent="0.25">
      <c r="A881">
        <v>1330</v>
      </c>
      <c r="B881">
        <v>23054.35023</v>
      </c>
      <c r="C881">
        <v>0</v>
      </c>
      <c r="D881">
        <v>107095.4066</v>
      </c>
      <c r="E881">
        <v>0</v>
      </c>
      <c r="F881">
        <v>803966.74199999997</v>
      </c>
      <c r="G881" s="1">
        <v>3.15E-5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0</v>
      </c>
      <c r="M881" s="1">
        <f t="shared" si="55"/>
        <v>0</v>
      </c>
      <c r="N881" s="1">
        <f t="shared" si="56"/>
        <v>3.7472123993535E-2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>
        <v>0</v>
      </c>
      <c r="F882">
        <v>539267.82490000001</v>
      </c>
      <c r="G882" s="1">
        <v>-3.7499999999999997E-5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0</v>
      </c>
      <c r="M882" s="1">
        <f t="shared" si="55"/>
        <v>0</v>
      </c>
      <c r="N882" s="1">
        <f t="shared" si="56"/>
        <v>-0.44068023348434998</v>
      </c>
      <c r="O882" s="1"/>
    </row>
    <row r="883" spans="1:15" x14ac:dyDescent="0.25">
      <c r="A883">
        <v>1332</v>
      </c>
      <c r="B883">
        <v>28760.31266</v>
      </c>
      <c r="C883">
        <v>0</v>
      </c>
      <c r="D883">
        <v>226600.56460000001</v>
      </c>
      <c r="E883">
        <v>0</v>
      </c>
      <c r="F883">
        <v>843882.82189999998</v>
      </c>
      <c r="G883" s="1">
        <v>-4.4400000000000002E-5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0</v>
      </c>
      <c r="M883" s="1">
        <f t="shared" si="55"/>
        <v>0</v>
      </c>
      <c r="N883" s="1">
        <f t="shared" si="56"/>
        <v>-4.8978141067098004E-2</v>
      </c>
      <c r="O883" s="1"/>
    </row>
    <row r="884" spans="1:15" x14ac:dyDescent="0.25">
      <c r="A884">
        <v>1333</v>
      </c>
      <c r="B884">
        <v>6106.1265270000004</v>
      </c>
      <c r="C884">
        <v>0</v>
      </c>
      <c r="D884">
        <v>33905.556420000001</v>
      </c>
      <c r="E884">
        <v>0</v>
      </c>
      <c r="F884">
        <v>198425.6801</v>
      </c>
      <c r="G884" s="1">
        <v>-2.1100000000000001E-5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0</v>
      </c>
      <c r="M884" s="1">
        <f t="shared" si="55"/>
        <v>0</v>
      </c>
      <c r="N884" s="1">
        <f t="shared" si="56"/>
        <v>-6.0739636401019093E-2</v>
      </c>
      <c r="O884" s="1"/>
    </row>
    <row r="885" spans="1:15" x14ac:dyDescent="0.25">
      <c r="A885">
        <v>1334</v>
      </c>
      <c r="B885">
        <v>25899.92294</v>
      </c>
      <c r="C885">
        <v>0</v>
      </c>
      <c r="D885">
        <v>163565.05059999999</v>
      </c>
      <c r="E885">
        <v>0</v>
      </c>
      <c r="F885">
        <v>748540.201</v>
      </c>
      <c r="G885" s="1">
        <v>-4.1499999999999999E-5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0</v>
      </c>
      <c r="M885" s="1">
        <f t="shared" si="55"/>
        <v>0</v>
      </c>
      <c r="N885" s="1">
        <f t="shared" si="56"/>
        <v>-0.13018484064026026</v>
      </c>
      <c r="O885" s="1"/>
    </row>
    <row r="886" spans="1:15" x14ac:dyDescent="0.25">
      <c r="A886">
        <v>1335</v>
      </c>
      <c r="B886">
        <v>20030.13924</v>
      </c>
      <c r="C886">
        <v>0</v>
      </c>
      <c r="D886">
        <v>109511.45630000001</v>
      </c>
      <c r="E886">
        <v>0</v>
      </c>
      <c r="F886">
        <v>531481.11010000005</v>
      </c>
      <c r="G886" s="1">
        <v>-1.9899999999999999E-5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0</v>
      </c>
      <c r="M886" s="1">
        <f t="shared" si="55"/>
        <v>0</v>
      </c>
      <c r="N886" s="1">
        <f t="shared" si="56"/>
        <v>-3.8857903951356215E-2</v>
      </c>
      <c r="O886" s="1"/>
    </row>
    <row r="887" spans="1:15" x14ac:dyDescent="0.25">
      <c r="A887">
        <v>1336</v>
      </c>
      <c r="B887">
        <v>14621.848760000001</v>
      </c>
      <c r="C887">
        <v>0</v>
      </c>
      <c r="D887">
        <v>173570.44570000001</v>
      </c>
      <c r="E887">
        <v>0</v>
      </c>
      <c r="F887">
        <v>918453.9791</v>
      </c>
      <c r="G887" s="1">
        <v>1.91E-5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0</v>
      </c>
      <c r="M887" s="1">
        <f t="shared" si="55"/>
        <v>0</v>
      </c>
      <c r="N887" s="1">
        <f t="shared" si="56"/>
        <v>7.4028476813792252E-2</v>
      </c>
      <c r="O887" s="1"/>
    </row>
    <row r="888" spans="1:15" x14ac:dyDescent="0.25">
      <c r="A888">
        <v>1337</v>
      </c>
      <c r="B888">
        <v>16495.6682</v>
      </c>
      <c r="C888">
        <v>0</v>
      </c>
      <c r="D888">
        <v>52922.460180000002</v>
      </c>
      <c r="E888">
        <v>0</v>
      </c>
      <c r="F888">
        <v>392232.95380000002</v>
      </c>
      <c r="G888" s="1">
        <v>1.3699999999999999E-5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0</v>
      </c>
      <c r="M888" s="1">
        <f t="shared" si="55"/>
        <v>0</v>
      </c>
      <c r="N888" s="1">
        <f t="shared" si="56"/>
        <v>4.1246727483594932E-2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>
        <v>0</v>
      </c>
      <c r="F889">
        <v>737018.46030000004</v>
      </c>
      <c r="G889" s="1">
        <v>-3.0300000000000001E-5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0</v>
      </c>
      <c r="M889" s="1">
        <f t="shared" si="55"/>
        <v>0</v>
      </c>
      <c r="N889" s="1">
        <f t="shared" si="56"/>
        <v>-6.7754087782903982E-2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>
        <v>0</v>
      </c>
      <c r="F890">
        <v>709404.103</v>
      </c>
      <c r="G890" s="1">
        <v>3.4600000000000001E-5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0</v>
      </c>
      <c r="M890" s="1">
        <f t="shared" si="55"/>
        <v>0</v>
      </c>
      <c r="N890" s="1">
        <f t="shared" si="56"/>
        <v>7.7272489447435505E-2</v>
      </c>
      <c r="O890" s="1"/>
    </row>
    <row r="891" spans="1:15" x14ac:dyDescent="0.25">
      <c r="A891">
        <v>1340</v>
      </c>
      <c r="B891">
        <v>5286.7415419999998</v>
      </c>
      <c r="C891">
        <v>0</v>
      </c>
      <c r="D891">
        <v>55400.097730000001</v>
      </c>
      <c r="E891">
        <v>0</v>
      </c>
      <c r="F891">
        <v>350535.80609999999</v>
      </c>
      <c r="G891" s="1">
        <v>1.98E-5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0</v>
      </c>
      <c r="M891" s="1">
        <f t="shared" si="55"/>
        <v>0</v>
      </c>
      <c r="N891" s="1">
        <f t="shared" si="56"/>
        <v>2.5133605665507902E-2</v>
      </c>
      <c r="O891" s="1"/>
    </row>
    <row r="892" spans="1:15" x14ac:dyDescent="0.25">
      <c r="A892">
        <v>1341</v>
      </c>
      <c r="B892">
        <v>40962.09274</v>
      </c>
      <c r="C892">
        <v>0</v>
      </c>
      <c r="D892">
        <v>310866.02159999998</v>
      </c>
      <c r="E892">
        <v>0</v>
      </c>
      <c r="F892">
        <v>1185046.892</v>
      </c>
      <c r="G892">
        <v>3925.9697970000002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0</v>
      </c>
      <c r="M892" s="1">
        <f t="shared" si="55"/>
        <v>0</v>
      </c>
      <c r="N892" s="1">
        <f t="shared" si="56"/>
        <v>6908466.3952148873</v>
      </c>
      <c r="O892" s="1"/>
    </row>
    <row r="893" spans="1:15" x14ac:dyDescent="0.25">
      <c r="A893">
        <v>1342</v>
      </c>
      <c r="B893">
        <v>3811.474479</v>
      </c>
      <c r="C893">
        <v>0</v>
      </c>
      <c r="D893">
        <v>105496.5162</v>
      </c>
      <c r="E893">
        <v>0</v>
      </c>
      <c r="F893">
        <v>677456.32700000005</v>
      </c>
      <c r="G893" s="1">
        <v>-2.8799999999999999E-5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0</v>
      </c>
      <c r="M893" s="1">
        <f t="shared" si="55"/>
        <v>0</v>
      </c>
      <c r="N893" s="1">
        <f t="shared" si="56"/>
        <v>-9.6541943625869764E-2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>
        <v>0</v>
      </c>
      <c r="F894">
        <v>644389.95880000002</v>
      </c>
      <c r="G894" s="1">
        <v>-4.7899999999999999E-5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0</v>
      </c>
      <c r="M894" s="1">
        <f t="shared" si="55"/>
        <v>0</v>
      </c>
      <c r="N894" s="1">
        <f t="shared" si="56"/>
        <v>-0.11591498040641243</v>
      </c>
      <c r="O894" s="1"/>
    </row>
    <row r="895" spans="1:15" x14ac:dyDescent="0.25">
      <c r="A895">
        <v>1344</v>
      </c>
      <c r="B895">
        <v>7381.4747619999998</v>
      </c>
      <c r="C895">
        <v>0</v>
      </c>
      <c r="D895">
        <v>46856.602200000001</v>
      </c>
      <c r="E895">
        <v>0</v>
      </c>
      <c r="F895">
        <v>309152.73540000001</v>
      </c>
      <c r="G895" s="1">
        <v>-2.3600000000000001E-5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0</v>
      </c>
      <c r="M895" s="1">
        <f t="shared" si="55"/>
        <v>0</v>
      </c>
      <c r="N895" s="1">
        <f t="shared" si="56"/>
        <v>-0.16361172685974121</v>
      </c>
      <c r="O895" s="1"/>
    </row>
    <row r="896" spans="1:15" x14ac:dyDescent="0.25">
      <c r="A896">
        <v>1345</v>
      </c>
      <c r="B896">
        <v>7437.5676149999999</v>
      </c>
      <c r="C896">
        <v>0</v>
      </c>
      <c r="D896">
        <v>60043.123789999998</v>
      </c>
      <c r="E896">
        <v>0</v>
      </c>
      <c r="F896">
        <v>412152.65360000002</v>
      </c>
      <c r="G896" s="1">
        <v>-2.5700000000000001E-5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0</v>
      </c>
      <c r="M896" s="1">
        <f t="shared" si="55"/>
        <v>0</v>
      </c>
      <c r="N896" s="1">
        <f t="shared" si="56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>
        <v>0</v>
      </c>
      <c r="F897">
        <v>184870.59239999999</v>
      </c>
      <c r="G897" s="1">
        <v>-1.13E-5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0</v>
      </c>
      <c r="N897" s="1">
        <f t="shared" si="56"/>
        <v>-7.3057354674760502E-2</v>
      </c>
      <c r="O897" s="1"/>
    </row>
    <row r="898" spans="1:15" x14ac:dyDescent="0.25">
      <c r="A898">
        <v>1347</v>
      </c>
      <c r="B898">
        <v>7404.0287550000003</v>
      </c>
      <c r="C898">
        <v>0</v>
      </c>
      <c r="D898">
        <v>58082.662839999997</v>
      </c>
      <c r="E898">
        <v>0</v>
      </c>
      <c r="F898">
        <v>347946.02309999999</v>
      </c>
      <c r="G898" s="1">
        <v>1.5500000000000001E-5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0</v>
      </c>
      <c r="M898" s="1">
        <f t="shared" si="55"/>
        <v>0</v>
      </c>
      <c r="N898" s="1">
        <f t="shared" si="56"/>
        <v>8.0088896098051518E-2</v>
      </c>
      <c r="O898" s="1"/>
    </row>
    <row r="899" spans="1:15" x14ac:dyDescent="0.25">
      <c r="A899">
        <v>1348</v>
      </c>
      <c r="B899">
        <v>12998.713229999999</v>
      </c>
      <c r="C899">
        <v>0</v>
      </c>
      <c r="D899">
        <v>112193.5371</v>
      </c>
      <c r="E899">
        <v>0</v>
      </c>
      <c r="F899">
        <v>614294.72369999997</v>
      </c>
      <c r="G899" s="1">
        <v>1.7600000000000001E-5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0</v>
      </c>
      <c r="M899" s="1">
        <f t="shared" ref="M899:M962" si="59">$U$3*$K899*E899</f>
        <v>0</v>
      </c>
      <c r="N899" s="1">
        <f t="shared" ref="N899:N962" si="60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 s="1">
        <v>7.0899999999999999E-6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0</v>
      </c>
      <c r="M900" s="1">
        <f t="shared" si="59"/>
        <v>0</v>
      </c>
      <c r="N900" s="1">
        <f t="shared" si="60"/>
        <v>1.2058742005616354E-2</v>
      </c>
      <c r="O900" s="1"/>
    </row>
    <row r="901" spans="1:15" x14ac:dyDescent="0.25">
      <c r="A901">
        <v>1351</v>
      </c>
      <c r="B901">
        <v>4768.1853709999996</v>
      </c>
      <c r="C901">
        <v>0</v>
      </c>
      <c r="D901">
        <v>13724.6782</v>
      </c>
      <c r="E901">
        <v>0</v>
      </c>
      <c r="F901">
        <v>156278.7144</v>
      </c>
      <c r="G901" s="1">
        <v>-1.9700000000000001E-5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0</v>
      </c>
      <c r="M901" s="1">
        <f t="shared" si="59"/>
        <v>0</v>
      </c>
      <c r="N901" s="1">
        <f t="shared" si="60"/>
        <v>-0.30238268292268533</v>
      </c>
      <c r="O901" s="1"/>
    </row>
    <row r="902" spans="1:15" x14ac:dyDescent="0.25">
      <c r="A902">
        <v>1400</v>
      </c>
      <c r="B902">
        <v>3689.3895750000001</v>
      </c>
      <c r="C902">
        <v>0</v>
      </c>
      <c r="D902">
        <v>59101.113920000003</v>
      </c>
      <c r="E902">
        <v>0</v>
      </c>
      <c r="F902">
        <v>337334.07530000003</v>
      </c>
      <c r="G902" s="1">
        <v>2.2099999999999998E-5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0</v>
      </c>
      <c r="M902" s="1">
        <f t="shared" si="59"/>
        <v>0</v>
      </c>
      <c r="N902" s="1">
        <f t="shared" si="60"/>
        <v>0.14899384620726841</v>
      </c>
      <c r="O902" s="1"/>
    </row>
    <row r="903" spans="1:15" x14ac:dyDescent="0.25">
      <c r="A903">
        <v>1401</v>
      </c>
      <c r="B903">
        <v>3689.3895750000001</v>
      </c>
      <c r="C903">
        <v>0</v>
      </c>
      <c r="D903">
        <v>59015.70779</v>
      </c>
      <c r="E903">
        <v>0</v>
      </c>
      <c r="F903">
        <v>336861.97859999997</v>
      </c>
      <c r="G903" s="1">
        <v>-4.1E-5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0</v>
      </c>
      <c r="M903" s="1">
        <f t="shared" si="59"/>
        <v>0</v>
      </c>
      <c r="N903" s="1">
        <f t="shared" si="60"/>
        <v>-0.21055852248535503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 s="1">
        <v>6.9399999999999996E-6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0</v>
      </c>
      <c r="M904" s="1">
        <f t="shared" si="59"/>
        <v>0</v>
      </c>
      <c r="N904" s="1">
        <f t="shared" si="60"/>
        <v>9.2188124604960769E-3</v>
      </c>
      <c r="O904" s="1"/>
    </row>
    <row r="905" spans="1:15" x14ac:dyDescent="0.25">
      <c r="A905">
        <v>1403</v>
      </c>
      <c r="B905">
        <v>7134.0049710000003</v>
      </c>
      <c r="C905">
        <v>0</v>
      </c>
      <c r="D905">
        <v>125014.3744</v>
      </c>
      <c r="E905">
        <v>0</v>
      </c>
      <c r="F905">
        <v>567581.43359999999</v>
      </c>
      <c r="G905" s="1">
        <v>-4.1600000000000002E-5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0</v>
      </c>
      <c r="M905" s="1">
        <f t="shared" si="59"/>
        <v>0</v>
      </c>
      <c r="N905" s="1">
        <f t="shared" si="60"/>
        <v>-0.21930446622814082</v>
      </c>
      <c r="O905" s="1"/>
    </row>
    <row r="906" spans="1:15" x14ac:dyDescent="0.25">
      <c r="A906">
        <v>1404</v>
      </c>
      <c r="B906">
        <v>13347.59325</v>
      </c>
      <c r="C906">
        <v>0</v>
      </c>
      <c r="D906">
        <v>171009.67670000001</v>
      </c>
      <c r="E906">
        <v>0</v>
      </c>
      <c r="F906">
        <v>694246.91689999995</v>
      </c>
      <c r="G906" s="1">
        <v>-1.04E-6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0</v>
      </c>
      <c r="M906" s="1">
        <f t="shared" si="59"/>
        <v>0</v>
      </c>
      <c r="N906" s="1">
        <f t="shared" si="60"/>
        <v>-4.6357537380020885E-3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>
        <v>0</v>
      </c>
      <c r="F907">
        <v>315113.25229999999</v>
      </c>
      <c r="G907" s="1">
        <v>-4.1699999999999997E-5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0</v>
      </c>
      <c r="M907" s="1">
        <f t="shared" si="59"/>
        <v>0</v>
      </c>
      <c r="N907" s="1">
        <f t="shared" si="60"/>
        <v>-0.214584361042122</v>
      </c>
      <c r="O907" s="1"/>
    </row>
    <row r="908" spans="1:15" x14ac:dyDescent="0.25">
      <c r="A908">
        <v>1406</v>
      </c>
      <c r="B908">
        <v>133916.98389999999</v>
      </c>
      <c r="C908">
        <v>0</v>
      </c>
      <c r="D908">
        <v>568064.58959999995</v>
      </c>
      <c r="E908">
        <v>0</v>
      </c>
      <c r="F908">
        <v>1328372.199</v>
      </c>
      <c r="G908">
        <v>2.8421000000000002E-4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0</v>
      </c>
      <c r="M908" s="1">
        <f t="shared" si="59"/>
        <v>0</v>
      </c>
      <c r="N908" s="1">
        <f t="shared" si="60"/>
        <v>0.34543711615815326</v>
      </c>
      <c r="O908" s="1"/>
    </row>
    <row r="909" spans="1:15" x14ac:dyDescent="0.25">
      <c r="A909">
        <v>1407</v>
      </c>
      <c r="B909">
        <v>173804.81510000001</v>
      </c>
      <c r="C909">
        <v>0</v>
      </c>
      <c r="D909">
        <v>676467.80319999997</v>
      </c>
      <c r="E909">
        <v>0</v>
      </c>
      <c r="F909">
        <v>1370158.5220000001</v>
      </c>
      <c r="G909">
        <v>830.8338205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0</v>
      </c>
      <c r="M909" s="1">
        <f t="shared" si="59"/>
        <v>0</v>
      </c>
      <c r="N909" s="1">
        <f t="shared" si="60"/>
        <v>378761.48720507388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>
        <v>0</v>
      </c>
      <c r="F910">
        <v>814471.30229999998</v>
      </c>
      <c r="G910" s="1">
        <v>2.87E-5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0</v>
      </c>
      <c r="M910" s="1">
        <f t="shared" si="59"/>
        <v>0</v>
      </c>
      <c r="N910" s="1">
        <f t="shared" si="60"/>
        <v>0.13800295417171934</v>
      </c>
      <c r="O910" s="1"/>
    </row>
    <row r="911" spans="1:15" x14ac:dyDescent="0.25">
      <c r="A911">
        <v>1409</v>
      </c>
      <c r="B911">
        <v>19810.48372</v>
      </c>
      <c r="C911">
        <v>0</v>
      </c>
      <c r="D911">
        <v>220672.3793</v>
      </c>
      <c r="E911">
        <v>0</v>
      </c>
      <c r="F911">
        <v>854028.26170000003</v>
      </c>
      <c r="G911" s="1">
        <v>1.77E-5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0</v>
      </c>
      <c r="M911" s="1">
        <f t="shared" si="59"/>
        <v>0</v>
      </c>
      <c r="N911" s="1">
        <f t="shared" si="60"/>
        <v>9.7356612183707711E-2</v>
      </c>
      <c r="O911" s="1"/>
    </row>
    <row r="912" spans="1:15" x14ac:dyDescent="0.25">
      <c r="A912">
        <v>1410</v>
      </c>
      <c r="B912">
        <v>7903.5282139999999</v>
      </c>
      <c r="C912">
        <v>0</v>
      </c>
      <c r="D912">
        <v>112262.7007</v>
      </c>
      <c r="E912">
        <v>0</v>
      </c>
      <c r="F912">
        <v>499306.76530000003</v>
      </c>
      <c r="G912" s="1">
        <v>3.1600000000000002E-5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0</v>
      </c>
      <c r="M912" s="1">
        <f t="shared" si="59"/>
        <v>0</v>
      </c>
      <c r="N912" s="1">
        <f t="shared" si="60"/>
        <v>0.16258151873244242</v>
      </c>
      <c r="O912" s="1"/>
    </row>
    <row r="913" spans="1:15" x14ac:dyDescent="0.25">
      <c r="A913">
        <v>1413</v>
      </c>
      <c r="B913">
        <v>3575.5735989999998</v>
      </c>
      <c r="C913">
        <v>0</v>
      </c>
      <c r="D913">
        <v>11799.10462</v>
      </c>
      <c r="E913">
        <v>0</v>
      </c>
      <c r="F913">
        <v>110340.32709999999</v>
      </c>
      <c r="G913" s="1">
        <v>2.0699999999999998E-5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0</v>
      </c>
      <c r="M913" s="1">
        <f t="shared" si="59"/>
        <v>0</v>
      </c>
      <c r="N913" s="1">
        <f t="shared" si="60"/>
        <v>0.1561608275068431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>
        <v>0</v>
      </c>
      <c r="F914">
        <v>337598.30310000002</v>
      </c>
      <c r="G914" s="1">
        <v>-3.9700000000000003E-5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0</v>
      </c>
      <c r="M914" s="1">
        <f t="shared" si="59"/>
        <v>0</v>
      </c>
      <c r="N914" s="1">
        <f t="shared" si="60"/>
        <v>-0.1880473205524506</v>
      </c>
      <c r="O914" s="1"/>
    </row>
    <row r="915" spans="1:15" x14ac:dyDescent="0.25">
      <c r="A915">
        <v>1415</v>
      </c>
      <c r="B915">
        <v>4754.6911220000002</v>
      </c>
      <c r="C915">
        <v>0</v>
      </c>
      <c r="D915">
        <v>95408.673460000005</v>
      </c>
      <c r="E915">
        <v>0</v>
      </c>
      <c r="F915">
        <v>524740.83810000005</v>
      </c>
      <c r="G915" s="1">
        <v>-1.29E-5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0</v>
      </c>
      <c r="M915" s="1">
        <f t="shared" si="59"/>
        <v>0</v>
      </c>
      <c r="N915" s="1">
        <f t="shared" si="60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>
        <v>0</v>
      </c>
      <c r="F916">
        <v>282564.40549999999</v>
      </c>
      <c r="G916" s="1">
        <v>2.23E-5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0</v>
      </c>
      <c r="N916" s="1">
        <f t="shared" si="60"/>
        <v>8.8192295774544155E-2</v>
      </c>
      <c r="O916" s="1"/>
    </row>
    <row r="917" spans="1:15" x14ac:dyDescent="0.25">
      <c r="A917">
        <v>1417</v>
      </c>
      <c r="B917">
        <v>732.77843559999997</v>
      </c>
      <c r="C917">
        <v>0</v>
      </c>
      <c r="D917">
        <v>12298.841189999999</v>
      </c>
      <c r="E917">
        <v>0</v>
      </c>
      <c r="F917">
        <v>131141.75150000001</v>
      </c>
      <c r="G917" s="1">
        <v>-1.81E-6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0</v>
      </c>
      <c r="M917" s="1">
        <f t="shared" si="59"/>
        <v>0</v>
      </c>
      <c r="N917" s="1">
        <f t="shared" si="60"/>
        <v>-3.0342462843499833E-2</v>
      </c>
      <c r="O917" s="1"/>
    </row>
    <row r="918" spans="1:15" x14ac:dyDescent="0.25">
      <c r="A918">
        <v>1418</v>
      </c>
      <c r="B918">
        <v>4979.3708779999997</v>
      </c>
      <c r="C918">
        <v>0</v>
      </c>
      <c r="D918">
        <v>106781.33719999999</v>
      </c>
      <c r="E918">
        <v>0</v>
      </c>
      <c r="F918">
        <v>430516.70020000002</v>
      </c>
      <c r="G918" s="1">
        <v>4.9299999999999999E-5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0</v>
      </c>
      <c r="M918" s="1">
        <f t="shared" si="59"/>
        <v>0</v>
      </c>
      <c r="N918" s="1">
        <f t="shared" si="60"/>
        <v>0.23734606220566942</v>
      </c>
      <c r="O918" s="1"/>
    </row>
    <row r="919" spans="1:15" x14ac:dyDescent="0.25">
      <c r="A919">
        <v>1419</v>
      </c>
      <c r="B919">
        <v>5464.8103179999998</v>
      </c>
      <c r="C919">
        <v>0</v>
      </c>
      <c r="D919">
        <v>37142.520369999998</v>
      </c>
      <c r="E919">
        <v>0</v>
      </c>
      <c r="F919">
        <v>417968.91480000003</v>
      </c>
      <c r="G919" s="1">
        <v>-1.08E-5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0</v>
      </c>
      <c r="M919" s="1">
        <f t="shared" si="59"/>
        <v>0</v>
      </c>
      <c r="N919" s="1">
        <f t="shared" si="60"/>
        <v>-6.6997779316380013E-2</v>
      </c>
      <c r="O919" s="1"/>
    </row>
    <row r="920" spans="1:15" x14ac:dyDescent="0.25">
      <c r="A920">
        <v>1420</v>
      </c>
      <c r="B920">
        <v>12060.18965</v>
      </c>
      <c r="C920">
        <v>0</v>
      </c>
      <c r="D920">
        <v>148440.15479999999</v>
      </c>
      <c r="E920">
        <v>0</v>
      </c>
      <c r="F920">
        <v>538222.56059999997</v>
      </c>
      <c r="G920" s="1">
        <v>3.3899999999999997E-5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0</v>
      </c>
      <c r="M920" s="1">
        <f t="shared" si="59"/>
        <v>0</v>
      </c>
      <c r="N920" s="1">
        <f t="shared" si="60"/>
        <v>0.28376264036654553</v>
      </c>
      <c r="O920" s="1"/>
    </row>
    <row r="921" spans="1:15" x14ac:dyDescent="0.25">
      <c r="A921">
        <v>1421</v>
      </c>
      <c r="B921">
        <v>9846.6074509999999</v>
      </c>
      <c r="C921">
        <v>0</v>
      </c>
      <c r="D921">
        <v>150795.49679999999</v>
      </c>
      <c r="E921">
        <v>0</v>
      </c>
      <c r="F921">
        <v>585456.31889999995</v>
      </c>
      <c r="G921" s="1">
        <v>-3.4E-5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0</v>
      </c>
      <c r="M921" s="1">
        <f t="shared" si="59"/>
        <v>0</v>
      </c>
      <c r="N921" s="1">
        <f t="shared" si="60"/>
        <v>-0.13325784237224403</v>
      </c>
      <c r="O921" s="1"/>
    </row>
    <row r="922" spans="1:15" x14ac:dyDescent="0.25">
      <c r="A922">
        <v>1422</v>
      </c>
      <c r="B922">
        <v>7629.3928740000001</v>
      </c>
      <c r="C922">
        <v>0</v>
      </c>
      <c r="D922">
        <v>169550.99110000001</v>
      </c>
      <c r="E922">
        <v>0</v>
      </c>
      <c r="F922">
        <v>660488.32510000002</v>
      </c>
      <c r="G922" s="1">
        <v>1.34E-5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0</v>
      </c>
      <c r="M922" s="1">
        <f t="shared" si="59"/>
        <v>0</v>
      </c>
      <c r="N922" s="1">
        <f t="shared" si="60"/>
        <v>5.8203880482886994E-2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>
        <v>0</v>
      </c>
      <c r="F923">
        <v>376841.57079999999</v>
      </c>
      <c r="G923" s="1">
        <v>4.7500000000000003E-5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0</v>
      </c>
      <c r="M923" s="1">
        <f t="shared" si="59"/>
        <v>0</v>
      </c>
      <c r="N923" s="1">
        <f t="shared" si="60"/>
        <v>8.6547158456515519E-2</v>
      </c>
      <c r="O923" s="1"/>
    </row>
    <row r="924" spans="1:15" x14ac:dyDescent="0.25">
      <c r="A924">
        <v>1501</v>
      </c>
      <c r="B924">
        <v>18221.894509999998</v>
      </c>
      <c r="C924">
        <v>0</v>
      </c>
      <c r="D924">
        <v>145064.83350000001</v>
      </c>
      <c r="E924">
        <v>0</v>
      </c>
      <c r="F924">
        <v>721095.04500000004</v>
      </c>
      <c r="G924" s="1">
        <v>1.56E-5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0</v>
      </c>
      <c r="M924" s="1">
        <f t="shared" si="59"/>
        <v>0</v>
      </c>
      <c r="N924" s="1">
        <f t="shared" si="60"/>
        <v>3.9605642754406561E-2</v>
      </c>
      <c r="O924" s="1"/>
    </row>
    <row r="925" spans="1:15" x14ac:dyDescent="0.25">
      <c r="A925">
        <v>1502</v>
      </c>
      <c r="B925">
        <v>6974.1452710000003</v>
      </c>
      <c r="C925">
        <v>0</v>
      </c>
      <c r="D925">
        <v>54051.37096</v>
      </c>
      <c r="E925">
        <v>0</v>
      </c>
      <c r="F925">
        <v>357144.09179999999</v>
      </c>
      <c r="G925" s="1">
        <v>-3.9900000000000001E-5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0</v>
      </c>
      <c r="M925" s="1">
        <f t="shared" si="59"/>
        <v>0</v>
      </c>
      <c r="N925" s="1">
        <f t="shared" si="60"/>
        <v>-0.12816644868981136</v>
      </c>
      <c r="O925" s="1"/>
    </row>
    <row r="926" spans="1:15" x14ac:dyDescent="0.25">
      <c r="A926">
        <v>1503</v>
      </c>
      <c r="B926">
        <v>17289.73155</v>
      </c>
      <c r="C926">
        <v>0</v>
      </c>
      <c r="D926">
        <v>162890.27170000001</v>
      </c>
      <c r="E926">
        <v>0</v>
      </c>
      <c r="F926">
        <v>778650.66709999996</v>
      </c>
      <c r="G926" s="1">
        <v>4.3800000000000001E-5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0</v>
      </c>
      <c r="M926" s="1">
        <f t="shared" si="59"/>
        <v>0</v>
      </c>
      <c r="N926" s="1">
        <f t="shared" si="60"/>
        <v>0.14441052217433545</v>
      </c>
      <c r="O926" s="1"/>
    </row>
    <row r="927" spans="1:15" x14ac:dyDescent="0.25">
      <c r="A927">
        <v>1504</v>
      </c>
      <c r="B927">
        <v>5354.1348939999998</v>
      </c>
      <c r="C927">
        <v>0</v>
      </c>
      <c r="D927">
        <v>85327.480660000001</v>
      </c>
      <c r="E927">
        <v>0</v>
      </c>
      <c r="F927">
        <v>383550.54729999998</v>
      </c>
      <c r="G927" s="1">
        <v>-1.45E-5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0</v>
      </c>
      <c r="M927" s="1">
        <f t="shared" si="59"/>
        <v>0</v>
      </c>
      <c r="N927" s="1">
        <f t="shared" si="60"/>
        <v>-3.3551665530314551E-2</v>
      </c>
      <c r="O927" s="1"/>
    </row>
    <row r="928" spans="1:15" x14ac:dyDescent="0.25">
      <c r="A928">
        <v>1505</v>
      </c>
      <c r="B928">
        <v>4920.3217889999996</v>
      </c>
      <c r="C928">
        <v>0</v>
      </c>
      <c r="D928">
        <v>93300.739180000004</v>
      </c>
      <c r="E928">
        <v>0</v>
      </c>
      <c r="F928">
        <v>333037.11229999998</v>
      </c>
      <c r="G928" s="1">
        <v>9.5200000000000003E-6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0</v>
      </c>
      <c r="M928" s="1">
        <f t="shared" si="59"/>
        <v>0</v>
      </c>
      <c r="N928" s="1">
        <f t="shared" si="60"/>
        <v>3.3010184447835003E-2</v>
      </c>
      <c r="O928" s="1"/>
    </row>
    <row r="929" spans="1:15" x14ac:dyDescent="0.25">
      <c r="A929">
        <v>1506</v>
      </c>
      <c r="B929">
        <v>39136.664819999998</v>
      </c>
      <c r="C929">
        <v>0</v>
      </c>
      <c r="D929">
        <v>290863.7746</v>
      </c>
      <c r="E929">
        <v>0</v>
      </c>
      <c r="F929">
        <v>1159103.6340000001</v>
      </c>
      <c r="G929">
        <v>4.1934999999999997E-4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0</v>
      </c>
      <c r="M929" s="1">
        <f t="shared" si="59"/>
        <v>0</v>
      </c>
      <c r="N929" s="1">
        <f t="shared" si="60"/>
        <v>1.0800041062027668</v>
      </c>
      <c r="O929" s="1"/>
    </row>
    <row r="930" spans="1:15" x14ac:dyDescent="0.25">
      <c r="A930">
        <v>1507</v>
      </c>
      <c r="B930">
        <v>35490.562830000003</v>
      </c>
      <c r="C930">
        <v>0</v>
      </c>
      <c r="D930">
        <v>251318.75690000001</v>
      </c>
      <c r="E930">
        <v>0</v>
      </c>
      <c r="F930">
        <v>1062485.0330000001</v>
      </c>
      <c r="G930">
        <v>1.0432E-4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0</v>
      </c>
      <c r="M930" s="1">
        <f t="shared" si="59"/>
        <v>0</v>
      </c>
      <c r="N930" s="1">
        <f t="shared" si="60"/>
        <v>0.31332433260250869</v>
      </c>
      <c r="O930" s="1"/>
    </row>
    <row r="931" spans="1:15" x14ac:dyDescent="0.25">
      <c r="A931">
        <v>1508</v>
      </c>
      <c r="B931">
        <v>6820.7761970000001</v>
      </c>
      <c r="C931">
        <v>0</v>
      </c>
      <c r="D931">
        <v>58004.19599</v>
      </c>
      <c r="E931">
        <v>0</v>
      </c>
      <c r="F931">
        <v>371023.77830000001</v>
      </c>
      <c r="G931" s="1">
        <v>-3.0700000000000001E-5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0</v>
      </c>
      <c r="M931" s="1">
        <f t="shared" si="59"/>
        <v>0</v>
      </c>
      <c r="N931" s="1">
        <f t="shared" si="60"/>
        <v>-0.14462543584278345</v>
      </c>
      <c r="O931" s="1"/>
    </row>
    <row r="932" spans="1:15" x14ac:dyDescent="0.25">
      <c r="A932">
        <v>1509</v>
      </c>
      <c r="B932">
        <v>6154.0770519999996</v>
      </c>
      <c r="C932">
        <v>0</v>
      </c>
      <c r="D932">
        <v>96339.082909999997</v>
      </c>
      <c r="E932">
        <v>0</v>
      </c>
      <c r="F932">
        <v>359150.27860000002</v>
      </c>
      <c r="G932" s="1">
        <v>3.2100000000000002E-6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0</v>
      </c>
      <c r="M932" s="1">
        <f t="shared" si="59"/>
        <v>0</v>
      </c>
      <c r="N932" s="1">
        <f t="shared" si="60"/>
        <v>7.9459043905538568E-3</v>
      </c>
      <c r="O932" s="1"/>
    </row>
    <row r="933" spans="1:15" x14ac:dyDescent="0.25">
      <c r="A933">
        <v>1510</v>
      </c>
      <c r="B933">
        <v>25900.74092</v>
      </c>
      <c r="C933">
        <v>0</v>
      </c>
      <c r="D933">
        <v>179177.79730000001</v>
      </c>
      <c r="E933">
        <v>0</v>
      </c>
      <c r="F933">
        <v>1003305.371</v>
      </c>
      <c r="G933">
        <v>-2.7903999999999998E-4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0</v>
      </c>
      <c r="M933" s="1">
        <f t="shared" si="59"/>
        <v>0</v>
      </c>
      <c r="N933" s="1">
        <f t="shared" si="60"/>
        <v>-0.73481825727074457</v>
      </c>
      <c r="O933" s="1"/>
    </row>
    <row r="934" spans="1:15" x14ac:dyDescent="0.25">
      <c r="A934">
        <v>1511</v>
      </c>
      <c r="B934">
        <v>7339.0794539999997</v>
      </c>
      <c r="C934">
        <v>0</v>
      </c>
      <c r="D934">
        <v>49423.009339999997</v>
      </c>
      <c r="E934">
        <v>0</v>
      </c>
      <c r="F934">
        <v>317341.50949999999</v>
      </c>
      <c r="G934" s="1">
        <v>4.5399999999999997E-6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0</v>
      </c>
      <c r="M934" s="1">
        <f t="shared" si="59"/>
        <v>0</v>
      </c>
      <c r="N934" s="1">
        <f t="shared" si="60"/>
        <v>1.4615107564575095E-2</v>
      </c>
      <c r="O934" s="1"/>
    </row>
    <row r="935" spans="1:15" x14ac:dyDescent="0.25">
      <c r="A935">
        <v>1512</v>
      </c>
      <c r="B935">
        <v>11679.23178</v>
      </c>
      <c r="C935">
        <v>0</v>
      </c>
      <c r="D935">
        <v>87654.999119999993</v>
      </c>
      <c r="E935">
        <v>0</v>
      </c>
      <c r="F935">
        <v>594693.61289999995</v>
      </c>
      <c r="G935" s="1">
        <v>4.7899999999999999E-5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</v>
      </c>
      <c r="M935" s="1">
        <f t="shared" si="59"/>
        <v>0</v>
      </c>
      <c r="N935" s="1">
        <f t="shared" si="60"/>
        <v>0.2174295743946188</v>
      </c>
      <c r="O935" s="1"/>
    </row>
    <row r="936" spans="1:15" x14ac:dyDescent="0.25">
      <c r="A936">
        <v>1515</v>
      </c>
      <c r="B936">
        <v>11085.65749</v>
      </c>
      <c r="C936">
        <v>0</v>
      </c>
      <c r="D936">
        <v>35816.980669999997</v>
      </c>
      <c r="E936">
        <v>0</v>
      </c>
      <c r="F936">
        <v>673138.97420000006</v>
      </c>
      <c r="G936" s="1">
        <v>-3.9900000000000001E-5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0</v>
      </c>
      <c r="M936" s="1">
        <f t="shared" si="59"/>
        <v>0</v>
      </c>
      <c r="N936" s="1">
        <f t="shared" si="60"/>
        <v>-8.4379046366185845E-2</v>
      </c>
      <c r="O936" s="1"/>
    </row>
    <row r="937" spans="1:15" x14ac:dyDescent="0.25">
      <c r="A937">
        <v>1516</v>
      </c>
      <c r="B937">
        <v>3123.0235769999999</v>
      </c>
      <c r="C937">
        <v>0</v>
      </c>
      <c r="D937">
        <v>27302.58412</v>
      </c>
      <c r="E937">
        <v>0</v>
      </c>
      <c r="F937">
        <v>243493.2775</v>
      </c>
      <c r="G937" s="1">
        <v>-3.0000000000000001E-5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0</v>
      </c>
      <c r="M937" s="1">
        <f t="shared" si="59"/>
        <v>0</v>
      </c>
      <c r="N937" s="1">
        <f t="shared" si="60"/>
        <v>-6.1923623303169001E-2</v>
      </c>
      <c r="O937" s="1"/>
    </row>
    <row r="938" spans="1:15" x14ac:dyDescent="0.25">
      <c r="A938">
        <v>1517</v>
      </c>
      <c r="B938">
        <v>13429.707979999999</v>
      </c>
      <c r="C938">
        <v>0</v>
      </c>
      <c r="D938">
        <v>52148.343999999997</v>
      </c>
      <c r="E938">
        <v>0</v>
      </c>
      <c r="F938">
        <v>666619.33239999996</v>
      </c>
      <c r="G938" s="1">
        <v>-2.1500000000000001E-5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0</v>
      </c>
      <c r="M938" s="1">
        <f t="shared" si="59"/>
        <v>0</v>
      </c>
      <c r="N938" s="1">
        <f t="shared" si="60"/>
        <v>-6.3197802448550416E-2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>
        <v>0</v>
      </c>
      <c r="F939">
        <v>666563.71239999996</v>
      </c>
      <c r="G939" s="1">
        <v>1.33E-5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0</v>
      </c>
      <c r="M939" s="1">
        <f t="shared" si="59"/>
        <v>0</v>
      </c>
      <c r="N939" s="1">
        <f t="shared" si="60"/>
        <v>5.4909626148184919E-2</v>
      </c>
      <c r="O939" s="1"/>
    </row>
    <row r="940" spans="1:15" x14ac:dyDescent="0.25">
      <c r="A940">
        <v>1519</v>
      </c>
      <c r="B940">
        <v>12297.124159999999</v>
      </c>
      <c r="C940">
        <v>0</v>
      </c>
      <c r="D940">
        <v>154214.965</v>
      </c>
      <c r="E940">
        <v>0</v>
      </c>
      <c r="F940">
        <v>744566.70790000004</v>
      </c>
      <c r="G940" s="1">
        <v>-3.8000000000000002E-5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0</v>
      </c>
      <c r="M940" s="1">
        <f t="shared" si="59"/>
        <v>0</v>
      </c>
      <c r="N940" s="1">
        <f t="shared" si="60"/>
        <v>-0.10705867879843141</v>
      </c>
      <c r="O940" s="1"/>
    </row>
    <row r="941" spans="1:15" x14ac:dyDescent="0.25">
      <c r="A941">
        <v>1520</v>
      </c>
      <c r="B941">
        <v>15787.182360000001</v>
      </c>
      <c r="C941">
        <v>0</v>
      </c>
      <c r="D941">
        <v>144919.7763</v>
      </c>
      <c r="E941">
        <v>0</v>
      </c>
      <c r="F941">
        <v>780317.56030000001</v>
      </c>
      <c r="G941" s="1">
        <v>3.3399999999999999E-5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0</v>
      </c>
      <c r="M941" s="1">
        <f t="shared" si="59"/>
        <v>0</v>
      </c>
      <c r="N941" s="1">
        <f t="shared" si="60"/>
        <v>0.1599572507774957</v>
      </c>
      <c r="O941" s="1"/>
    </row>
    <row r="942" spans="1:15" x14ac:dyDescent="0.25">
      <c r="A942">
        <v>1521</v>
      </c>
      <c r="B942">
        <v>14646.863950000001</v>
      </c>
      <c r="C942">
        <v>0</v>
      </c>
      <c r="D942">
        <v>421167.39299999998</v>
      </c>
      <c r="E942">
        <v>0</v>
      </c>
      <c r="F942">
        <v>890798.45460000006</v>
      </c>
      <c r="G942">
        <v>830.83358620000001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0</v>
      </c>
      <c r="M942" s="1">
        <f t="shared" si="59"/>
        <v>0</v>
      </c>
      <c r="N942" s="1">
        <f t="shared" si="60"/>
        <v>2062180.0264337275</v>
      </c>
      <c r="O942" s="1"/>
    </row>
    <row r="943" spans="1:15" x14ac:dyDescent="0.25">
      <c r="A943">
        <v>1522</v>
      </c>
      <c r="B943">
        <v>12229.60636</v>
      </c>
      <c r="C943">
        <v>0</v>
      </c>
      <c r="D943">
        <v>223463.1152</v>
      </c>
      <c r="E943">
        <v>0</v>
      </c>
      <c r="F943">
        <v>787927.1703</v>
      </c>
      <c r="G943">
        <v>723.46585330000005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0</v>
      </c>
      <c r="M943" s="1">
        <f t="shared" si="59"/>
        <v>0</v>
      </c>
      <c r="N943" s="1">
        <f t="shared" si="60"/>
        <v>1932456.3883948252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>
        <v>0</v>
      </c>
      <c r="F944">
        <v>885090.15419999999</v>
      </c>
      <c r="G944" s="1">
        <v>-4.6799999999999999E-5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0</v>
      </c>
      <c r="M944" s="1">
        <f t="shared" si="59"/>
        <v>0</v>
      </c>
      <c r="N944" s="1">
        <f t="shared" si="60"/>
        <v>-0.31537021279837318</v>
      </c>
      <c r="O944" s="1"/>
    </row>
    <row r="945" spans="1:15" x14ac:dyDescent="0.25">
      <c r="A945">
        <v>1526</v>
      </c>
      <c r="B945">
        <v>17562.13955</v>
      </c>
      <c r="C945">
        <v>0</v>
      </c>
      <c r="D945">
        <v>229867.8524</v>
      </c>
      <c r="E945">
        <v>0</v>
      </c>
      <c r="F945">
        <v>864960.78139999998</v>
      </c>
      <c r="G945" s="1">
        <v>-1.1800000000000001E-5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0</v>
      </c>
      <c r="M945" s="1">
        <f t="shared" si="59"/>
        <v>0</v>
      </c>
      <c r="N945" s="1">
        <f t="shared" si="60"/>
        <v>-5.4094449555722769E-2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>
        <v>0</v>
      </c>
      <c r="F946">
        <v>759688.80889999995</v>
      </c>
      <c r="G946">
        <v>3925.9696039999999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0</v>
      </c>
      <c r="N946" s="1">
        <f t="shared" si="60"/>
        <v>13457677.861995641</v>
      </c>
      <c r="O946" s="1"/>
    </row>
    <row r="947" spans="1:15" x14ac:dyDescent="0.25">
      <c r="A947">
        <v>1528</v>
      </c>
      <c r="B947">
        <v>6768.8431010000004</v>
      </c>
      <c r="C947">
        <v>0</v>
      </c>
      <c r="D947">
        <v>19378.393380000001</v>
      </c>
      <c r="E947">
        <v>0</v>
      </c>
      <c r="F947">
        <v>530477.99289999995</v>
      </c>
      <c r="G947" s="1">
        <v>-2.8900000000000001E-5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0</v>
      </c>
      <c r="M947" s="1">
        <f t="shared" si="59"/>
        <v>0</v>
      </c>
      <c r="N947" s="1">
        <f t="shared" si="60"/>
        <v>-0.10803763912125748</v>
      </c>
      <c r="O947" s="1"/>
    </row>
    <row r="948" spans="1:15" x14ac:dyDescent="0.25">
      <c r="A948">
        <v>1529</v>
      </c>
      <c r="B948">
        <v>3328.6540460000001</v>
      </c>
      <c r="C948">
        <v>0</v>
      </c>
      <c r="D948">
        <v>18039.946670000001</v>
      </c>
      <c r="E948">
        <v>0</v>
      </c>
      <c r="F948">
        <v>457376.45409999997</v>
      </c>
      <c r="G948" s="1">
        <v>-1.4600000000000001E-5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0</v>
      </c>
      <c r="M948" s="1">
        <f t="shared" si="59"/>
        <v>0</v>
      </c>
      <c r="N948" s="1">
        <f t="shared" si="60"/>
        <v>-3.8617523663524625E-2</v>
      </c>
      <c r="O948" s="1"/>
    </row>
    <row r="949" spans="1:15" x14ac:dyDescent="0.25">
      <c r="A949">
        <v>1533</v>
      </c>
      <c r="B949">
        <v>16776.029900000001</v>
      </c>
      <c r="C949">
        <v>0</v>
      </c>
      <c r="D949">
        <v>84073.365900000004</v>
      </c>
      <c r="E949">
        <v>0</v>
      </c>
      <c r="F949">
        <v>375063.00900000002</v>
      </c>
      <c r="G949" s="1">
        <v>2.2200000000000001E-5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0</v>
      </c>
      <c r="M949" s="1">
        <f t="shared" si="59"/>
        <v>0</v>
      </c>
      <c r="N949" s="1">
        <f t="shared" si="60"/>
        <v>9.6660997686464772E-2</v>
      </c>
      <c r="O949" s="1"/>
    </row>
    <row r="950" spans="1:15" x14ac:dyDescent="0.25">
      <c r="A950">
        <v>1534</v>
      </c>
      <c r="B950">
        <v>50129.087399999997</v>
      </c>
      <c r="C950">
        <v>0</v>
      </c>
      <c r="D950">
        <v>177263.894</v>
      </c>
      <c r="E950">
        <v>0</v>
      </c>
      <c r="F950">
        <v>848328.59660000005</v>
      </c>
      <c r="G950" s="1">
        <v>3.9499999999999998E-5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0</v>
      </c>
      <c r="M950" s="1">
        <f t="shared" si="59"/>
        <v>0</v>
      </c>
      <c r="N950" s="1">
        <f t="shared" si="60"/>
        <v>0.15158896050778364</v>
      </c>
      <c r="O950" s="1"/>
    </row>
    <row r="951" spans="1:15" x14ac:dyDescent="0.25">
      <c r="A951">
        <v>1535</v>
      </c>
      <c r="B951">
        <v>47792.70738</v>
      </c>
      <c r="C951">
        <v>0</v>
      </c>
      <c r="D951">
        <v>139015.64540000001</v>
      </c>
      <c r="E951">
        <v>0</v>
      </c>
      <c r="F951">
        <v>637389.02619999996</v>
      </c>
      <c r="G951" s="1">
        <v>4.3900000000000003E-5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0</v>
      </c>
      <c r="M951" s="1">
        <f t="shared" si="59"/>
        <v>0</v>
      </c>
      <c r="N951" s="1">
        <f t="shared" si="60"/>
        <v>0.19753933261554005</v>
      </c>
      <c r="O951" s="1"/>
    </row>
    <row r="952" spans="1:15" x14ac:dyDescent="0.25">
      <c r="A952">
        <v>1536</v>
      </c>
      <c r="B952">
        <v>29528.006239999999</v>
      </c>
      <c r="C952">
        <v>0</v>
      </c>
      <c r="D952">
        <v>128026.1283</v>
      </c>
      <c r="E952">
        <v>0</v>
      </c>
      <c r="F952">
        <v>649534.38740000001</v>
      </c>
      <c r="G952" s="1">
        <v>-4.0000000000000003E-5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</v>
      </c>
      <c r="M952" s="1">
        <f t="shared" si="59"/>
        <v>0</v>
      </c>
      <c r="N952" s="1">
        <f t="shared" si="60"/>
        <v>-0.30142313781624008</v>
      </c>
      <c r="O952" s="1"/>
    </row>
    <row r="953" spans="1:15" x14ac:dyDescent="0.25">
      <c r="A953">
        <v>1537</v>
      </c>
      <c r="B953">
        <v>86606.470289999997</v>
      </c>
      <c r="C953">
        <v>0</v>
      </c>
      <c r="D953">
        <v>404015.89069999999</v>
      </c>
      <c r="E953">
        <v>0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0</v>
      </c>
      <c r="M953" s="1">
        <f t="shared" si="59"/>
        <v>0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>
        <v>0</v>
      </c>
      <c r="D954">
        <v>145024.90609999999</v>
      </c>
      <c r="E954">
        <v>0</v>
      </c>
      <c r="F954">
        <v>702900.43160000001</v>
      </c>
      <c r="G954" s="1">
        <v>-3.8600000000000003E-5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0</v>
      </c>
      <c r="M954" s="1">
        <f t="shared" si="59"/>
        <v>0</v>
      </c>
      <c r="N954" s="1">
        <f t="shared" si="60"/>
        <v>-0.14099397989645091</v>
      </c>
      <c r="O954" s="1"/>
    </row>
    <row r="955" spans="1:15" x14ac:dyDescent="0.25">
      <c r="A955">
        <v>1539</v>
      </c>
      <c r="B955">
        <v>116390.98209999999</v>
      </c>
      <c r="C955">
        <v>0</v>
      </c>
      <c r="D955">
        <v>539010.56949999998</v>
      </c>
      <c r="E955">
        <v>0</v>
      </c>
      <c r="F955">
        <v>1191782.9110000001</v>
      </c>
      <c r="G955" s="1">
        <v>6.5900000000000003E-5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0</v>
      </c>
      <c r="M955" s="1">
        <f t="shared" si="59"/>
        <v>0</v>
      </c>
      <c r="N955" s="1">
        <f t="shared" si="60"/>
        <v>7.7696820349011902E-2</v>
      </c>
      <c r="O955" s="1"/>
    </row>
    <row r="956" spans="1:15" x14ac:dyDescent="0.25">
      <c r="A956">
        <v>1540</v>
      </c>
      <c r="B956">
        <v>76761.729890000002</v>
      </c>
      <c r="C956">
        <v>0</v>
      </c>
      <c r="D956">
        <v>315474.48349999997</v>
      </c>
      <c r="E956">
        <v>0</v>
      </c>
      <c r="F956">
        <v>1010444.912</v>
      </c>
      <c r="G956">
        <v>3.8015999999999999E-4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0</v>
      </c>
      <c r="M956" s="1">
        <f t="shared" si="59"/>
        <v>0</v>
      </c>
      <c r="N956" s="1">
        <f t="shared" si="60"/>
        <v>0.95530271074699513</v>
      </c>
      <c r="O956" s="1"/>
    </row>
    <row r="957" spans="1:15" x14ac:dyDescent="0.25">
      <c r="A957">
        <v>1541</v>
      </c>
      <c r="B957">
        <v>76947.440470000001</v>
      </c>
      <c r="C957">
        <v>0</v>
      </c>
      <c r="D957">
        <v>360375.64020000002</v>
      </c>
      <c r="E957">
        <v>0</v>
      </c>
      <c r="F957">
        <v>996586.51280000003</v>
      </c>
      <c r="G957" s="1">
        <v>-1.6699999999999999E-5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0</v>
      </c>
      <c r="M957" s="1">
        <f t="shared" si="59"/>
        <v>0</v>
      </c>
      <c r="N957" s="1">
        <f t="shared" si="60"/>
        <v>-1.4494605971188892E-2</v>
      </c>
      <c r="O957" s="1"/>
    </row>
    <row r="958" spans="1:15" x14ac:dyDescent="0.25">
      <c r="A958">
        <v>1542</v>
      </c>
      <c r="B958">
        <v>20066.948400000001</v>
      </c>
      <c r="C958">
        <v>0</v>
      </c>
      <c r="D958">
        <v>71918.173379999993</v>
      </c>
      <c r="E958">
        <v>0</v>
      </c>
      <c r="F958">
        <v>333844.68119999999</v>
      </c>
      <c r="G958" s="1">
        <v>-1.5400000000000002E-5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0</v>
      </c>
      <c r="M958" s="1">
        <f t="shared" si="59"/>
        <v>0</v>
      </c>
      <c r="N958" s="1">
        <f t="shared" si="60"/>
        <v>-3.7638960258724444E-2</v>
      </c>
      <c r="O958" s="1"/>
    </row>
    <row r="959" spans="1:15" x14ac:dyDescent="0.25">
      <c r="A959">
        <v>1543</v>
      </c>
      <c r="B959">
        <v>91014.136140000002</v>
      </c>
      <c r="C959">
        <v>0</v>
      </c>
      <c r="D959">
        <v>426362.46039999998</v>
      </c>
      <c r="E959">
        <v>0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0</v>
      </c>
      <c r="M959" s="1">
        <f t="shared" si="59"/>
        <v>0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>
        <v>0</v>
      </c>
      <c r="D960">
        <v>395732.88880000002</v>
      </c>
      <c r="E960">
        <v>0</v>
      </c>
      <c r="F960">
        <v>1096769.0630000001</v>
      </c>
      <c r="G960">
        <v>-3.0696E-4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0</v>
      </c>
      <c r="M960" s="1">
        <f t="shared" si="59"/>
        <v>0</v>
      </c>
      <c r="N960" s="1">
        <f t="shared" si="60"/>
        <v>-0.33877852925112772</v>
      </c>
      <c r="O960" s="1"/>
    </row>
    <row r="961" spans="1:15" x14ac:dyDescent="0.25">
      <c r="A961">
        <v>1545</v>
      </c>
      <c r="B961">
        <v>88347.150200000004</v>
      </c>
      <c r="C961">
        <v>0</v>
      </c>
      <c r="D961">
        <v>453472.96850000002</v>
      </c>
      <c r="E961">
        <v>0</v>
      </c>
      <c r="F961">
        <v>1077233.0090000001</v>
      </c>
      <c r="G961">
        <v>1.6079000000000001E-4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0</v>
      </c>
      <c r="M961" s="1">
        <f t="shared" si="59"/>
        <v>0</v>
      </c>
      <c r="N961" s="1">
        <f t="shared" si="60"/>
        <v>0.32150330637193997</v>
      </c>
      <c r="O961" s="1"/>
    </row>
    <row r="962" spans="1:15" x14ac:dyDescent="0.25">
      <c r="A962">
        <v>1546</v>
      </c>
      <c r="B962">
        <v>12694.85967</v>
      </c>
      <c r="C962">
        <v>0</v>
      </c>
      <c r="D962">
        <v>130540.58409999999</v>
      </c>
      <c r="E962">
        <v>0</v>
      </c>
      <c r="F962">
        <v>563240.16639999999</v>
      </c>
      <c r="G962" s="1">
        <v>-4.4499999999999997E-5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0</v>
      </c>
      <c r="M962" s="1">
        <f t="shared" si="59"/>
        <v>0</v>
      </c>
      <c r="N962" s="1">
        <f t="shared" si="60"/>
        <v>-6.2907457803397515E-2</v>
      </c>
      <c r="O962" s="1"/>
    </row>
    <row r="963" spans="1:15" x14ac:dyDescent="0.25">
      <c r="A963">
        <v>1547</v>
      </c>
      <c r="B963">
        <v>68758.01586</v>
      </c>
      <c r="C963">
        <v>0</v>
      </c>
      <c r="D963">
        <v>390018.3075</v>
      </c>
      <c r="E963">
        <v>0</v>
      </c>
      <c r="F963">
        <v>957335.06909999996</v>
      </c>
      <c r="G963" s="1">
        <v>2.8799999999999999E-5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0</v>
      </c>
      <c r="M963" s="1">
        <f t="shared" ref="M963:M1026" si="63">$U$3*$K963*E963</f>
        <v>0</v>
      </c>
      <c r="N963" s="1">
        <f t="shared" ref="N963:N1026" si="64">$U$4*$K963*G963</f>
        <v>3.7130427385326722E-2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>
        <v>0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0</v>
      </c>
      <c r="M964" s="1">
        <f t="shared" si="63"/>
        <v>0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>
        <v>0</v>
      </c>
      <c r="D965">
        <v>232198.24710000001</v>
      </c>
      <c r="E965">
        <v>0</v>
      </c>
      <c r="F965">
        <v>877716.75950000004</v>
      </c>
      <c r="G965" s="1">
        <v>9.6600000000000007E-6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0</v>
      </c>
      <c r="M965" s="1">
        <f t="shared" si="63"/>
        <v>0</v>
      </c>
      <c r="N965" s="1">
        <f t="shared" si="64"/>
        <v>4.6510351329075737E-2</v>
      </c>
      <c r="O965" s="1"/>
    </row>
    <row r="966" spans="1:15" x14ac:dyDescent="0.25">
      <c r="A966">
        <v>1550</v>
      </c>
      <c r="B966">
        <v>76344.127900000007</v>
      </c>
      <c r="C966">
        <v>0</v>
      </c>
      <c r="D966">
        <v>514260.20520000003</v>
      </c>
      <c r="E966">
        <v>0</v>
      </c>
      <c r="F966">
        <v>1009864.672</v>
      </c>
      <c r="G966">
        <v>2.0772999999999999E-4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0</v>
      </c>
      <c r="M966" s="1">
        <f t="shared" si="63"/>
        <v>0</v>
      </c>
      <c r="N966" s="1">
        <f t="shared" si="64"/>
        <v>0.2362287788816283</v>
      </c>
      <c r="O966" s="1"/>
    </row>
    <row r="967" spans="1:15" x14ac:dyDescent="0.25">
      <c r="A967">
        <v>1551</v>
      </c>
      <c r="B967">
        <v>16989.87542</v>
      </c>
      <c r="C967">
        <v>0</v>
      </c>
      <c r="D967">
        <v>259092.6882</v>
      </c>
      <c r="E967">
        <v>0</v>
      </c>
      <c r="F967">
        <v>853806.33400000003</v>
      </c>
      <c r="G967" s="1">
        <v>2.9600000000000001E-5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0</v>
      </c>
      <c r="M967" s="1">
        <f t="shared" si="63"/>
        <v>0</v>
      </c>
      <c r="N967" s="1">
        <f t="shared" si="64"/>
        <v>0.21734377945182964</v>
      </c>
      <c r="O967" s="1"/>
    </row>
    <row r="968" spans="1:15" x14ac:dyDescent="0.25">
      <c r="A968">
        <v>1552</v>
      </c>
      <c r="B968">
        <v>98618.887889999998</v>
      </c>
      <c r="C968">
        <v>0</v>
      </c>
      <c r="D968">
        <v>639446.6102</v>
      </c>
      <c r="E968">
        <v>0</v>
      </c>
      <c r="F968">
        <v>1128799.469</v>
      </c>
      <c r="G968">
        <v>830.83338570000001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0</v>
      </c>
      <c r="M968" s="1">
        <f t="shared" si="63"/>
        <v>0</v>
      </c>
      <c r="N968" s="1">
        <f t="shared" si="64"/>
        <v>876743.70298379357</v>
      </c>
      <c r="O968" s="1"/>
    </row>
    <row r="969" spans="1:15" x14ac:dyDescent="0.25">
      <c r="A969">
        <v>1553</v>
      </c>
      <c r="B969">
        <v>173758.61910000001</v>
      </c>
      <c r="C969">
        <v>0</v>
      </c>
      <c r="D969">
        <v>774407.44099999999</v>
      </c>
      <c r="E969">
        <v>0</v>
      </c>
      <c r="F969">
        <v>1313754.5349999999</v>
      </c>
      <c r="G969">
        <v>7885.1165659999997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0</v>
      </c>
      <c r="M969" s="1">
        <f t="shared" si="63"/>
        <v>0</v>
      </c>
      <c r="N969" s="1">
        <f t="shared" si="64"/>
        <v>2808024.6583202588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>
        <v>0</v>
      </c>
      <c r="F970">
        <v>869431.27980000002</v>
      </c>
      <c r="G970" s="1">
        <v>-4.0800000000000002E-5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0</v>
      </c>
      <c r="M970" s="1">
        <f t="shared" si="63"/>
        <v>0</v>
      </c>
      <c r="N970" s="1">
        <f t="shared" si="64"/>
        <v>-0.13864697995242531</v>
      </c>
      <c r="O970" s="1"/>
    </row>
    <row r="971" spans="1:15" x14ac:dyDescent="0.25">
      <c r="A971">
        <v>1555</v>
      </c>
      <c r="B971">
        <v>45126.227590000002</v>
      </c>
      <c r="C971">
        <v>0</v>
      </c>
      <c r="D971">
        <v>189870.41390000001</v>
      </c>
      <c r="E971">
        <v>0</v>
      </c>
      <c r="F971">
        <v>804232.8602</v>
      </c>
      <c r="G971" s="1">
        <v>-9.55E-6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0</v>
      </c>
      <c r="M971" s="1">
        <f t="shared" si="63"/>
        <v>0</v>
      </c>
      <c r="N971" s="1">
        <f t="shared" si="64"/>
        <v>-3.1306077304798771E-2</v>
      </c>
      <c r="O971" s="1"/>
    </row>
    <row r="972" spans="1:15" x14ac:dyDescent="0.25">
      <c r="A972">
        <v>1556</v>
      </c>
      <c r="B972">
        <v>34036.87485</v>
      </c>
      <c r="C972">
        <v>0</v>
      </c>
      <c r="D972">
        <v>163581.33249999999</v>
      </c>
      <c r="E972">
        <v>0</v>
      </c>
      <c r="F972">
        <v>771257.54810000001</v>
      </c>
      <c r="G972" s="1">
        <v>1.9700000000000001E-5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0</v>
      </c>
      <c r="M972" s="1">
        <f t="shared" si="63"/>
        <v>0</v>
      </c>
      <c r="N972" s="1">
        <f t="shared" si="64"/>
        <v>4.2561919474965598E-2</v>
      </c>
      <c r="O972" s="1"/>
    </row>
    <row r="973" spans="1:15" x14ac:dyDescent="0.25">
      <c r="A973">
        <v>1557</v>
      </c>
      <c r="B973">
        <v>60471.79062</v>
      </c>
      <c r="C973">
        <v>0</v>
      </c>
      <c r="D973">
        <v>247743.2151</v>
      </c>
      <c r="E973">
        <v>0</v>
      </c>
      <c r="F973">
        <v>855054.99540000001</v>
      </c>
      <c r="G973" s="1">
        <v>-8.9500000000000007E-6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0</v>
      </c>
      <c r="M973" s="1">
        <f t="shared" si="63"/>
        <v>0</v>
      </c>
      <c r="N973" s="1">
        <f t="shared" si="64"/>
        <v>-4.0290648616417221E-2</v>
      </c>
      <c r="O973" s="1"/>
    </row>
    <row r="974" spans="1:15" x14ac:dyDescent="0.25">
      <c r="A974">
        <v>1558</v>
      </c>
      <c r="B974">
        <v>11107.28774</v>
      </c>
      <c r="C974">
        <v>0</v>
      </c>
      <c r="D974">
        <v>144226.50469999999</v>
      </c>
      <c r="E974">
        <v>0</v>
      </c>
      <c r="F974">
        <v>721466.87730000005</v>
      </c>
      <c r="G974" s="1">
        <v>-3.7799999999999997E-5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0</v>
      </c>
      <c r="M974" s="1">
        <f t="shared" si="63"/>
        <v>0</v>
      </c>
      <c r="N974" s="1">
        <f t="shared" si="64"/>
        <v>-0.18149003824067048</v>
      </c>
      <c r="O974" s="1"/>
    </row>
    <row r="975" spans="1:15" x14ac:dyDescent="0.25">
      <c r="A975">
        <v>1559</v>
      </c>
      <c r="B975">
        <v>7965.786814</v>
      </c>
      <c r="C975">
        <v>0</v>
      </c>
      <c r="D975">
        <v>175308.3149</v>
      </c>
      <c r="E975">
        <v>0</v>
      </c>
      <c r="F975">
        <v>709686.321</v>
      </c>
      <c r="G975" s="1">
        <v>4.8300000000000002E-5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0</v>
      </c>
      <c r="M975" s="1">
        <f t="shared" si="63"/>
        <v>0</v>
      </c>
      <c r="N975" s="1">
        <f t="shared" si="64"/>
        <v>0.11345364787150737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>
        <v>0</v>
      </c>
      <c r="F976">
        <v>657042.16960000002</v>
      </c>
      <c r="G976" s="1">
        <v>-3.5800000000000003E-5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0</v>
      </c>
      <c r="M976" s="1">
        <f t="shared" si="63"/>
        <v>0</v>
      </c>
      <c r="N976" s="1">
        <f t="shared" si="64"/>
        <v>-0.23545635077149801</v>
      </c>
      <c r="O976" s="1"/>
    </row>
    <row r="977" spans="1:15" x14ac:dyDescent="0.25">
      <c r="A977">
        <v>1561</v>
      </c>
      <c r="B977">
        <v>2956.0001379999999</v>
      </c>
      <c r="C977">
        <v>0</v>
      </c>
      <c r="D977">
        <v>31623.595410000002</v>
      </c>
      <c r="E977">
        <v>0</v>
      </c>
      <c r="F977">
        <v>353091.23830000003</v>
      </c>
      <c r="G977" s="1">
        <v>-3.65E-5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0</v>
      </c>
      <c r="M977" s="1">
        <f t="shared" si="63"/>
        <v>0</v>
      </c>
      <c r="N977" s="1">
        <f t="shared" si="64"/>
        <v>-0.16078524417991247</v>
      </c>
      <c r="O977" s="1"/>
    </row>
    <row r="978" spans="1:15" x14ac:dyDescent="0.25">
      <c r="A978">
        <v>1562</v>
      </c>
      <c r="B978">
        <v>252327.61060000001</v>
      </c>
      <c r="C978">
        <v>0</v>
      </c>
      <c r="D978">
        <v>850387.1152</v>
      </c>
      <c r="E978">
        <v>0</v>
      </c>
      <c r="F978">
        <v>1387757.9210000001</v>
      </c>
      <c r="G978">
        <v>2773.581197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0</v>
      </c>
      <c r="M978" s="1">
        <f t="shared" si="63"/>
        <v>0</v>
      </c>
      <c r="N978" s="1">
        <f t="shared" si="64"/>
        <v>575770.17712877365</v>
      </c>
      <c r="O978" s="1"/>
    </row>
    <row r="979" spans="1:15" x14ac:dyDescent="0.25">
      <c r="A979">
        <v>1563</v>
      </c>
      <c r="B979">
        <v>7187.3955500000002</v>
      </c>
      <c r="C979">
        <v>0</v>
      </c>
      <c r="D979">
        <v>38432.381410000002</v>
      </c>
      <c r="E979">
        <v>0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0</v>
      </c>
      <c r="M979" s="1">
        <f t="shared" si="63"/>
        <v>0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>
        <v>0</v>
      </c>
      <c r="D980">
        <v>110471.3943</v>
      </c>
      <c r="E980">
        <v>0</v>
      </c>
      <c r="F980">
        <v>423011.45159999997</v>
      </c>
      <c r="G980" s="1">
        <v>-4.6999999999999997E-5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0</v>
      </c>
      <c r="M980" s="1">
        <f t="shared" si="63"/>
        <v>0</v>
      </c>
      <c r="N980" s="1">
        <f t="shared" si="64"/>
        <v>-8.7449246637162595E-2</v>
      </c>
      <c r="O980" s="1"/>
    </row>
    <row r="981" spans="1:15" x14ac:dyDescent="0.25">
      <c r="A981">
        <v>1565</v>
      </c>
      <c r="B981">
        <v>20516.038690000001</v>
      </c>
      <c r="C981">
        <v>0</v>
      </c>
      <c r="D981">
        <v>132112.9339</v>
      </c>
      <c r="E981">
        <v>0</v>
      </c>
      <c r="F981">
        <v>543147.97790000006</v>
      </c>
      <c r="G981" s="1">
        <v>-2.9600000000000001E-5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0</v>
      </c>
      <c r="M981" s="1">
        <f t="shared" si="63"/>
        <v>0</v>
      </c>
      <c r="N981" s="1">
        <f t="shared" si="64"/>
        <v>-0.16285578492222963</v>
      </c>
      <c r="O981" s="1"/>
    </row>
    <row r="982" spans="1:15" x14ac:dyDescent="0.25">
      <c r="A982">
        <v>1566</v>
      </c>
      <c r="B982">
        <v>3351.0580420000001</v>
      </c>
      <c r="C982">
        <v>0</v>
      </c>
      <c r="D982">
        <v>75276.956460000001</v>
      </c>
      <c r="E982">
        <v>0</v>
      </c>
      <c r="F982">
        <v>217313.27220000001</v>
      </c>
      <c r="G982" s="1">
        <v>-3.3899999999999997E-5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0</v>
      </c>
      <c r="M982" s="1">
        <f t="shared" si="63"/>
        <v>0</v>
      </c>
      <c r="N982" s="1">
        <f t="shared" si="64"/>
        <v>-3.1403863771499792E-2</v>
      </c>
      <c r="O982" s="1"/>
    </row>
    <row r="983" spans="1:15" x14ac:dyDescent="0.25">
      <c r="A983">
        <v>1567</v>
      </c>
      <c r="B983">
        <v>10705.903130000001</v>
      </c>
      <c r="C983">
        <v>0</v>
      </c>
      <c r="D983">
        <v>109218.78350000001</v>
      </c>
      <c r="E983">
        <v>0</v>
      </c>
      <c r="F983">
        <v>522725.82679999998</v>
      </c>
      <c r="G983" s="1">
        <v>-4.1199999999999999E-5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0</v>
      </c>
      <c r="M983" s="1">
        <f t="shared" si="63"/>
        <v>0</v>
      </c>
      <c r="N983" s="1">
        <f t="shared" si="64"/>
        <v>-0.14373676426414594</v>
      </c>
      <c r="O983" s="1"/>
    </row>
    <row r="984" spans="1:15" x14ac:dyDescent="0.25">
      <c r="A984">
        <v>1568</v>
      </c>
      <c r="B984">
        <v>29106.806329999999</v>
      </c>
      <c r="C984">
        <v>0</v>
      </c>
      <c r="D984">
        <v>133437.1379</v>
      </c>
      <c r="E984">
        <v>0</v>
      </c>
      <c r="F984">
        <v>838852.59250000003</v>
      </c>
      <c r="G984" s="1">
        <v>-2.6999999999999999E-5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0</v>
      </c>
      <c r="M984" s="1">
        <f t="shared" si="63"/>
        <v>0</v>
      </c>
      <c r="N984" s="1">
        <f t="shared" si="64"/>
        <v>-3.0768093527326203E-2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>
        <v>0</v>
      </c>
      <c r="F985">
        <v>657674.98389999999</v>
      </c>
      <c r="G985" s="1">
        <v>3.1399999999999998E-5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0</v>
      </c>
      <c r="M985" s="1">
        <f t="shared" si="63"/>
        <v>0</v>
      </c>
      <c r="N985" s="1">
        <f t="shared" si="64"/>
        <v>0.14023184910546005</v>
      </c>
      <c r="O985" s="1"/>
    </row>
    <row r="986" spans="1:15" x14ac:dyDescent="0.25">
      <c r="A986">
        <v>1570</v>
      </c>
      <c r="B986">
        <v>23267.388760000002</v>
      </c>
      <c r="C986">
        <v>0</v>
      </c>
      <c r="D986">
        <v>119818.064</v>
      </c>
      <c r="E986">
        <v>0</v>
      </c>
      <c r="F986">
        <v>712703.2352</v>
      </c>
      <c r="G986" s="1">
        <v>-1.4E-5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0</v>
      </c>
      <c r="M986" s="1">
        <f t="shared" si="63"/>
        <v>0</v>
      </c>
      <c r="N986" s="1">
        <f t="shared" si="64"/>
        <v>-2.3345119949877601E-2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>
        <v>0</v>
      </c>
      <c r="F987">
        <v>949003.41760000004</v>
      </c>
      <c r="G987" s="1">
        <v>4.5000000000000003E-5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0</v>
      </c>
      <c r="M987" s="1">
        <f t="shared" si="63"/>
        <v>0</v>
      </c>
      <c r="N987" s="1">
        <f t="shared" si="64"/>
        <v>0.11738097389470051</v>
      </c>
      <c r="O987" s="1"/>
    </row>
    <row r="988" spans="1:15" x14ac:dyDescent="0.25">
      <c r="A988">
        <v>1572</v>
      </c>
      <c r="B988">
        <v>3792.9058540000001</v>
      </c>
      <c r="C988">
        <v>0</v>
      </c>
      <c r="D988">
        <v>34884.04664</v>
      </c>
      <c r="E988">
        <v>0</v>
      </c>
      <c r="F988">
        <v>291680.47739999997</v>
      </c>
      <c r="G988" s="1">
        <v>-2.6100000000000001E-5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0</v>
      </c>
      <c r="M988" s="1">
        <f t="shared" si="63"/>
        <v>0</v>
      </c>
      <c r="N988" s="1">
        <f t="shared" si="64"/>
        <v>-0.12381865983053732</v>
      </c>
      <c r="O988" s="1"/>
    </row>
    <row r="989" spans="1:15" x14ac:dyDescent="0.25">
      <c r="A989">
        <v>1573</v>
      </c>
      <c r="B989">
        <v>29927.468680000002</v>
      </c>
      <c r="C989">
        <v>0</v>
      </c>
      <c r="D989">
        <v>160150.95329999999</v>
      </c>
      <c r="E989">
        <v>0</v>
      </c>
      <c r="F989">
        <v>952018.26950000005</v>
      </c>
      <c r="G989" s="1">
        <v>4.4199999999999997E-5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0</v>
      </c>
      <c r="M989" s="1">
        <f t="shared" si="63"/>
        <v>0</v>
      </c>
      <c r="N989" s="1">
        <f t="shared" si="64"/>
        <v>7.7968732229466001E-2</v>
      </c>
      <c r="O989" s="1"/>
    </row>
    <row r="990" spans="1:15" x14ac:dyDescent="0.25">
      <c r="A990">
        <v>1574</v>
      </c>
      <c r="B990">
        <v>14221.66188</v>
      </c>
      <c r="C990">
        <v>0</v>
      </c>
      <c r="D990">
        <v>51174.68432</v>
      </c>
      <c r="E990">
        <v>0</v>
      </c>
      <c r="F990">
        <v>633329.15130000003</v>
      </c>
      <c r="G990" s="1">
        <v>3.1300000000000002E-5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0</v>
      </c>
      <c r="M990" s="1">
        <f t="shared" si="63"/>
        <v>0</v>
      </c>
      <c r="N990" s="1">
        <f t="shared" si="64"/>
        <v>8.3349895462062742E-2</v>
      </c>
      <c r="O990" s="1"/>
    </row>
    <row r="991" spans="1:15" x14ac:dyDescent="0.25">
      <c r="A991">
        <v>1575</v>
      </c>
      <c r="B991">
        <v>23482.09388</v>
      </c>
      <c r="C991">
        <v>0</v>
      </c>
      <c r="D991">
        <v>89916.699420000004</v>
      </c>
      <c r="E991">
        <v>0</v>
      </c>
      <c r="F991">
        <v>624464.55680000002</v>
      </c>
      <c r="G991" s="1">
        <v>-3.79E-5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0</v>
      </c>
      <c r="M991" s="1">
        <f t="shared" si="63"/>
        <v>0</v>
      </c>
      <c r="N991" s="1">
        <f t="shared" si="64"/>
        <v>-9.099639156087945E-2</v>
      </c>
      <c r="O991" s="1"/>
    </row>
    <row r="992" spans="1:15" x14ac:dyDescent="0.25">
      <c r="A992">
        <v>1576</v>
      </c>
      <c r="B992">
        <v>28046.997940000001</v>
      </c>
      <c r="C992">
        <v>0</v>
      </c>
      <c r="D992">
        <v>168504.25049999999</v>
      </c>
      <c r="E992">
        <v>0</v>
      </c>
      <c r="F992">
        <v>1049052.7549999999</v>
      </c>
      <c r="G992">
        <v>-1.0607000000000001E-4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0</v>
      </c>
      <c r="M992" s="1">
        <f t="shared" si="63"/>
        <v>0</v>
      </c>
      <c r="N992" s="1">
        <f t="shared" si="64"/>
        <v>-4.5335848206295257E-2</v>
      </c>
      <c r="O992" s="1"/>
    </row>
    <row r="993" spans="1:15" x14ac:dyDescent="0.25">
      <c r="A993">
        <v>1577</v>
      </c>
      <c r="B993">
        <v>16336.631160000001</v>
      </c>
      <c r="C993">
        <v>0</v>
      </c>
      <c r="D993">
        <v>56628.882940000003</v>
      </c>
      <c r="E993">
        <v>0</v>
      </c>
      <c r="F993">
        <v>650308.15689999994</v>
      </c>
      <c r="G993" s="1">
        <v>-1.95E-5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0</v>
      </c>
      <c r="M993" s="1">
        <f t="shared" si="63"/>
        <v>0</v>
      </c>
      <c r="N993" s="1">
        <f t="shared" si="64"/>
        <v>-5.3927738951913447E-2</v>
      </c>
      <c r="O993" s="1"/>
    </row>
    <row r="994" spans="1:15" x14ac:dyDescent="0.25">
      <c r="A994">
        <v>1578</v>
      </c>
      <c r="B994">
        <v>23759.07836</v>
      </c>
      <c r="C994">
        <v>0</v>
      </c>
      <c r="D994">
        <v>66687.754620000007</v>
      </c>
      <c r="E994">
        <v>0</v>
      </c>
      <c r="F994">
        <v>500880.37040000001</v>
      </c>
      <c r="G994" s="1">
        <v>-9.4499999999999993E-6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0</v>
      </c>
      <c r="M994" s="1">
        <f t="shared" si="63"/>
        <v>0</v>
      </c>
      <c r="N994" s="1">
        <f t="shared" si="64"/>
        <v>-3.1051514840890321E-2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>
        <v>0</v>
      </c>
      <c r="F995">
        <v>941399.94</v>
      </c>
      <c r="G995" s="1">
        <v>-2.7100000000000001E-5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0</v>
      </c>
      <c r="M995" s="1">
        <f t="shared" si="63"/>
        <v>0</v>
      </c>
      <c r="N995" s="1">
        <f t="shared" si="64"/>
        <v>-1.5577198451782952E-2</v>
      </c>
      <c r="O995" s="1"/>
    </row>
    <row r="996" spans="1:15" x14ac:dyDescent="0.25">
      <c r="A996">
        <v>1582</v>
      </c>
      <c r="B996">
        <v>9660.9868669999996</v>
      </c>
      <c r="C996">
        <v>0</v>
      </c>
      <c r="D996">
        <v>67769.869149999999</v>
      </c>
      <c r="E996">
        <v>0</v>
      </c>
      <c r="F996">
        <v>359994.85840000003</v>
      </c>
      <c r="G996" s="1">
        <v>-1.1199999999999999E-5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0</v>
      </c>
      <c r="M996" s="1">
        <f t="shared" si="63"/>
        <v>0</v>
      </c>
      <c r="N996" s="1">
        <f t="shared" si="64"/>
        <v>-4.7448958175230087E-2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>
        <v>0</v>
      </c>
      <c r="F997">
        <v>1127227.304</v>
      </c>
      <c r="G997" s="1">
        <v>-3.2600000000000001E-6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0</v>
      </c>
      <c r="M997" s="1">
        <f t="shared" si="63"/>
        <v>0</v>
      </c>
      <c r="N997" s="1">
        <f t="shared" si="64"/>
        <v>-6.7814834694072236E-3</v>
      </c>
      <c r="O997" s="1"/>
    </row>
    <row r="998" spans="1:15" x14ac:dyDescent="0.25">
      <c r="A998">
        <v>1584</v>
      </c>
      <c r="B998">
        <v>36981.330650000004</v>
      </c>
      <c r="C998">
        <v>0</v>
      </c>
      <c r="D998">
        <v>237119.0289</v>
      </c>
      <c r="E998">
        <v>0</v>
      </c>
      <c r="F998">
        <v>1138562.618</v>
      </c>
      <c r="G998">
        <v>2.8928999999999999E-4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0</v>
      </c>
      <c r="M998" s="1">
        <f t="shared" si="63"/>
        <v>0</v>
      </c>
      <c r="N998" s="1">
        <f t="shared" si="64"/>
        <v>0.45778682419196176</v>
      </c>
      <c r="O998" s="1"/>
    </row>
    <row r="999" spans="1:15" x14ac:dyDescent="0.25">
      <c r="A999">
        <v>1585</v>
      </c>
      <c r="B999">
        <v>29670.108209999999</v>
      </c>
      <c r="C999">
        <v>0</v>
      </c>
      <c r="D999">
        <v>146531.33660000001</v>
      </c>
      <c r="E999">
        <v>0</v>
      </c>
      <c r="F999">
        <v>917592.15720000002</v>
      </c>
      <c r="G999" s="1">
        <v>4.6400000000000003E-5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0</v>
      </c>
      <c r="M999" s="1">
        <f t="shared" si="63"/>
        <v>0</v>
      </c>
      <c r="N999" s="1">
        <f t="shared" si="64"/>
        <v>0.11838353326835185</v>
      </c>
      <c r="O999" s="1"/>
    </row>
    <row r="1000" spans="1:15" x14ac:dyDescent="0.25">
      <c r="A1000">
        <v>1586</v>
      </c>
      <c r="B1000">
        <v>34444.769229999998</v>
      </c>
      <c r="C1000">
        <v>0</v>
      </c>
      <c r="D1000">
        <v>169521.80900000001</v>
      </c>
      <c r="E1000">
        <v>0</v>
      </c>
      <c r="F1000">
        <v>1016039.441</v>
      </c>
      <c r="G1000">
        <v>1.3176E-4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0</v>
      </c>
      <c r="M1000" s="1">
        <f t="shared" si="63"/>
        <v>0</v>
      </c>
      <c r="N1000" s="1">
        <f t="shared" si="64"/>
        <v>0.26331713010282637</v>
      </c>
      <c r="O1000" s="1"/>
    </row>
    <row r="1001" spans="1:15" x14ac:dyDescent="0.25">
      <c r="A1001">
        <v>1587</v>
      </c>
      <c r="B1001">
        <v>30376.514500000001</v>
      </c>
      <c r="C1001">
        <v>0</v>
      </c>
      <c r="D1001">
        <v>164010.03839999999</v>
      </c>
      <c r="E1001">
        <v>0</v>
      </c>
      <c r="F1001">
        <v>1033084.339</v>
      </c>
      <c r="G1001">
        <v>3.2609000000000002E-4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0</v>
      </c>
      <c r="M1001" s="1">
        <f t="shared" si="63"/>
        <v>0</v>
      </c>
      <c r="N1001" s="1">
        <f t="shared" si="64"/>
        <v>0.30230503901000488</v>
      </c>
      <c r="O1001" s="1"/>
    </row>
    <row r="1002" spans="1:15" x14ac:dyDescent="0.25">
      <c r="A1002">
        <v>1588</v>
      </c>
      <c r="B1002">
        <v>4656.6139219999995</v>
      </c>
      <c r="C1002">
        <v>0</v>
      </c>
      <c r="D1002">
        <v>57762.253340000003</v>
      </c>
      <c r="E1002">
        <v>0</v>
      </c>
      <c r="F1002">
        <v>355590.23509999999</v>
      </c>
      <c r="G1002" s="1">
        <v>4.6300000000000001E-5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0</v>
      </c>
      <c r="M1002" s="1">
        <f t="shared" si="63"/>
        <v>0</v>
      </c>
      <c r="N1002" s="1">
        <f t="shared" si="64"/>
        <v>0.2956487864785563</v>
      </c>
      <c r="O1002" s="1"/>
    </row>
    <row r="1003" spans="1:15" x14ac:dyDescent="0.25">
      <c r="A1003">
        <v>1589</v>
      </c>
      <c r="B1003">
        <v>49145.210420000003</v>
      </c>
      <c r="C1003">
        <v>0</v>
      </c>
      <c r="D1003">
        <v>504971.83350000001</v>
      </c>
      <c r="E1003">
        <v>0</v>
      </c>
      <c r="F1003">
        <v>1325242.1499999999</v>
      </c>
      <c r="G1003">
        <v>830.83335520000003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0</v>
      </c>
      <c r="M1003" s="1">
        <f t="shared" si="63"/>
        <v>0</v>
      </c>
      <c r="N1003" s="1">
        <f t="shared" si="64"/>
        <v>948847.8563034815</v>
      </c>
      <c r="O1003" s="1"/>
    </row>
    <row r="1004" spans="1:15" x14ac:dyDescent="0.25">
      <c r="A1004">
        <v>1590</v>
      </c>
      <c r="B1004">
        <v>21504.180120000001</v>
      </c>
      <c r="C1004">
        <v>0</v>
      </c>
      <c r="D1004">
        <v>140035.48439999999</v>
      </c>
      <c r="E1004">
        <v>0</v>
      </c>
      <c r="F1004">
        <v>1044378.0209999999</v>
      </c>
      <c r="G1004">
        <v>-3.3830999999999998E-4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0</v>
      </c>
      <c r="M1004" s="1">
        <f t="shared" si="63"/>
        <v>0</v>
      </c>
      <c r="N1004" s="1">
        <f t="shared" si="64"/>
        <v>-1.0037383611834545</v>
      </c>
      <c r="O1004" s="1"/>
    </row>
    <row r="1005" spans="1:15" x14ac:dyDescent="0.25">
      <c r="A1005">
        <v>1591</v>
      </c>
      <c r="B1005">
        <v>36193.948490000002</v>
      </c>
      <c r="C1005">
        <v>0</v>
      </c>
      <c r="D1005">
        <v>223388.8947</v>
      </c>
      <c r="E1005">
        <v>0</v>
      </c>
      <c r="F1005">
        <v>1175877.879</v>
      </c>
      <c r="G1005" s="1">
        <v>4.9100000000000001E-5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0</v>
      </c>
      <c r="M1005" s="1">
        <f t="shared" si="63"/>
        <v>0</v>
      </c>
      <c r="N1005" s="1">
        <f t="shared" si="64"/>
        <v>2.571505401061008E-2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>
        <v>0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0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>
        <v>0</v>
      </c>
      <c r="F1009">
        <v>33298.237710000001</v>
      </c>
      <c r="G1009" s="1">
        <v>-2.2000000000000001E-7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0</v>
      </c>
      <c r="M1009" s="1">
        <f t="shared" si="63"/>
        <v>0</v>
      </c>
      <c r="N1009" s="1">
        <f t="shared" si="64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>
        <v>0</v>
      </c>
      <c r="D1010">
        <v>10440.72147</v>
      </c>
      <c r="E1010">
        <v>0</v>
      </c>
      <c r="F1010">
        <v>30849.654589999998</v>
      </c>
      <c r="G1010" s="1">
        <v>3.98E-6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0</v>
      </c>
      <c r="M1010" s="1">
        <f t="shared" si="63"/>
        <v>0</v>
      </c>
      <c r="N1010" s="1">
        <f t="shared" si="64"/>
        <v>4.6830669530809735E-2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>
        <v>0</v>
      </c>
      <c r="F1012">
        <v>41308.473010000002</v>
      </c>
      <c r="G1012" s="1">
        <v>2.92E-6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0</v>
      </c>
      <c r="N1012" s="1">
        <f t="shared" si="64"/>
        <v>3.0705045762972605E-2</v>
      </c>
      <c r="O1012" s="1"/>
    </row>
    <row r="1013" spans="1:15" x14ac:dyDescent="0.25">
      <c r="A1013">
        <v>1607</v>
      </c>
      <c r="B1013">
        <v>9483.836706</v>
      </c>
      <c r="C1013">
        <v>0</v>
      </c>
      <c r="D1013">
        <v>23080.567849999999</v>
      </c>
      <c r="E1013">
        <v>0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0</v>
      </c>
      <c r="M1013" s="1">
        <f t="shared" si="63"/>
        <v>0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>
        <v>0</v>
      </c>
      <c r="D1015">
        <v>33054.733209999999</v>
      </c>
      <c r="E1015">
        <v>0</v>
      </c>
      <c r="F1015">
        <v>176161.82339999999</v>
      </c>
      <c r="G1015" s="1">
        <v>3.0499999999999999E-5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0</v>
      </c>
      <c r="M1015" s="1">
        <f t="shared" si="63"/>
        <v>0</v>
      </c>
      <c r="N1015" s="1">
        <f t="shared" si="64"/>
        <v>7.3493619325824905E-2</v>
      </c>
      <c r="O1015" s="1"/>
    </row>
    <row r="1016" spans="1:15" x14ac:dyDescent="0.25">
      <c r="A1016">
        <v>1612</v>
      </c>
      <c r="B1016">
        <v>290.57884610000002</v>
      </c>
      <c r="C1016">
        <v>0</v>
      </c>
      <c r="D1016">
        <v>290.57884610000002</v>
      </c>
      <c r="E1016">
        <v>0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0</v>
      </c>
      <c r="M1016" s="1">
        <f t="shared" si="63"/>
        <v>0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>
        <v>0</v>
      </c>
      <c r="D1017">
        <v>290.57884610000002</v>
      </c>
      <c r="E1017">
        <v>0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0</v>
      </c>
      <c r="M1017" s="1">
        <f t="shared" si="63"/>
        <v>0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 s="1">
        <v>3.9999999999999998E-7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1.03007985984876E-2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 s="1">
        <v>1.3999999999999999E-6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0</v>
      </c>
      <c r="N1020" s="1">
        <f t="shared" si="64"/>
        <v>3.2509518938034603E-2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0</v>
      </c>
      <c r="M1021" s="1">
        <f t="shared" si="63"/>
        <v>0</v>
      </c>
      <c r="N1021" s="1">
        <f t="shared" si="64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>
        <v>0</v>
      </c>
      <c r="D1023">
        <v>26150.89445</v>
      </c>
      <c r="E1023">
        <v>0</v>
      </c>
      <c r="F1023">
        <v>129278.5781</v>
      </c>
      <c r="G1023" s="1">
        <v>3.9500000000000003E-6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0</v>
      </c>
      <c r="M1023" s="1">
        <f t="shared" si="63"/>
        <v>0</v>
      </c>
      <c r="N1023" s="1">
        <f t="shared" si="64"/>
        <v>1.0780222594678906E-2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>
        <v>0</v>
      </c>
      <c r="F1024">
        <v>265101.59659999999</v>
      </c>
      <c r="G1024" s="1">
        <v>3.2700000000000002E-5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0</v>
      </c>
      <c r="M1024" s="1">
        <f t="shared" si="63"/>
        <v>0</v>
      </c>
      <c r="N1024" s="1">
        <f t="shared" si="64"/>
        <v>4.6828500047140773E-2</v>
      </c>
      <c r="O1024" s="1"/>
    </row>
    <row r="1025" spans="1:15" x14ac:dyDescent="0.25">
      <c r="A1025">
        <v>1621</v>
      </c>
      <c r="B1025">
        <v>9222.9582009999995</v>
      </c>
      <c r="C1025">
        <v>0</v>
      </c>
      <c r="D1025">
        <v>23173.981299999999</v>
      </c>
      <c r="E1025">
        <v>0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0</v>
      </c>
      <c r="M1025" s="1">
        <f t="shared" si="63"/>
        <v>0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>
        <v>0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0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>
        <v>0</v>
      </c>
      <c r="D1027">
        <v>16671.698260000001</v>
      </c>
      <c r="E1027">
        <v>0</v>
      </c>
      <c r="F1027">
        <v>33532.398759999996</v>
      </c>
      <c r="G1027" s="1">
        <v>-2.92E-6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0</v>
      </c>
      <c r="M1027" s="1">
        <f t="shared" ref="M1027:M1090" si="67">$U$3*$K1027*E1027</f>
        <v>0</v>
      </c>
      <c r="N1027" s="1">
        <f t="shared" ref="N1027:N1090" si="68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>
        <v>0</v>
      </c>
      <c r="D1028">
        <v>27231.012220000001</v>
      </c>
      <c r="E1028">
        <v>0</v>
      </c>
      <c r="F1028">
        <v>116836.0661</v>
      </c>
      <c r="G1028" s="1">
        <v>-2.1100000000000001E-5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0</v>
      </c>
      <c r="M1028" s="1">
        <f t="shared" si="67"/>
        <v>0</v>
      </c>
      <c r="N1028" s="1">
        <f t="shared" si="68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>
        <v>0</v>
      </c>
      <c r="D1029">
        <v>113611.98510000001</v>
      </c>
      <c r="E1029">
        <v>0</v>
      </c>
      <c r="F1029">
        <v>539867.14769999997</v>
      </c>
      <c r="G1029" s="1">
        <v>-9.7599999999999997E-6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0</v>
      </c>
      <c r="M1029" s="1">
        <f t="shared" si="67"/>
        <v>0</v>
      </c>
      <c r="N1029" s="1">
        <f t="shared" si="68"/>
        <v>-1.1165893119429938E-2</v>
      </c>
      <c r="O1029" s="1"/>
    </row>
    <row r="1030" spans="1:15" x14ac:dyDescent="0.25">
      <c r="A1030">
        <v>1626</v>
      </c>
      <c r="B1030">
        <v>13390.6325</v>
      </c>
      <c r="C1030">
        <v>0</v>
      </c>
      <c r="D1030">
        <v>22395.145570000001</v>
      </c>
      <c r="E1030">
        <v>0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0</v>
      </c>
      <c r="M1030" s="1">
        <f t="shared" si="67"/>
        <v>0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>
        <v>0</v>
      </c>
      <c r="D1031">
        <v>143581.43150000001</v>
      </c>
      <c r="E1031">
        <v>0</v>
      </c>
      <c r="F1031">
        <v>672268.06889999995</v>
      </c>
      <c r="G1031" s="1">
        <v>4.2799999999999997E-5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0</v>
      </c>
      <c r="M1031" s="1">
        <f t="shared" si="67"/>
        <v>0</v>
      </c>
      <c r="N1031" s="1">
        <f t="shared" si="68"/>
        <v>6.1637157062004115E-2</v>
      </c>
      <c r="O1031" s="1"/>
    </row>
    <row r="1032" spans="1:15" x14ac:dyDescent="0.25">
      <c r="A1032">
        <v>1628</v>
      </c>
      <c r="B1032">
        <v>18189.83656</v>
      </c>
      <c r="C1032">
        <v>0</v>
      </c>
      <c r="D1032">
        <v>48222.214359999998</v>
      </c>
      <c r="E1032">
        <v>0</v>
      </c>
      <c r="F1032">
        <v>333408.5846</v>
      </c>
      <c r="G1032" s="1">
        <v>-2.3099999999999999E-5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0</v>
      </c>
      <c r="M1032" s="1">
        <f t="shared" si="67"/>
        <v>0</v>
      </c>
      <c r="N1032" s="1">
        <f t="shared" si="68"/>
        <v>-3.9810229960194538E-2</v>
      </c>
      <c r="O1032" s="1"/>
    </row>
    <row r="1033" spans="1:15" x14ac:dyDescent="0.25">
      <c r="A1033">
        <v>1629</v>
      </c>
      <c r="B1033">
        <v>11730.16216</v>
      </c>
      <c r="C1033">
        <v>0</v>
      </c>
      <c r="D1033">
        <v>46827.270190000003</v>
      </c>
      <c r="E1033">
        <v>0</v>
      </c>
      <c r="F1033">
        <v>298413.951</v>
      </c>
      <c r="G1033" s="1">
        <v>1.7600000000000001E-6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0</v>
      </c>
      <c r="M1033" s="1">
        <f t="shared" si="67"/>
        <v>0</v>
      </c>
      <c r="N1033" s="1">
        <f t="shared" si="68"/>
        <v>6.181875180425473E-3</v>
      </c>
      <c r="O1033" s="1"/>
    </row>
    <row r="1034" spans="1:15" x14ac:dyDescent="0.25">
      <c r="A1034">
        <v>1630</v>
      </c>
      <c r="B1034">
        <v>22568.66619</v>
      </c>
      <c r="C1034">
        <v>0</v>
      </c>
      <c r="D1034">
        <v>93018.220230000006</v>
      </c>
      <c r="E1034">
        <v>0</v>
      </c>
      <c r="F1034">
        <v>458677.16190000001</v>
      </c>
      <c r="G1034" s="1">
        <v>-3.7599999999999999E-5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0</v>
      </c>
      <c r="M1034" s="1">
        <f t="shared" si="67"/>
        <v>0</v>
      </c>
      <c r="N1034" s="1">
        <f t="shared" si="68"/>
        <v>-2.3807685855989281E-2</v>
      </c>
      <c r="O1034" s="1"/>
    </row>
    <row r="1035" spans="1:15" x14ac:dyDescent="0.25">
      <c r="A1035">
        <v>1631</v>
      </c>
      <c r="B1035">
        <v>19934.68736</v>
      </c>
      <c r="C1035">
        <v>0</v>
      </c>
      <c r="D1035">
        <v>107514.07</v>
      </c>
      <c r="E1035">
        <v>0</v>
      </c>
      <c r="F1035">
        <v>622913.54599999997</v>
      </c>
      <c r="G1035" s="1">
        <v>-3.4400000000000003E-5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0</v>
      </c>
      <c r="M1035" s="1">
        <f t="shared" si="67"/>
        <v>0</v>
      </c>
      <c r="N1035" s="1">
        <f t="shared" si="68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>
        <v>0</v>
      </c>
      <c r="F1036">
        <v>190069.6347</v>
      </c>
      <c r="G1036" s="1">
        <v>3.6999999999999998E-5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0</v>
      </c>
      <c r="M1036" s="1">
        <f t="shared" si="67"/>
        <v>0</v>
      </c>
      <c r="N1036" s="1">
        <f t="shared" si="68"/>
        <v>0.257569152262203</v>
      </c>
      <c r="O1036" s="1"/>
    </row>
    <row r="1037" spans="1:15" x14ac:dyDescent="0.25">
      <c r="A1037">
        <v>1633</v>
      </c>
      <c r="B1037">
        <v>15621.270259999999</v>
      </c>
      <c r="C1037">
        <v>0</v>
      </c>
      <c r="D1037">
        <v>34879.246599999999</v>
      </c>
      <c r="E1037">
        <v>0</v>
      </c>
      <c r="F1037">
        <v>204479.9522</v>
      </c>
      <c r="G1037" s="1">
        <v>1.8099999999999999E-5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0</v>
      </c>
      <c r="M1037" s="1">
        <f t="shared" si="67"/>
        <v>0</v>
      </c>
      <c r="N1037" s="1">
        <f t="shared" si="68"/>
        <v>4.0854718113773135E-2</v>
      </c>
      <c r="O1037" s="1"/>
    </row>
    <row r="1038" spans="1:15" x14ac:dyDescent="0.25">
      <c r="A1038">
        <v>1634</v>
      </c>
      <c r="B1038">
        <v>15081.716780000001</v>
      </c>
      <c r="C1038">
        <v>0</v>
      </c>
      <c r="D1038">
        <v>37664.012159999998</v>
      </c>
      <c r="E1038">
        <v>0</v>
      </c>
      <c r="F1038">
        <v>259052.20120000001</v>
      </c>
      <c r="G1038" s="1">
        <v>1.8899999999999999E-5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0</v>
      </c>
      <c r="M1038" s="1">
        <f t="shared" si="67"/>
        <v>0</v>
      </c>
      <c r="N1038" s="1">
        <f t="shared" si="68"/>
        <v>8.1847561457588217E-2</v>
      </c>
      <c r="O1038" s="1"/>
    </row>
    <row r="1039" spans="1:15" x14ac:dyDescent="0.25">
      <c r="A1039">
        <v>1635</v>
      </c>
      <c r="B1039">
        <v>19472.835179999998</v>
      </c>
      <c r="C1039">
        <v>0</v>
      </c>
      <c r="D1039">
        <v>100942.0592</v>
      </c>
      <c r="E1039">
        <v>0</v>
      </c>
      <c r="F1039">
        <v>557121.48580000002</v>
      </c>
      <c r="G1039" s="1">
        <v>-2.8E-5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0</v>
      </c>
      <c r="M1039" s="1">
        <f t="shared" si="67"/>
        <v>0</v>
      </c>
      <c r="N1039" s="1">
        <f t="shared" si="68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0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 s="1">
        <v>1.2700000000000001E-7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0</v>
      </c>
      <c r="M1041" s="1">
        <f t="shared" si="67"/>
        <v>0</v>
      </c>
      <c r="N1041" s="1">
        <f t="shared" si="68"/>
        <v>9.3595121367358531E-4</v>
      </c>
      <c r="O1041" s="1"/>
    </row>
    <row r="1042" spans="1:15" x14ac:dyDescent="0.25">
      <c r="A1042">
        <v>1639</v>
      </c>
      <c r="B1042">
        <v>2277.4385590000002</v>
      </c>
      <c r="C1042">
        <v>0</v>
      </c>
      <c r="D1042">
        <v>20717.596949999999</v>
      </c>
      <c r="E1042">
        <v>0</v>
      </c>
      <c r="F1042">
        <v>77454.286439999996</v>
      </c>
      <c r="G1042" s="1">
        <v>4.4000000000000002E-6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0</v>
      </c>
      <c r="M1042" s="1">
        <f t="shared" si="67"/>
        <v>0</v>
      </c>
      <c r="N1042" s="1">
        <f t="shared" si="68"/>
        <v>3.6295922932869609E-2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>
        <v>0</v>
      </c>
      <c r="F1043">
        <v>250726.23860000001</v>
      </c>
      <c r="G1043" s="1">
        <v>3.29E-5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0</v>
      </c>
      <c r="M1043" s="1">
        <f t="shared" si="67"/>
        <v>0</v>
      </c>
      <c r="N1043" s="1">
        <f t="shared" si="68"/>
        <v>7.6375225983073503E-2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>
        <v>0</v>
      </c>
      <c r="F1044">
        <v>69596.962939999998</v>
      </c>
      <c r="G1044" s="1">
        <v>7.9699999999999995E-7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0</v>
      </c>
      <c r="M1044" s="1">
        <f t="shared" si="67"/>
        <v>0</v>
      </c>
      <c r="N1044" s="1">
        <f t="shared" si="68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>
        <v>0</v>
      </c>
      <c r="F1045">
        <v>89832.328179999997</v>
      </c>
      <c r="G1045" s="1">
        <v>8.9700000000000005E-7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0</v>
      </c>
      <c r="N1045" s="1">
        <f t="shared" si="68"/>
        <v>4.9355073451979106E-3</v>
      </c>
      <c r="O1045" s="1"/>
    </row>
    <row r="1046" spans="1:15" x14ac:dyDescent="0.25">
      <c r="A1046">
        <v>1643</v>
      </c>
      <c r="B1046">
        <v>6735.0372230000003</v>
      </c>
      <c r="C1046">
        <v>0</v>
      </c>
      <c r="D1046">
        <v>30478.37255</v>
      </c>
      <c r="E1046">
        <v>0</v>
      </c>
      <c r="F1046">
        <v>174031.23809999999</v>
      </c>
      <c r="G1046" s="1">
        <v>4.5200000000000001E-5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0</v>
      </c>
      <c r="M1046" s="1">
        <f t="shared" si="67"/>
        <v>0</v>
      </c>
      <c r="N1046" s="1">
        <f t="shared" si="68"/>
        <v>0.20447074975657381</v>
      </c>
      <c r="O1046" s="1"/>
    </row>
    <row r="1047" spans="1:15" x14ac:dyDescent="0.25">
      <c r="A1047">
        <v>1644</v>
      </c>
      <c r="B1047">
        <v>6440.8633200000004</v>
      </c>
      <c r="C1047">
        <v>0</v>
      </c>
      <c r="D1047">
        <v>31712.173279999999</v>
      </c>
      <c r="E1047">
        <v>0</v>
      </c>
      <c r="F1047">
        <v>137673.23050000001</v>
      </c>
      <c r="G1047" s="1">
        <v>-4.0599999999999998E-5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0</v>
      </c>
      <c r="M1047" s="1">
        <f t="shared" si="67"/>
        <v>0</v>
      </c>
      <c r="N1047" s="1">
        <f t="shared" si="68"/>
        <v>-0.19937631832252345</v>
      </c>
      <c r="O1047" s="1"/>
    </row>
    <row r="1048" spans="1:15" x14ac:dyDescent="0.25">
      <c r="A1048">
        <v>1645</v>
      </c>
      <c r="B1048">
        <v>5979.4944919999998</v>
      </c>
      <c r="C1048">
        <v>0</v>
      </c>
      <c r="D1048">
        <v>62169.695650000001</v>
      </c>
      <c r="E1048">
        <v>0</v>
      </c>
      <c r="F1048">
        <v>276533.22169999999</v>
      </c>
      <c r="G1048" s="1">
        <v>-3.3699999999999999E-5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0</v>
      </c>
      <c r="M1048" s="1">
        <f t="shared" si="67"/>
        <v>0</v>
      </c>
      <c r="N1048" s="1">
        <f t="shared" si="68"/>
        <v>-0.16591026542617171</v>
      </c>
      <c r="O1048" s="1"/>
    </row>
    <row r="1049" spans="1:15" x14ac:dyDescent="0.25">
      <c r="A1049">
        <v>1700</v>
      </c>
      <c r="B1049">
        <v>917.79045840000003</v>
      </c>
      <c r="C1049">
        <v>0</v>
      </c>
      <c r="D1049">
        <v>42672.159469999999</v>
      </c>
      <c r="E1049">
        <v>0</v>
      </c>
      <c r="F1049">
        <v>320873.52929999999</v>
      </c>
      <c r="G1049" s="1">
        <v>-4.9799999999999998E-5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0</v>
      </c>
      <c r="M1049" s="1">
        <f t="shared" si="67"/>
        <v>0</v>
      </c>
      <c r="N1049" s="1">
        <f t="shared" si="68"/>
        <v>-0.20780500059240914</v>
      </c>
      <c r="O1049" s="1"/>
    </row>
    <row r="1050" spans="1:15" x14ac:dyDescent="0.25">
      <c r="A1050">
        <v>1701</v>
      </c>
      <c r="B1050">
        <v>17624.568510000001</v>
      </c>
      <c r="C1050">
        <v>0</v>
      </c>
      <c r="D1050">
        <v>185480.05480000001</v>
      </c>
      <c r="E1050">
        <v>0</v>
      </c>
      <c r="F1050">
        <v>696389.76789999998</v>
      </c>
      <c r="G1050" s="1">
        <v>-1.9599999999999999E-5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0</v>
      </c>
      <c r="M1050" s="1">
        <f t="shared" si="67"/>
        <v>0</v>
      </c>
      <c r="N1050" s="1">
        <f t="shared" si="68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>
        <v>0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0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>
        <v>0</v>
      </c>
      <c r="D1052">
        <v>300312.72649999999</v>
      </c>
      <c r="E1052">
        <v>0</v>
      </c>
      <c r="F1052">
        <v>821054.53040000005</v>
      </c>
      <c r="G1052" s="1">
        <v>2.9899999999999998E-5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0</v>
      </c>
      <c r="M1052" s="1">
        <f t="shared" si="67"/>
        <v>0</v>
      </c>
      <c r="N1052" s="1">
        <f t="shared" si="68"/>
        <v>0.20511719717461832</v>
      </c>
      <c r="O1052" s="1"/>
    </row>
    <row r="1053" spans="1:15" x14ac:dyDescent="0.25">
      <c r="A1053">
        <v>1704</v>
      </c>
      <c r="B1053">
        <v>5101.3450409999996</v>
      </c>
      <c r="C1053">
        <v>0</v>
      </c>
      <c r="D1053">
        <v>42511.100939999997</v>
      </c>
      <c r="E1053">
        <v>0</v>
      </c>
      <c r="F1053">
        <v>320964.54460000002</v>
      </c>
      <c r="G1053" s="1">
        <v>2.4300000000000001E-5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0</v>
      </c>
      <c r="M1053" s="1">
        <f t="shared" si="67"/>
        <v>0</v>
      </c>
      <c r="N1053" s="1">
        <f t="shared" si="68"/>
        <v>0.16100313821943751</v>
      </c>
      <c r="O1053" s="1"/>
    </row>
    <row r="1054" spans="1:15" x14ac:dyDescent="0.25">
      <c r="A1054">
        <v>1705</v>
      </c>
      <c r="B1054">
        <v>21386.482929999998</v>
      </c>
      <c r="C1054">
        <v>0</v>
      </c>
      <c r="D1054">
        <v>220905.23139999999</v>
      </c>
      <c r="E1054">
        <v>0</v>
      </c>
      <c r="F1054">
        <v>785874.84400000004</v>
      </c>
      <c r="G1054" s="1">
        <v>-3.7500000000000001E-6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0</v>
      </c>
      <c r="M1054" s="1">
        <f t="shared" si="67"/>
        <v>0</v>
      </c>
      <c r="N1054" s="1">
        <f t="shared" si="68"/>
        <v>-2.7270209835078756E-2</v>
      </c>
      <c r="O1054" s="1"/>
    </row>
    <row r="1055" spans="1:15" x14ac:dyDescent="0.25">
      <c r="A1055">
        <v>1706</v>
      </c>
      <c r="B1055">
        <v>9619.4457490000004</v>
      </c>
      <c r="C1055">
        <v>0</v>
      </c>
      <c r="D1055">
        <v>150951.1017</v>
      </c>
      <c r="E1055">
        <v>0</v>
      </c>
      <c r="F1055">
        <v>672143.15610000002</v>
      </c>
      <c r="G1055" s="1">
        <v>-3.6699999999999998E-5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0</v>
      </c>
      <c r="M1055" s="1">
        <f t="shared" si="67"/>
        <v>0</v>
      </c>
      <c r="N1055" s="1">
        <f t="shared" si="68"/>
        <v>-0.17339885556472512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>
        <v>0</v>
      </c>
      <c r="F1056">
        <v>275086.64140000002</v>
      </c>
      <c r="G1056" s="1">
        <v>-4.7200000000000002E-5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0</v>
      </c>
      <c r="N1056" s="1">
        <f t="shared" si="68"/>
        <v>-0.24469301260204321</v>
      </c>
      <c r="O1056" s="1"/>
    </row>
    <row r="1057" spans="1:15" x14ac:dyDescent="0.25">
      <c r="A1057">
        <v>1708</v>
      </c>
      <c r="B1057">
        <v>3807.7362720000001</v>
      </c>
      <c r="C1057">
        <v>0</v>
      </c>
      <c r="D1057">
        <v>125286.48759999999</v>
      </c>
      <c r="E1057">
        <v>0</v>
      </c>
      <c r="F1057">
        <v>638715.76309999998</v>
      </c>
      <c r="G1057" s="1">
        <v>1.6200000000000001E-5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0</v>
      </c>
      <c r="M1057" s="1">
        <f t="shared" si="67"/>
        <v>0</v>
      </c>
      <c r="N1057" s="1">
        <f t="shared" si="68"/>
        <v>7.6061780659040762E-2</v>
      </c>
      <c r="O1057" s="1"/>
    </row>
    <row r="1058" spans="1:15" x14ac:dyDescent="0.25">
      <c r="A1058">
        <v>1710</v>
      </c>
      <c r="B1058">
        <v>9766.8109750000003</v>
      </c>
      <c r="C1058">
        <v>0</v>
      </c>
      <c r="D1058">
        <v>145677.0753</v>
      </c>
      <c r="E1058">
        <v>0</v>
      </c>
      <c r="F1058">
        <v>702542.80090000003</v>
      </c>
      <c r="G1058" s="1">
        <v>-3.1900000000000003E-5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0</v>
      </c>
      <c r="M1058" s="1">
        <f t="shared" si="67"/>
        <v>0</v>
      </c>
      <c r="N1058" s="1">
        <f t="shared" si="68"/>
        <v>-0.40468749270575344</v>
      </c>
      <c r="O1058" s="1"/>
    </row>
    <row r="1059" spans="1:15" x14ac:dyDescent="0.25">
      <c r="A1059">
        <v>1711</v>
      </c>
      <c r="B1059">
        <v>37194.210030000002</v>
      </c>
      <c r="C1059">
        <v>0</v>
      </c>
      <c r="D1059">
        <v>399349.6874</v>
      </c>
      <c r="E1059">
        <v>0</v>
      </c>
      <c r="F1059">
        <v>879359.16520000005</v>
      </c>
      <c r="G1059" s="1">
        <v>-3.4999999999999999E-6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0</v>
      </c>
      <c r="M1059" s="1">
        <f t="shared" si="67"/>
        <v>0</v>
      </c>
      <c r="N1059" s="1">
        <f t="shared" si="68"/>
        <v>-2.6842195406082001E-2</v>
      </c>
      <c r="O1059" s="1"/>
    </row>
    <row r="1060" spans="1:15" x14ac:dyDescent="0.25">
      <c r="A1060">
        <v>1712</v>
      </c>
      <c r="B1060">
        <v>29980.5746</v>
      </c>
      <c r="C1060">
        <v>0</v>
      </c>
      <c r="D1060">
        <v>357190.2352</v>
      </c>
      <c r="E1060">
        <v>0</v>
      </c>
      <c r="F1060">
        <v>791574.61360000004</v>
      </c>
      <c r="G1060" s="1">
        <v>3.7700000000000002E-5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0</v>
      </c>
      <c r="M1060" s="1">
        <f t="shared" si="67"/>
        <v>0</v>
      </c>
      <c r="N1060" s="1">
        <f t="shared" si="68"/>
        <v>0.38982619025744164</v>
      </c>
      <c r="O1060" s="1"/>
    </row>
    <row r="1061" spans="1:15" x14ac:dyDescent="0.25">
      <c r="A1061">
        <v>1713</v>
      </c>
      <c r="B1061">
        <v>9785.4176480000006</v>
      </c>
      <c r="C1061">
        <v>0</v>
      </c>
      <c r="D1061">
        <v>169423.71309999999</v>
      </c>
      <c r="E1061">
        <v>0</v>
      </c>
      <c r="F1061">
        <v>715708.29590000003</v>
      </c>
      <c r="G1061" s="1">
        <v>8.8000000000000004E-6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0</v>
      </c>
      <c r="M1061" s="1">
        <f t="shared" si="67"/>
        <v>0</v>
      </c>
      <c r="N1061" s="1">
        <f t="shared" si="68"/>
        <v>7.0482233859153615E-2</v>
      </c>
      <c r="O1061" s="1"/>
    </row>
    <row r="1062" spans="1:15" x14ac:dyDescent="0.25">
      <c r="A1062">
        <v>1714</v>
      </c>
      <c r="B1062">
        <v>94149.781860000003</v>
      </c>
      <c r="C1062">
        <v>0</v>
      </c>
      <c r="D1062">
        <v>582656.59589999996</v>
      </c>
      <c r="E1062">
        <v>0</v>
      </c>
      <c r="F1062">
        <v>1028993.802</v>
      </c>
      <c r="G1062">
        <v>830.83344239999997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0</v>
      </c>
      <c r="M1062" s="1">
        <f t="shared" si="67"/>
        <v>0</v>
      </c>
      <c r="N1062" s="1">
        <f t="shared" si="68"/>
        <v>3987652.7813361119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>
        <v>0</v>
      </c>
      <c r="F1063">
        <v>220652.48329999999</v>
      </c>
      <c r="G1063" s="1">
        <v>-1.49E-5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0</v>
      </c>
      <c r="N1063" s="1">
        <f t="shared" si="68"/>
        <v>-0.11325408229951771</v>
      </c>
      <c r="O1063" s="1"/>
    </row>
    <row r="1064" spans="1:15" x14ac:dyDescent="0.25">
      <c r="A1064">
        <v>1716</v>
      </c>
      <c r="B1064">
        <v>37490.105799999998</v>
      </c>
      <c r="C1064">
        <v>0</v>
      </c>
      <c r="D1064">
        <v>396795.95750000002</v>
      </c>
      <c r="E1064">
        <v>0</v>
      </c>
      <c r="F1064">
        <v>883977.50159999996</v>
      </c>
      <c r="G1064">
        <v>723.46586139999999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0</v>
      </c>
      <c r="M1064" s="1">
        <f t="shared" si="67"/>
        <v>0</v>
      </c>
      <c r="N1064" s="1">
        <f t="shared" si="68"/>
        <v>3608911.8480403069</v>
      </c>
      <c r="O1064" s="1"/>
    </row>
    <row r="1065" spans="1:15" x14ac:dyDescent="0.25">
      <c r="A1065">
        <v>1717</v>
      </c>
      <c r="B1065">
        <v>2183.8464359999998</v>
      </c>
      <c r="C1065">
        <v>0</v>
      </c>
      <c r="D1065">
        <v>77427.429120000001</v>
      </c>
      <c r="E1065">
        <v>0</v>
      </c>
      <c r="F1065">
        <v>566977.71109999996</v>
      </c>
      <c r="G1065" s="1">
        <v>-4.3399999999999998E-5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0</v>
      </c>
      <c r="M1065" s="1">
        <f t="shared" si="67"/>
        <v>0</v>
      </c>
      <c r="N1065" s="1">
        <f t="shared" si="68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>
        <v>0</v>
      </c>
      <c r="F1066">
        <v>270048.43109999999</v>
      </c>
      <c r="G1066" s="1">
        <v>2.2200000000000001E-5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0</v>
      </c>
      <c r="N1066" s="1">
        <f t="shared" si="68"/>
        <v>0.1651511744842914</v>
      </c>
      <c r="O1066" s="1"/>
    </row>
    <row r="1067" spans="1:15" x14ac:dyDescent="0.25">
      <c r="A1067">
        <v>1721</v>
      </c>
      <c r="B1067">
        <v>11518.675800000001</v>
      </c>
      <c r="C1067">
        <v>0</v>
      </c>
      <c r="D1067">
        <v>137195.7383</v>
      </c>
      <c r="E1067">
        <v>0</v>
      </c>
      <c r="F1067">
        <v>664513.90760000004</v>
      </c>
      <c r="G1067" s="1">
        <v>-2.6999999999999999E-5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0</v>
      </c>
      <c r="M1067" s="1">
        <f t="shared" si="67"/>
        <v>0</v>
      </c>
      <c r="N1067" s="1">
        <f t="shared" si="68"/>
        <v>-0.1239624309262293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>
        <v>0</v>
      </c>
      <c r="F1068">
        <v>422345.58159999998</v>
      </c>
      <c r="G1068" s="1">
        <v>-4.74E-5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0</v>
      </c>
      <c r="M1068" s="1">
        <f t="shared" si="67"/>
        <v>0</v>
      </c>
      <c r="N1068" s="1">
        <f t="shared" si="68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>
        <v>0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0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>
        <v>0</v>
      </c>
      <c r="D1070">
        <v>96192.191690000007</v>
      </c>
      <c r="E1070">
        <v>0</v>
      </c>
      <c r="F1070">
        <v>413412.79119999998</v>
      </c>
      <c r="G1070" s="1">
        <v>-1.8700000000000001E-5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0</v>
      </c>
      <c r="M1070" s="1">
        <f t="shared" si="67"/>
        <v>0</v>
      </c>
      <c r="N1070" s="1">
        <f t="shared" si="68"/>
        <v>-0.14816257747372624</v>
      </c>
      <c r="O1070" s="1"/>
    </row>
    <row r="1071" spans="1:15" x14ac:dyDescent="0.25">
      <c r="A1071">
        <v>1725</v>
      </c>
      <c r="B1071">
        <v>13197.781419999999</v>
      </c>
      <c r="C1071">
        <v>0</v>
      </c>
      <c r="D1071">
        <v>77802.768400000001</v>
      </c>
      <c r="E1071">
        <v>0</v>
      </c>
      <c r="F1071">
        <v>243948.69839999999</v>
      </c>
      <c r="G1071" s="1">
        <v>-2.7800000000000001E-5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</v>
      </c>
      <c r="M1071" s="1">
        <f t="shared" si="67"/>
        <v>0</v>
      </c>
      <c r="N1071" s="1">
        <f t="shared" si="68"/>
        <v>-0.28216745950636862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>
        <v>0</v>
      </c>
      <c r="F1072">
        <v>585690.09080000001</v>
      </c>
      <c r="G1072" s="1">
        <v>2.4700000000000001E-5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0</v>
      </c>
      <c r="M1072" s="1">
        <f t="shared" si="67"/>
        <v>0</v>
      </c>
      <c r="N1072" s="1">
        <f t="shared" si="68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>
        <v>0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0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>
        <v>0</v>
      </c>
      <c r="D1074">
        <v>4790.402728</v>
      </c>
      <c r="E1074">
        <v>0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0</v>
      </c>
      <c r="M1074" s="1">
        <f t="shared" si="67"/>
        <v>0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>
        <v>0</v>
      </c>
      <c r="D1075">
        <v>10611.33202</v>
      </c>
      <c r="E1075">
        <v>0</v>
      </c>
      <c r="F1075">
        <v>101704.4599</v>
      </c>
      <c r="G1075" s="1">
        <v>2.09E-5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0</v>
      </c>
      <c r="M1075" s="1">
        <f t="shared" si="67"/>
        <v>0</v>
      </c>
      <c r="N1075" s="1">
        <f t="shared" si="68"/>
        <v>0.22907466858637024</v>
      </c>
      <c r="O1075" s="1"/>
    </row>
    <row r="1076" spans="1:15" x14ac:dyDescent="0.25">
      <c r="A1076">
        <v>1732</v>
      </c>
      <c r="B1076">
        <v>8586.8936059999996</v>
      </c>
      <c r="C1076">
        <v>0</v>
      </c>
      <c r="D1076">
        <v>51233.634359999996</v>
      </c>
      <c r="E1076">
        <v>0</v>
      </c>
      <c r="F1076">
        <v>363306.2757</v>
      </c>
      <c r="G1076" s="1">
        <v>3.2700000000000002E-5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0</v>
      </c>
      <c r="M1076" s="1">
        <f t="shared" si="67"/>
        <v>0</v>
      </c>
      <c r="N1076" s="1">
        <f t="shared" si="68"/>
        <v>0.1074575227982241</v>
      </c>
      <c r="O1076" s="1"/>
    </row>
    <row r="1077" spans="1:15" x14ac:dyDescent="0.25">
      <c r="A1077">
        <v>1733</v>
      </c>
      <c r="B1077">
        <v>2388.0043540000001</v>
      </c>
      <c r="C1077">
        <v>0</v>
      </c>
      <c r="D1077">
        <v>3691.4201870000002</v>
      </c>
      <c r="E1077">
        <v>0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0</v>
      </c>
      <c r="M1077" s="1">
        <f t="shared" si="67"/>
        <v>0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>
        <v>0</v>
      </c>
      <c r="D1078">
        <v>14419.404630000001</v>
      </c>
      <c r="E1078">
        <v>0</v>
      </c>
      <c r="F1078">
        <v>121780.46189999999</v>
      </c>
      <c r="G1078" s="1">
        <v>2.6800000000000002E-6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0</v>
      </c>
      <c r="M1078" s="1">
        <f t="shared" si="67"/>
        <v>0</v>
      </c>
      <c r="N1078" s="1">
        <f t="shared" si="68"/>
        <v>1.14686310775374E-2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>
        <v>0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0</v>
      </c>
      <c r="M1079" s="1">
        <f t="shared" si="67"/>
        <v>0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>
        <v>0</v>
      </c>
      <c r="F1080">
        <v>481020.7745</v>
      </c>
      <c r="G1080" s="1">
        <v>6.9800000000000001E-6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0</v>
      </c>
      <c r="M1080" s="1">
        <f t="shared" si="67"/>
        <v>0</v>
      </c>
      <c r="N1080" s="1">
        <f t="shared" si="68"/>
        <v>4.7042747113723443E-2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>
        <v>0</v>
      </c>
      <c r="F1082">
        <v>148288.36480000001</v>
      </c>
      <c r="G1082" s="1">
        <v>4.6900000000000002E-5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0</v>
      </c>
      <c r="M1082" s="1">
        <f t="shared" si="67"/>
        <v>0</v>
      </c>
      <c r="N1082" s="1">
        <f t="shared" si="68"/>
        <v>0.29253951277301732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>
        <v>0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0</v>
      </c>
      <c r="M1083" s="1">
        <f t="shared" si="67"/>
        <v>0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>
        <v>0</v>
      </c>
      <c r="F1084">
        <v>649220.39390000002</v>
      </c>
      <c r="G1084" s="1">
        <v>1.9199999999999999E-5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0</v>
      </c>
      <c r="M1084" s="1">
        <f t="shared" si="67"/>
        <v>0</v>
      </c>
      <c r="N1084" s="1">
        <f t="shared" si="68"/>
        <v>8.6926823618376961E-2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>
        <v>0</v>
      </c>
      <c r="F1085">
        <v>213325.0264</v>
      </c>
      <c r="G1085" s="1">
        <v>4.3800000000000001E-5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0</v>
      </c>
      <c r="M1085" s="1">
        <f t="shared" si="67"/>
        <v>0</v>
      </c>
      <c r="N1085" s="1">
        <f t="shared" si="68"/>
        <v>0.29888619169837322</v>
      </c>
      <c r="O1085" s="1"/>
    </row>
    <row r="1086" spans="1:15" x14ac:dyDescent="0.25">
      <c r="A1086">
        <v>1744</v>
      </c>
      <c r="B1086">
        <v>2766.994099</v>
      </c>
      <c r="C1086">
        <v>0</v>
      </c>
      <c r="D1086">
        <v>34609.970889999997</v>
      </c>
      <c r="E1086">
        <v>0</v>
      </c>
      <c r="F1086">
        <v>227698.5246</v>
      </c>
      <c r="G1086" s="1">
        <v>4.5200000000000001E-5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0</v>
      </c>
      <c r="M1086" s="1">
        <f t="shared" si="67"/>
        <v>0</v>
      </c>
      <c r="N1086" s="1">
        <f t="shared" si="68"/>
        <v>0.32951131073149442</v>
      </c>
      <c r="O1086" s="1"/>
    </row>
    <row r="1087" spans="1:15" x14ac:dyDescent="0.25">
      <c r="A1087">
        <v>1745</v>
      </c>
      <c r="B1087">
        <v>1295.9373660000001</v>
      </c>
      <c r="C1087">
        <v>0</v>
      </c>
      <c r="D1087">
        <v>13233.830089999999</v>
      </c>
      <c r="E1087">
        <v>0</v>
      </c>
      <c r="F1087">
        <v>135253.24559999999</v>
      </c>
      <c r="G1087" s="1">
        <v>3.3300000000000003E-5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0</v>
      </c>
      <c r="M1087" s="1">
        <f t="shared" si="67"/>
        <v>0</v>
      </c>
      <c r="N1087" s="1">
        <f t="shared" si="68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 s="1">
        <v>8.8999999999999995E-7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1.8589862421776848E-2</v>
      </c>
      <c r="O1088" s="1"/>
    </row>
    <row r="1089" spans="1:15" x14ac:dyDescent="0.25">
      <c r="A1089">
        <v>1749</v>
      </c>
      <c r="B1089">
        <v>5491.0428149999998</v>
      </c>
      <c r="C1089">
        <v>0</v>
      </c>
      <c r="D1089">
        <v>21800.932949999999</v>
      </c>
      <c r="E1089">
        <v>0</v>
      </c>
      <c r="F1089">
        <v>112881.32180000001</v>
      </c>
      <c r="G1089" s="1">
        <v>1.22E-5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0</v>
      </c>
      <c r="M1089" s="1">
        <f t="shared" si="67"/>
        <v>0</v>
      </c>
      <c r="N1089" s="1">
        <f t="shared" si="68"/>
        <v>0.10584577298752081</v>
      </c>
      <c r="O1089" s="1"/>
    </row>
    <row r="1090" spans="1:15" x14ac:dyDescent="0.25">
      <c r="A1090">
        <v>1750</v>
      </c>
      <c r="B1090">
        <v>1148.992757</v>
      </c>
      <c r="C1090">
        <v>0</v>
      </c>
      <c r="D1090">
        <v>15950.19541</v>
      </c>
      <c r="E1090">
        <v>0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0</v>
      </c>
      <c r="M1090" s="1">
        <f t="shared" si="67"/>
        <v>0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>
        <v>0</v>
      </c>
      <c r="D1091">
        <v>88800.379430000001</v>
      </c>
      <c r="E1091">
        <v>0</v>
      </c>
      <c r="F1091">
        <v>536491.10530000005</v>
      </c>
      <c r="G1091" s="1">
        <v>2.7100000000000001E-5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0</v>
      </c>
      <c r="M1091" s="1">
        <f t="shared" ref="M1091:M1154" si="71">$U$3*$K1091*E1091</f>
        <v>0</v>
      </c>
      <c r="N1091" s="1">
        <f t="shared" ref="N1091:N1154" si="72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>
        <v>0</v>
      </c>
      <c r="D1092">
        <v>24289.029429999999</v>
      </c>
      <c r="E1092">
        <v>0</v>
      </c>
      <c r="F1092">
        <v>149611.08720000001</v>
      </c>
      <c r="G1092" s="1">
        <v>-3.8300000000000003E-5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0</v>
      </c>
      <c r="M1092" s="1">
        <f t="shared" si="71"/>
        <v>0</v>
      </c>
      <c r="N1092" s="1">
        <f t="shared" si="72"/>
        <v>-0.19083668659886097</v>
      </c>
      <c r="O1092" s="1"/>
    </row>
    <row r="1093" spans="1:15" x14ac:dyDescent="0.25">
      <c r="A1093">
        <v>1753</v>
      </c>
      <c r="B1093">
        <v>13572.34319</v>
      </c>
      <c r="C1093">
        <v>0</v>
      </c>
      <c r="D1093">
        <v>133971.79889999999</v>
      </c>
      <c r="E1093">
        <v>0</v>
      </c>
      <c r="F1093">
        <v>641818.4828</v>
      </c>
      <c r="G1093" s="1">
        <v>1.3400000000000001E-6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0</v>
      </c>
      <c r="M1093" s="1">
        <f t="shared" si="71"/>
        <v>0</v>
      </c>
      <c r="N1093" s="1">
        <f t="shared" si="72"/>
        <v>6.5590752314852174E-3</v>
      </c>
      <c r="O1093" s="1"/>
    </row>
    <row r="1094" spans="1:15" x14ac:dyDescent="0.25">
      <c r="A1094">
        <v>1754</v>
      </c>
      <c r="B1094">
        <v>2070.657745</v>
      </c>
      <c r="C1094">
        <v>0</v>
      </c>
      <c r="D1094">
        <v>11558.698899999999</v>
      </c>
      <c r="E1094">
        <v>0</v>
      </c>
      <c r="F1094">
        <v>98373.858630000002</v>
      </c>
      <c r="G1094" s="1">
        <v>-3.2000000000000001E-7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0</v>
      </c>
      <c r="M1094" s="1">
        <f t="shared" si="71"/>
        <v>0</v>
      </c>
      <c r="N1094" s="1">
        <f t="shared" si="72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>
        <v>0</v>
      </c>
      <c r="F1095">
        <v>35189.477610000002</v>
      </c>
      <c r="G1095" s="1">
        <v>-4.6500000000000004E-6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0</v>
      </c>
      <c r="N1095" s="1">
        <f t="shared" si="72"/>
        <v>-5.0802395859351909E-2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 s="1">
        <v>3.3099999999999998E-5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0</v>
      </c>
      <c r="M1096" s="1">
        <f t="shared" si="71"/>
        <v>0</v>
      </c>
      <c r="N1096" s="1">
        <f t="shared" si="72"/>
        <v>0.10980368890357627</v>
      </c>
      <c r="O1096" s="1"/>
    </row>
    <row r="1097" spans="1:15" x14ac:dyDescent="0.25">
      <c r="A1097">
        <v>1801</v>
      </c>
      <c r="B1097">
        <v>23075.762910000001</v>
      </c>
      <c r="C1097">
        <v>0</v>
      </c>
      <c r="D1097">
        <v>481853.4817</v>
      </c>
      <c r="E1097">
        <v>0</v>
      </c>
      <c r="F1097">
        <v>830617.76500000001</v>
      </c>
      <c r="G1097">
        <v>6687.0160050000004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0</v>
      </c>
      <c r="M1097" s="1">
        <f t="shared" si="71"/>
        <v>0</v>
      </c>
      <c r="N1097" s="1">
        <f t="shared" si="72"/>
        <v>13378311.840915281</v>
      </c>
      <c r="O1097" s="1"/>
    </row>
    <row r="1098" spans="1:15" x14ac:dyDescent="0.25">
      <c r="A1098">
        <v>1802</v>
      </c>
      <c r="B1098">
        <v>55866.420169999998</v>
      </c>
      <c r="C1098">
        <v>0</v>
      </c>
      <c r="D1098">
        <v>465581.75520000001</v>
      </c>
      <c r="E1098">
        <v>0</v>
      </c>
      <c r="F1098">
        <v>983667.96640000003</v>
      </c>
      <c r="G1098" s="1">
        <v>-3.1699999999999998E-5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0</v>
      </c>
      <c r="M1098" s="1">
        <f t="shared" si="71"/>
        <v>0</v>
      </c>
      <c r="N1098" s="1">
        <f t="shared" si="72"/>
        <v>-7.9887813629131763E-2</v>
      </c>
      <c r="O1098" s="1"/>
    </row>
    <row r="1099" spans="1:15" x14ac:dyDescent="0.25">
      <c r="A1099">
        <v>1803</v>
      </c>
      <c r="B1099">
        <v>105601.33719999999</v>
      </c>
      <c r="C1099">
        <v>0</v>
      </c>
      <c r="D1099">
        <v>647568.72389999998</v>
      </c>
      <c r="E1099">
        <v>0</v>
      </c>
      <c r="F1099">
        <v>1072255.8149999999</v>
      </c>
      <c r="G1099">
        <v>7885.1160689999997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0</v>
      </c>
      <c r="M1099" s="1">
        <f t="shared" si="71"/>
        <v>0</v>
      </c>
      <c r="N1099" s="1">
        <f t="shared" si="72"/>
        <v>7836799.7943920325</v>
      </c>
      <c r="O1099" s="1"/>
    </row>
    <row r="1100" spans="1:15" x14ac:dyDescent="0.25">
      <c r="A1100">
        <v>1804</v>
      </c>
      <c r="B1100">
        <v>67821.354479999995</v>
      </c>
      <c r="C1100">
        <v>0</v>
      </c>
      <c r="D1100">
        <v>569969.58490000002</v>
      </c>
      <c r="E1100">
        <v>0</v>
      </c>
      <c r="F1100">
        <v>983472.22140000004</v>
      </c>
      <c r="G1100">
        <v>830.83353350000004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0</v>
      </c>
      <c r="M1100" s="1">
        <f t="shared" si="71"/>
        <v>0</v>
      </c>
      <c r="N1100" s="1">
        <f t="shared" si="72"/>
        <v>3085719.8758885362</v>
      </c>
      <c r="O1100" s="1"/>
    </row>
    <row r="1101" spans="1:15" x14ac:dyDescent="0.25">
      <c r="A1101">
        <v>1805</v>
      </c>
      <c r="B1101">
        <v>277350.30180000002</v>
      </c>
      <c r="C1101">
        <v>0</v>
      </c>
      <c r="D1101">
        <v>826712.95090000005</v>
      </c>
      <c r="E1101">
        <v>0</v>
      </c>
      <c r="F1101">
        <v>1266958.1669999999</v>
      </c>
      <c r="G1101">
        <v>6715.9323400000003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0</v>
      </c>
      <c r="M1101" s="1">
        <f t="shared" si="71"/>
        <v>0</v>
      </c>
      <c r="N1101" s="1">
        <f t="shared" si="72"/>
        <v>4164907.5989631056</v>
      </c>
      <c r="O1101" s="1"/>
    </row>
    <row r="1102" spans="1:15" x14ac:dyDescent="0.25">
      <c r="A1102">
        <v>1806</v>
      </c>
      <c r="B1102">
        <v>365299.82900000003</v>
      </c>
      <c r="C1102">
        <v>0</v>
      </c>
      <c r="D1102">
        <v>913659.21950000001</v>
      </c>
      <c r="E1102">
        <v>0</v>
      </c>
      <c r="F1102">
        <v>1338934.3</v>
      </c>
      <c r="G1102">
        <v>9200.2451039999996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0</v>
      </c>
      <c r="M1102" s="1">
        <f t="shared" si="71"/>
        <v>0</v>
      </c>
      <c r="N1102" s="1">
        <f t="shared" si="72"/>
        <v>4374612.7925327318</v>
      </c>
      <c r="O1102" s="1"/>
    </row>
    <row r="1103" spans="1:15" x14ac:dyDescent="0.25">
      <c r="A1103">
        <v>1807</v>
      </c>
      <c r="B1103">
        <v>123925.5049</v>
      </c>
      <c r="C1103">
        <v>0</v>
      </c>
      <c r="D1103">
        <v>681714.79639999999</v>
      </c>
      <c r="E1103">
        <v>0</v>
      </c>
      <c r="F1103">
        <v>1142420.5009999999</v>
      </c>
      <c r="G1103">
        <v>8853.2450329999992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0</v>
      </c>
      <c r="M1103" s="1">
        <f t="shared" si="71"/>
        <v>0</v>
      </c>
      <c r="N1103" s="1">
        <f t="shared" si="72"/>
        <v>25910108.473170251</v>
      </c>
      <c r="O1103" s="1"/>
    </row>
    <row r="1104" spans="1:15" x14ac:dyDescent="0.25">
      <c r="A1104">
        <v>1808</v>
      </c>
      <c r="B1104">
        <v>132550.9051</v>
      </c>
      <c r="C1104">
        <v>0</v>
      </c>
      <c r="D1104">
        <v>641047.89749999996</v>
      </c>
      <c r="E1104">
        <v>0</v>
      </c>
      <c r="F1104">
        <v>1064046.8740000001</v>
      </c>
      <c r="G1104">
        <v>9302.2271810000002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0</v>
      </c>
      <c r="M1104" s="1">
        <f t="shared" si="71"/>
        <v>0</v>
      </c>
      <c r="N1104" s="1">
        <f t="shared" si="72"/>
        <v>44382787.379863493</v>
      </c>
      <c r="O1104" s="1"/>
    </row>
    <row r="1105" spans="1:15" x14ac:dyDescent="0.25">
      <c r="A1105">
        <v>1809</v>
      </c>
      <c r="B1105">
        <v>153397.628</v>
      </c>
      <c r="C1105">
        <v>0</v>
      </c>
      <c r="D1105">
        <v>684339.86820000003</v>
      </c>
      <c r="E1105">
        <v>0</v>
      </c>
      <c r="F1105">
        <v>1121986.2690000001</v>
      </c>
      <c r="G1105">
        <v>9631.093879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</v>
      </c>
      <c r="M1105" s="1">
        <f t="shared" si="71"/>
        <v>0</v>
      </c>
      <c r="N1105" s="1">
        <f t="shared" si="72"/>
        <v>14490837.665498333</v>
      </c>
      <c r="O1105" s="1"/>
    </row>
    <row r="1106" spans="1:15" x14ac:dyDescent="0.25">
      <c r="A1106">
        <v>1810</v>
      </c>
      <c r="B1106">
        <v>150446.20129999999</v>
      </c>
      <c r="C1106">
        <v>0</v>
      </c>
      <c r="D1106">
        <v>679116.45600000001</v>
      </c>
      <c r="E1106">
        <v>0</v>
      </c>
      <c r="F1106">
        <v>1115925.9839999999</v>
      </c>
      <c r="G1106">
        <v>9631.0941120000007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0</v>
      </c>
      <c r="M1106" s="1">
        <f t="shared" si="71"/>
        <v>0</v>
      </c>
      <c r="N1106" s="1">
        <f t="shared" si="72"/>
        <v>20891909.337356981</v>
      </c>
      <c r="O1106" s="1"/>
    </row>
    <row r="1107" spans="1:15" x14ac:dyDescent="0.25">
      <c r="A1107">
        <v>1811</v>
      </c>
      <c r="B1107">
        <v>241285.59039999999</v>
      </c>
      <c r="C1107">
        <v>0</v>
      </c>
      <c r="D1107">
        <v>800590.89760000003</v>
      </c>
      <c r="E1107">
        <v>0</v>
      </c>
      <c r="F1107">
        <v>1252113.926</v>
      </c>
      <c r="G1107">
        <v>2583.5932269999998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0</v>
      </c>
      <c r="M1107" s="1">
        <f t="shared" si="71"/>
        <v>0</v>
      </c>
      <c r="N1107" s="1">
        <f t="shared" si="72"/>
        <v>1097545.2355401251</v>
      </c>
      <c r="O1107" s="1"/>
    </row>
    <row r="1108" spans="1:15" x14ac:dyDescent="0.25">
      <c r="A1108">
        <v>1812</v>
      </c>
      <c r="B1108">
        <v>234580.3401</v>
      </c>
      <c r="C1108">
        <v>0</v>
      </c>
      <c r="D1108">
        <v>773505.44960000005</v>
      </c>
      <c r="E1108">
        <v>0</v>
      </c>
      <c r="F1108">
        <v>1227221.128</v>
      </c>
      <c r="G1108">
        <v>2773.5816070000001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0</v>
      </c>
      <c r="M1108" s="1">
        <f t="shared" si="71"/>
        <v>0</v>
      </c>
      <c r="N1108" s="1">
        <f t="shared" si="72"/>
        <v>1012968.6501091325</v>
      </c>
      <c r="O1108" s="1"/>
    </row>
    <row r="1109" spans="1:15" x14ac:dyDescent="0.25">
      <c r="A1109">
        <v>1813</v>
      </c>
      <c r="B1109">
        <v>23342.467820000002</v>
      </c>
      <c r="C1109">
        <v>0</v>
      </c>
      <c r="D1109">
        <v>262648.31430000003</v>
      </c>
      <c r="E1109">
        <v>0</v>
      </c>
      <c r="F1109">
        <v>810801.76890000002</v>
      </c>
      <c r="G1109" s="1">
        <v>1.73E-5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0</v>
      </c>
      <c r="M1109" s="1">
        <f t="shared" si="71"/>
        <v>0</v>
      </c>
      <c r="N1109" s="1">
        <f t="shared" si="72"/>
        <v>6.5134597512532991E-2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>
        <v>0</v>
      </c>
      <c r="F1110">
        <v>357654.30910000001</v>
      </c>
      <c r="G1110" s="1">
        <v>1.9599999999999999E-5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0</v>
      </c>
      <c r="M1110" s="1">
        <f t="shared" si="71"/>
        <v>0</v>
      </c>
      <c r="N1110" s="1">
        <f t="shared" si="72"/>
        <v>0.1097865269623416</v>
      </c>
      <c r="O1110" s="1"/>
    </row>
    <row r="1111" spans="1:15" x14ac:dyDescent="0.25">
      <c r="A1111">
        <v>1815</v>
      </c>
      <c r="B1111">
        <v>42990.629639999999</v>
      </c>
      <c r="C1111">
        <v>0</v>
      </c>
      <c r="D1111">
        <v>348506.9938</v>
      </c>
      <c r="E1111">
        <v>0</v>
      </c>
      <c r="F1111">
        <v>880828.54839999997</v>
      </c>
      <c r="G1111">
        <v>3925.969576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0</v>
      </c>
      <c r="M1111" s="1">
        <f t="shared" si="71"/>
        <v>0</v>
      </c>
      <c r="N1111" s="1">
        <f t="shared" si="72"/>
        <v>14039073.886565823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>
        <v>0</v>
      </c>
      <c r="F1112">
        <v>794543.35389999999</v>
      </c>
      <c r="G1112" s="1">
        <v>-1.3900000000000001E-5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0</v>
      </c>
      <c r="M1112" s="1">
        <f t="shared" si="71"/>
        <v>0</v>
      </c>
      <c r="N1112" s="1">
        <f t="shared" si="72"/>
        <v>-7.7974806635323218E-2</v>
      </c>
      <c r="O1112" s="1"/>
    </row>
    <row r="1113" spans="1:15" x14ac:dyDescent="0.25">
      <c r="A1113">
        <v>1817</v>
      </c>
      <c r="B1113">
        <v>18787.83467</v>
      </c>
      <c r="C1113">
        <v>0</v>
      </c>
      <c r="D1113">
        <v>341148.58380000002</v>
      </c>
      <c r="E1113">
        <v>0</v>
      </c>
      <c r="F1113">
        <v>761876.19660000002</v>
      </c>
      <c r="G1113" s="1">
        <v>3.65E-5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0</v>
      </c>
      <c r="M1113" s="1">
        <f t="shared" si="71"/>
        <v>0</v>
      </c>
      <c r="N1113" s="1">
        <f t="shared" si="72"/>
        <v>0.11744133250992227</v>
      </c>
      <c r="O1113" s="1"/>
    </row>
    <row r="1114" spans="1:15" x14ac:dyDescent="0.25">
      <c r="A1114">
        <v>1818</v>
      </c>
      <c r="B1114">
        <v>33800.43075</v>
      </c>
      <c r="C1114">
        <v>0</v>
      </c>
      <c r="D1114">
        <v>471253.12890000001</v>
      </c>
      <c r="E1114">
        <v>0</v>
      </c>
      <c r="F1114">
        <v>839123.76269999996</v>
      </c>
      <c r="G1114" s="1">
        <v>3.1600000000000002E-5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0</v>
      </c>
      <c r="M1114" s="1">
        <f t="shared" si="71"/>
        <v>0</v>
      </c>
      <c r="N1114" s="1">
        <f t="shared" si="72"/>
        <v>4.1898873465305408E-2</v>
      </c>
      <c r="O1114" s="1"/>
    </row>
    <row r="1115" spans="1:15" x14ac:dyDescent="0.25">
      <c r="A1115">
        <v>1819</v>
      </c>
      <c r="B1115">
        <v>55368.35527</v>
      </c>
      <c r="C1115">
        <v>0</v>
      </c>
      <c r="D1115">
        <v>515617.86080000002</v>
      </c>
      <c r="E1115">
        <v>0</v>
      </c>
      <c r="F1115">
        <v>879176.70860000001</v>
      </c>
      <c r="G1115" s="1">
        <v>5.9200000000000001E-6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0</v>
      </c>
      <c r="M1115" s="1">
        <f t="shared" si="71"/>
        <v>0</v>
      </c>
      <c r="N1115" s="1">
        <f t="shared" si="72"/>
        <v>7.7768568429102724E-3</v>
      </c>
      <c r="O1115" s="1"/>
    </row>
    <row r="1116" spans="1:15" x14ac:dyDescent="0.25">
      <c r="A1116">
        <v>1820</v>
      </c>
      <c r="B1116">
        <v>107193.32460000001</v>
      </c>
      <c r="C1116">
        <v>0</v>
      </c>
      <c r="D1116">
        <v>608896.13320000004</v>
      </c>
      <c r="E1116">
        <v>0</v>
      </c>
      <c r="F1116">
        <v>991880.97420000006</v>
      </c>
      <c r="G1116">
        <v>8555.538912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0</v>
      </c>
      <c r="M1116" s="1">
        <f t="shared" si="71"/>
        <v>0</v>
      </c>
      <c r="N1116" s="1">
        <f t="shared" si="72"/>
        <v>24244754.073394474</v>
      </c>
      <c r="O1116" s="1"/>
    </row>
    <row r="1117" spans="1:15" x14ac:dyDescent="0.25">
      <c r="A1117">
        <v>1821</v>
      </c>
      <c r="B1117">
        <v>20999.155640000001</v>
      </c>
      <c r="C1117">
        <v>0</v>
      </c>
      <c r="D1117">
        <v>500888.81540000002</v>
      </c>
      <c r="E1117">
        <v>0</v>
      </c>
      <c r="F1117">
        <v>860512.82609999995</v>
      </c>
      <c r="G1117" s="1">
        <v>-9.7000000000000003E-6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0</v>
      </c>
      <c r="M1117" s="1">
        <f t="shared" si="71"/>
        <v>0</v>
      </c>
      <c r="N1117" s="1">
        <f t="shared" si="72"/>
        <v>-9.1723288908531608E-3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>
        <v>0</v>
      </c>
      <c r="F1118">
        <v>777270.67249999999</v>
      </c>
      <c r="G1118" s="1">
        <v>-4.9599999999999999E-5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0</v>
      </c>
      <c r="M1118" s="1">
        <f t="shared" si="71"/>
        <v>0</v>
      </c>
      <c r="N1118" s="1">
        <f t="shared" si="72"/>
        <v>-0.23078200620181008</v>
      </c>
      <c r="O1118" s="1"/>
    </row>
    <row r="1119" spans="1:15" x14ac:dyDescent="0.25">
      <c r="A1119">
        <v>1824</v>
      </c>
      <c r="B1119">
        <v>19968.710330000002</v>
      </c>
      <c r="C1119">
        <v>0</v>
      </c>
      <c r="D1119">
        <v>426386.14</v>
      </c>
      <c r="E1119">
        <v>0</v>
      </c>
      <c r="F1119">
        <v>822168.95030000003</v>
      </c>
      <c r="G1119" s="1">
        <v>3.1999999999999999E-5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0</v>
      </c>
      <c r="M1119" s="1">
        <f t="shared" si="71"/>
        <v>0</v>
      </c>
      <c r="N1119" s="1">
        <f t="shared" si="72"/>
        <v>8.8355595510671986E-2</v>
      </c>
      <c r="O1119" s="1"/>
    </row>
    <row r="1120" spans="1:15" x14ac:dyDescent="0.25">
      <c r="A1120">
        <v>1825</v>
      </c>
      <c r="B1120">
        <v>105496.38800000001</v>
      </c>
      <c r="C1120">
        <v>0</v>
      </c>
      <c r="D1120">
        <v>595112.14280000003</v>
      </c>
      <c r="E1120">
        <v>0</v>
      </c>
      <c r="F1120">
        <v>968225.46219999995</v>
      </c>
      <c r="G1120">
        <v>9386.3725360000008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0</v>
      </c>
      <c r="M1120" s="1">
        <f t="shared" si="71"/>
        <v>0</v>
      </c>
      <c r="N1120" s="1">
        <f t="shared" si="72"/>
        <v>6606861.0874609323</v>
      </c>
      <c r="O1120" s="1"/>
    </row>
    <row r="1121" spans="1:15" x14ac:dyDescent="0.25">
      <c r="A1121">
        <v>1826</v>
      </c>
      <c r="B1121">
        <v>17241.703870000001</v>
      </c>
      <c r="C1121">
        <v>0</v>
      </c>
      <c r="D1121">
        <v>257484.79749999999</v>
      </c>
      <c r="E1121">
        <v>0</v>
      </c>
      <c r="F1121">
        <v>725902.35439999995</v>
      </c>
      <c r="G1121" s="1">
        <v>-4.5000000000000001E-6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0</v>
      </c>
      <c r="M1121" s="1">
        <f t="shared" si="71"/>
        <v>0</v>
      </c>
      <c r="N1121" s="1">
        <f t="shared" si="72"/>
        <v>-1.9951984727208001E-2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>
        <v>0</v>
      </c>
      <c r="F1122">
        <v>706600.6679</v>
      </c>
      <c r="G1122" s="1">
        <v>-1.9899999999999999E-5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0</v>
      </c>
      <c r="M1122" s="1">
        <f t="shared" si="71"/>
        <v>0</v>
      </c>
      <c r="N1122" s="1">
        <f t="shared" si="72"/>
        <v>-6.8339238712360889E-2</v>
      </c>
      <c r="O1122" s="1"/>
    </row>
    <row r="1123" spans="1:15" x14ac:dyDescent="0.25">
      <c r="A1123">
        <v>1828</v>
      </c>
      <c r="B1123">
        <v>38359.486519999999</v>
      </c>
      <c r="C1123">
        <v>0</v>
      </c>
      <c r="D1123">
        <v>434973.47480000003</v>
      </c>
      <c r="E1123">
        <v>0</v>
      </c>
      <c r="F1123">
        <v>796029.72690000001</v>
      </c>
      <c r="G1123">
        <v>830.83362539999996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0</v>
      </c>
      <c r="M1123" s="1">
        <f t="shared" si="71"/>
        <v>0</v>
      </c>
      <c r="N1123" s="1">
        <f t="shared" si="72"/>
        <v>2926628.1203450668</v>
      </c>
      <c r="O1123" s="1"/>
    </row>
    <row r="1124" spans="1:15" x14ac:dyDescent="0.25">
      <c r="A1124">
        <v>1829</v>
      </c>
      <c r="B1124">
        <v>51730.132700000002</v>
      </c>
      <c r="C1124">
        <v>0</v>
      </c>
      <c r="D1124">
        <v>351397.20030000003</v>
      </c>
      <c r="E1124">
        <v>0</v>
      </c>
      <c r="F1124">
        <v>764166.63049999997</v>
      </c>
      <c r="G1124" s="1">
        <v>-4.32E-5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0</v>
      </c>
      <c r="M1124" s="1">
        <f t="shared" si="71"/>
        <v>0</v>
      </c>
      <c r="N1124" s="1">
        <f t="shared" si="72"/>
        <v>-0.14024798412574177</v>
      </c>
      <c r="O1124" s="1"/>
    </row>
    <row r="1125" spans="1:15" x14ac:dyDescent="0.25">
      <c r="A1125">
        <v>1830</v>
      </c>
      <c r="B1125">
        <v>5409.272363</v>
      </c>
      <c r="C1125">
        <v>0</v>
      </c>
      <c r="D1125">
        <v>56646.0933</v>
      </c>
      <c r="E1125">
        <v>0</v>
      </c>
      <c r="F1125">
        <v>517909.74829999998</v>
      </c>
      <c r="G1125" s="1">
        <v>-2.5899999999999999E-5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0</v>
      </c>
      <c r="M1125" s="1">
        <f t="shared" si="71"/>
        <v>0</v>
      </c>
      <c r="N1125" s="1">
        <f t="shared" si="72"/>
        <v>-0.18087503258391632</v>
      </c>
      <c r="O1125" s="1"/>
    </row>
    <row r="1126" spans="1:15" x14ac:dyDescent="0.25">
      <c r="A1126">
        <v>1831</v>
      </c>
      <c r="B1126">
        <v>109823.7599</v>
      </c>
      <c r="C1126">
        <v>0</v>
      </c>
      <c r="D1126">
        <v>495549.71620000002</v>
      </c>
      <c r="E1126">
        <v>0</v>
      </c>
      <c r="F1126">
        <v>870536.10719999997</v>
      </c>
      <c r="G1126">
        <v>830.83360579999999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</v>
      </c>
      <c r="M1126" s="1">
        <f t="shared" si="71"/>
        <v>0</v>
      </c>
      <c r="N1126" s="1">
        <f t="shared" si="72"/>
        <v>3321550.3739715316</v>
      </c>
      <c r="O1126" s="1"/>
    </row>
    <row r="1127" spans="1:15" x14ac:dyDescent="0.25">
      <c r="A1127">
        <v>1832</v>
      </c>
      <c r="B1127">
        <v>155149.1679</v>
      </c>
      <c r="C1127">
        <v>0</v>
      </c>
      <c r="D1127">
        <v>660251.9669</v>
      </c>
      <c r="E1127">
        <v>0</v>
      </c>
      <c r="F1127">
        <v>1087603.3189999999</v>
      </c>
      <c r="G1127">
        <v>8422.6138719999999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</v>
      </c>
      <c r="M1127" s="1">
        <f t="shared" si="71"/>
        <v>0</v>
      </c>
      <c r="N1127" s="1">
        <f t="shared" si="72"/>
        <v>10250785.002356544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>
        <v>0</v>
      </c>
      <c r="F1128">
        <v>543445.98069999996</v>
      </c>
      <c r="G1128" s="1">
        <v>7.0700000000000001E-6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0</v>
      </c>
      <c r="N1128" s="1">
        <f t="shared" si="72"/>
        <v>1.374772701215504E-2</v>
      </c>
      <c r="O1128" s="1"/>
    </row>
    <row r="1129" spans="1:15" x14ac:dyDescent="0.25">
      <c r="A1129">
        <v>1834</v>
      </c>
      <c r="B1129">
        <v>15241.421909999999</v>
      </c>
      <c r="C1129">
        <v>0</v>
      </c>
      <c r="D1129">
        <v>189898.7611</v>
      </c>
      <c r="E1129">
        <v>0</v>
      </c>
      <c r="F1129">
        <v>637040.67169999995</v>
      </c>
      <c r="G1129" s="1">
        <v>1.6999999999999999E-7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</v>
      </c>
      <c r="M1129" s="1">
        <f t="shared" si="71"/>
        <v>0</v>
      </c>
      <c r="N1129" s="1">
        <f t="shared" si="72"/>
        <v>8.5945787265999602E-4</v>
      </c>
      <c r="O1129" s="1"/>
    </row>
    <row r="1130" spans="1:15" x14ac:dyDescent="0.25">
      <c r="A1130">
        <v>1835</v>
      </c>
      <c r="B1130">
        <v>22657.968730000001</v>
      </c>
      <c r="C1130">
        <v>0</v>
      </c>
      <c r="D1130">
        <v>390204.75099999999</v>
      </c>
      <c r="E1130">
        <v>0</v>
      </c>
      <c r="F1130">
        <v>757654.33700000006</v>
      </c>
      <c r="G1130">
        <v>830.83353620000003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0</v>
      </c>
      <c r="M1130" s="1">
        <f t="shared" si="71"/>
        <v>0</v>
      </c>
      <c r="N1130" s="1">
        <f t="shared" si="72"/>
        <v>2892419.3768697069</v>
      </c>
      <c r="O1130" s="1"/>
    </row>
    <row r="1131" spans="1:15" x14ac:dyDescent="0.25">
      <c r="A1131">
        <v>1836</v>
      </c>
      <c r="B1131">
        <v>171664.8566</v>
      </c>
      <c r="C1131">
        <v>0</v>
      </c>
      <c r="D1131">
        <v>661687.94090000005</v>
      </c>
      <c r="E1131">
        <v>0</v>
      </c>
      <c r="F1131">
        <v>1097325.3729999999</v>
      </c>
      <c r="G1131">
        <v>15252.552390000001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</v>
      </c>
      <c r="M1131" s="1">
        <f t="shared" si="71"/>
        <v>0</v>
      </c>
      <c r="N1131" s="1">
        <f t="shared" si="72"/>
        <v>18995310.17358356</v>
      </c>
      <c r="O1131" s="1"/>
    </row>
    <row r="1132" spans="1:15" x14ac:dyDescent="0.25">
      <c r="A1132">
        <v>1837</v>
      </c>
      <c r="B1132">
        <v>225940.17509999999</v>
      </c>
      <c r="C1132">
        <v>0</v>
      </c>
      <c r="D1132">
        <v>693967.5943</v>
      </c>
      <c r="E1132">
        <v>0</v>
      </c>
      <c r="F1132">
        <v>1144468.5460000001</v>
      </c>
      <c r="G1132">
        <v>14457.62306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0</v>
      </c>
      <c r="M1132" s="1">
        <f t="shared" si="71"/>
        <v>0</v>
      </c>
      <c r="N1132" s="1">
        <f t="shared" si="72"/>
        <v>4313426.1247422928</v>
      </c>
      <c r="O1132" s="1"/>
    </row>
    <row r="1133" spans="1:15" x14ac:dyDescent="0.25">
      <c r="A1133">
        <v>1838</v>
      </c>
      <c r="B1133">
        <v>83273.203529999999</v>
      </c>
      <c r="C1133">
        <v>0</v>
      </c>
      <c r="D1133">
        <v>546563.73970000003</v>
      </c>
      <c r="E1133">
        <v>0</v>
      </c>
      <c r="F1133">
        <v>896204.51390000002</v>
      </c>
      <c r="G1133">
        <v>6687.0159709999998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0</v>
      </c>
      <c r="M1133" s="1">
        <f t="shared" si="71"/>
        <v>0</v>
      </c>
      <c r="N1133" s="1">
        <f t="shared" si="72"/>
        <v>9250951.6540600378</v>
      </c>
      <c r="O1133" s="1"/>
    </row>
    <row r="1134" spans="1:15" x14ac:dyDescent="0.25">
      <c r="A1134">
        <v>1839</v>
      </c>
      <c r="B1134">
        <v>181481.83410000001</v>
      </c>
      <c r="C1134">
        <v>0</v>
      </c>
      <c r="D1134">
        <v>598260.75260000001</v>
      </c>
      <c r="E1134">
        <v>0</v>
      </c>
      <c r="F1134">
        <v>1015590.349</v>
      </c>
      <c r="G1134">
        <v>7620.9305759999997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0</v>
      </c>
      <c r="M1134" s="1">
        <f t="shared" si="71"/>
        <v>0</v>
      </c>
      <c r="N1134" s="1">
        <f t="shared" si="72"/>
        <v>15457038.854247186</v>
      </c>
      <c r="O1134" s="1"/>
    </row>
    <row r="1135" spans="1:15" x14ac:dyDescent="0.25">
      <c r="A1135">
        <v>1840</v>
      </c>
      <c r="B1135">
        <v>90833.56151</v>
      </c>
      <c r="C1135">
        <v>0</v>
      </c>
      <c r="D1135">
        <v>536182.40139999997</v>
      </c>
      <c r="E1135">
        <v>0</v>
      </c>
      <c r="F1135">
        <v>881380.74380000005</v>
      </c>
      <c r="G1135">
        <v>7835.1851029999998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0</v>
      </c>
      <c r="M1135" s="1">
        <f t="shared" si="71"/>
        <v>0</v>
      </c>
      <c r="N1135" s="1">
        <f t="shared" si="72"/>
        <v>22428579.120896529</v>
      </c>
      <c r="O1135" s="1"/>
    </row>
    <row r="1136" spans="1:15" x14ac:dyDescent="0.25">
      <c r="A1136">
        <v>1841</v>
      </c>
      <c r="B1136">
        <v>108912.45140000001</v>
      </c>
      <c r="C1136">
        <v>0</v>
      </c>
      <c r="D1136">
        <v>470769.92239999998</v>
      </c>
      <c r="E1136">
        <v>0</v>
      </c>
      <c r="F1136">
        <v>843022.72580000001</v>
      </c>
      <c r="G1136" s="1">
        <v>-2.2900000000000001E-5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</v>
      </c>
      <c r="M1136" s="1">
        <f t="shared" si="71"/>
        <v>0</v>
      </c>
      <c r="N1136" s="1">
        <f t="shared" si="72"/>
        <v>-6.3951163892883037E-2</v>
      </c>
      <c r="O1136" s="1"/>
    </row>
    <row r="1137" spans="1:15" x14ac:dyDescent="0.25">
      <c r="A1137">
        <v>1842</v>
      </c>
      <c r="B1137">
        <v>182931.97690000001</v>
      </c>
      <c r="C1137">
        <v>0</v>
      </c>
      <c r="D1137">
        <v>656359.12269999995</v>
      </c>
      <c r="E1137">
        <v>0</v>
      </c>
      <c r="F1137">
        <v>1076810.389</v>
      </c>
      <c r="G1137">
        <v>8817.5680109999994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</v>
      </c>
      <c r="M1137" s="1">
        <f t="shared" si="71"/>
        <v>0</v>
      </c>
      <c r="N1137" s="1">
        <f t="shared" si="72"/>
        <v>12827107.154272065</v>
      </c>
      <c r="O1137" s="1"/>
    </row>
    <row r="1138" spans="1:15" x14ac:dyDescent="0.25">
      <c r="A1138">
        <v>1843</v>
      </c>
      <c r="B1138">
        <v>146639.4289</v>
      </c>
      <c r="C1138">
        <v>0</v>
      </c>
      <c r="D1138">
        <v>636768.05920000002</v>
      </c>
      <c r="E1138">
        <v>0</v>
      </c>
      <c r="F1138">
        <v>1056097.8770000001</v>
      </c>
      <c r="G1138">
        <v>8955.8712410000007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0</v>
      </c>
      <c r="M1138" s="1">
        <f t="shared" si="71"/>
        <v>0</v>
      </c>
      <c r="N1138" s="1">
        <f t="shared" si="72"/>
        <v>10611953.59755346</v>
      </c>
      <c r="O1138" s="1"/>
    </row>
    <row r="1139" spans="1:15" x14ac:dyDescent="0.25">
      <c r="A1139">
        <v>1844</v>
      </c>
      <c r="B1139">
        <v>451056.19280000002</v>
      </c>
      <c r="C1139">
        <v>0</v>
      </c>
      <c r="D1139">
        <v>841488.3726</v>
      </c>
      <c r="E1139">
        <v>6687.0159000000003</v>
      </c>
      <c r="F1139">
        <v>1337335.9539999999</v>
      </c>
      <c r="G1139">
        <v>10052.76863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</v>
      </c>
      <c r="M1139" s="1">
        <f t="shared" si="71"/>
        <v>5831168.8573779101</v>
      </c>
      <c r="N1139" s="1">
        <f t="shared" si="72"/>
        <v>4101593.6044301842</v>
      </c>
      <c r="O1139" s="1"/>
    </row>
    <row r="1140" spans="1:15" x14ac:dyDescent="0.25">
      <c r="A1140">
        <v>1845</v>
      </c>
      <c r="B1140">
        <v>238179.4958</v>
      </c>
      <c r="C1140">
        <v>0</v>
      </c>
      <c r="D1140">
        <v>717808.99670000002</v>
      </c>
      <c r="E1140">
        <v>0</v>
      </c>
      <c r="F1140">
        <v>1174570.3049999999</v>
      </c>
      <c r="G1140">
        <v>13813.70595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0</v>
      </c>
      <c r="M1140" s="1">
        <f t="shared" si="71"/>
        <v>0</v>
      </c>
      <c r="N1140" s="1">
        <f t="shared" si="72"/>
        <v>5511520.6693242304</v>
      </c>
      <c r="O1140" s="1"/>
    </row>
    <row r="1141" spans="1:15" x14ac:dyDescent="0.25">
      <c r="A1141">
        <v>1846</v>
      </c>
      <c r="B1141">
        <v>291342.0197</v>
      </c>
      <c r="C1141">
        <v>0</v>
      </c>
      <c r="D1141">
        <v>729764.59950000001</v>
      </c>
      <c r="E1141">
        <v>6940.3855000000003</v>
      </c>
      <c r="F1141">
        <v>1202796.99</v>
      </c>
      <c r="G1141">
        <v>11656.24518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0</v>
      </c>
      <c r="M1141" s="1">
        <f t="shared" si="71"/>
        <v>9918999.3441580608</v>
      </c>
      <c r="N1141" s="1">
        <f t="shared" si="72"/>
        <v>7794470.5382032935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>
        <v>0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0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>
        <v>0</v>
      </c>
      <c r="D1143">
        <v>331013.70789999998</v>
      </c>
      <c r="E1143">
        <v>0</v>
      </c>
      <c r="F1143">
        <v>699970.56149999995</v>
      </c>
      <c r="G1143" s="1">
        <v>3.0499999999999999E-5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0</v>
      </c>
      <c r="M1143" s="1">
        <f t="shared" si="71"/>
        <v>0</v>
      </c>
      <c r="N1143" s="1">
        <f t="shared" si="72"/>
        <v>0.10521535698911536</v>
      </c>
      <c r="O1143" s="1"/>
    </row>
    <row r="1144" spans="1:15" x14ac:dyDescent="0.25">
      <c r="A1144">
        <v>1849</v>
      </c>
      <c r="B1144">
        <v>6829.8905279999999</v>
      </c>
      <c r="C1144">
        <v>0</v>
      </c>
      <c r="D1144">
        <v>96043.618570000006</v>
      </c>
      <c r="E1144">
        <v>0</v>
      </c>
      <c r="F1144">
        <v>549143.3138</v>
      </c>
      <c r="G1144" s="1">
        <v>-2.09E-5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0</v>
      </c>
      <c r="M1144" s="1">
        <f t="shared" si="71"/>
        <v>0</v>
      </c>
      <c r="N1144" s="1">
        <f t="shared" si="72"/>
        <v>-9.7049507781227118E-2</v>
      </c>
      <c r="O1144" s="1"/>
    </row>
    <row r="1145" spans="1:15" x14ac:dyDescent="0.25">
      <c r="A1145">
        <v>1850</v>
      </c>
      <c r="B1145">
        <v>239329.2194</v>
      </c>
      <c r="C1145">
        <v>0</v>
      </c>
      <c r="D1145">
        <v>642270.70779999997</v>
      </c>
      <c r="E1145">
        <v>0</v>
      </c>
      <c r="F1145">
        <v>1077350.463</v>
      </c>
      <c r="G1145">
        <v>8928.899684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</v>
      </c>
      <c r="M1145" s="1">
        <f t="shared" si="71"/>
        <v>0</v>
      </c>
      <c r="N1145" s="1">
        <f t="shared" si="72"/>
        <v>35245721.282748818</v>
      </c>
      <c r="O1145" s="1"/>
    </row>
    <row r="1146" spans="1:15" x14ac:dyDescent="0.25">
      <c r="A1146">
        <v>1851</v>
      </c>
      <c r="B1146">
        <v>19843.725559999999</v>
      </c>
      <c r="C1146">
        <v>0</v>
      </c>
      <c r="D1146">
        <v>416806.5675</v>
      </c>
      <c r="E1146">
        <v>0</v>
      </c>
      <c r="F1146">
        <v>733384.70770000003</v>
      </c>
      <c r="G1146" s="1">
        <v>-3.4600000000000001E-5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0</v>
      </c>
      <c r="M1146" s="1">
        <f t="shared" si="71"/>
        <v>0</v>
      </c>
      <c r="N1146" s="1">
        <f t="shared" si="72"/>
        <v>-0.12560880618623355</v>
      </c>
      <c r="O1146" s="1"/>
    </row>
    <row r="1147" spans="1:15" x14ac:dyDescent="0.25">
      <c r="A1147">
        <v>1852</v>
      </c>
      <c r="B1147">
        <v>3504.3216080000002</v>
      </c>
      <c r="C1147">
        <v>0</v>
      </c>
      <c r="D1147">
        <v>158280.28709999999</v>
      </c>
      <c r="E1147">
        <v>0</v>
      </c>
      <c r="F1147">
        <v>576487.85869999998</v>
      </c>
      <c r="G1147" s="1">
        <v>4.9799999999999998E-6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0</v>
      </c>
      <c r="M1147" s="1">
        <f t="shared" si="71"/>
        <v>0</v>
      </c>
      <c r="N1147" s="1">
        <f t="shared" si="72"/>
        <v>3.5759851233265444E-2</v>
      </c>
      <c r="O1147" s="1"/>
    </row>
    <row r="1148" spans="1:15" x14ac:dyDescent="0.25">
      <c r="A1148">
        <v>1853</v>
      </c>
      <c r="B1148">
        <v>164738.0386</v>
      </c>
      <c r="C1148">
        <v>0</v>
      </c>
      <c r="D1148">
        <v>567324.69169999997</v>
      </c>
      <c r="E1148">
        <v>0</v>
      </c>
      <c r="F1148">
        <v>963410.88219999999</v>
      </c>
      <c r="G1148">
        <v>7725.159791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</v>
      </c>
      <c r="M1148" s="1">
        <f t="shared" si="71"/>
        <v>0</v>
      </c>
      <c r="N1148" s="1">
        <f t="shared" si="72"/>
        <v>22883985.020534746</v>
      </c>
      <c r="O1148" s="1"/>
    </row>
    <row r="1149" spans="1:15" x14ac:dyDescent="0.25">
      <c r="A1149">
        <v>1854</v>
      </c>
      <c r="B1149">
        <v>185256.16219999999</v>
      </c>
      <c r="C1149">
        <v>0</v>
      </c>
      <c r="D1149">
        <v>575713.79339999997</v>
      </c>
      <c r="E1149">
        <v>0</v>
      </c>
      <c r="F1149">
        <v>981907.60789999994</v>
      </c>
      <c r="G1149">
        <v>7811.3500469999999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0</v>
      </c>
      <c r="M1149" s="1">
        <f t="shared" si="71"/>
        <v>0</v>
      </c>
      <c r="N1149" s="1">
        <f t="shared" si="72"/>
        <v>21893703.711460557</v>
      </c>
      <c r="O1149" s="1"/>
    </row>
    <row r="1150" spans="1:15" x14ac:dyDescent="0.25">
      <c r="A1150">
        <v>1855</v>
      </c>
      <c r="B1150">
        <v>120590.7553</v>
      </c>
      <c r="C1150">
        <v>0</v>
      </c>
      <c r="D1150">
        <v>527333.44420000003</v>
      </c>
      <c r="E1150">
        <v>0</v>
      </c>
      <c r="F1150">
        <v>886451.59169999999</v>
      </c>
      <c r="G1150">
        <v>8686.1025300000001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0</v>
      </c>
      <c r="M1150" s="1">
        <f t="shared" si="71"/>
        <v>0</v>
      </c>
      <c r="N1150" s="1">
        <f t="shared" si="72"/>
        <v>27166462.68329512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>
        <v>0</v>
      </c>
      <c r="F1151">
        <v>712183.70129999996</v>
      </c>
      <c r="G1151" s="1">
        <v>-2.37E-5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0</v>
      </c>
      <c r="M1151" s="1">
        <f t="shared" si="71"/>
        <v>0</v>
      </c>
      <c r="N1151" s="1">
        <f t="shared" si="72"/>
        <v>-0.17500102400294371</v>
      </c>
      <c r="O1151" s="1"/>
    </row>
    <row r="1152" spans="1:15" x14ac:dyDescent="0.25">
      <c r="A1152">
        <v>1857</v>
      </c>
      <c r="B1152">
        <v>243984.27350000001</v>
      </c>
      <c r="C1152">
        <v>0</v>
      </c>
      <c r="D1152">
        <v>652655.75029999996</v>
      </c>
      <c r="E1152">
        <v>0</v>
      </c>
      <c r="F1152">
        <v>1068878.2169999999</v>
      </c>
      <c r="G1152">
        <v>8308.2835489999998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0</v>
      </c>
      <c r="M1152" s="1">
        <f t="shared" si="71"/>
        <v>0</v>
      </c>
      <c r="N1152" s="1">
        <f t="shared" si="72"/>
        <v>30563632.362749152</v>
      </c>
      <c r="O1152" s="1"/>
    </row>
    <row r="1153" spans="1:15" x14ac:dyDescent="0.25">
      <c r="A1153">
        <v>1900</v>
      </c>
      <c r="B1153">
        <v>221769.0013</v>
      </c>
      <c r="C1153">
        <v>0</v>
      </c>
      <c r="D1153">
        <v>639054.72609999997</v>
      </c>
      <c r="E1153">
        <v>0</v>
      </c>
      <c r="F1153">
        <v>1040347.374</v>
      </c>
      <c r="G1153">
        <v>14711.208699999999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0</v>
      </c>
      <c r="M1153" s="1">
        <f t="shared" si="71"/>
        <v>0</v>
      </c>
      <c r="N1153" s="1">
        <f t="shared" si="72"/>
        <v>18958243.102658421</v>
      </c>
      <c r="O1153" s="1"/>
    </row>
    <row r="1154" spans="1:15" x14ac:dyDescent="0.25">
      <c r="A1154">
        <v>1901</v>
      </c>
      <c r="B1154">
        <v>11066.49386</v>
      </c>
      <c r="C1154">
        <v>0</v>
      </c>
      <c r="D1154">
        <v>284644.049</v>
      </c>
      <c r="E1154">
        <v>0</v>
      </c>
      <c r="F1154">
        <v>640203.37199999997</v>
      </c>
      <c r="G1154" s="1">
        <v>2.73E-5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0</v>
      </c>
      <c r="M1154" s="1">
        <f t="shared" si="71"/>
        <v>0</v>
      </c>
      <c r="N1154" s="1">
        <f t="shared" si="72"/>
        <v>5.345679449166147E-2</v>
      </c>
      <c r="O1154" s="1"/>
    </row>
    <row r="1155" spans="1:15" x14ac:dyDescent="0.25">
      <c r="A1155">
        <v>1902</v>
      </c>
      <c r="B1155">
        <v>134010.52179999999</v>
      </c>
      <c r="C1155">
        <v>0</v>
      </c>
      <c r="D1155">
        <v>549531.3101</v>
      </c>
      <c r="E1155">
        <v>0</v>
      </c>
      <c r="F1155">
        <v>902760.99230000004</v>
      </c>
      <c r="G1155">
        <v>8692.5527920000004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0</v>
      </c>
      <c r="M1155" s="1">
        <f t="shared" ref="M1155:M1218" si="75">$U$3*$K1155*E1155</f>
        <v>0</v>
      </c>
      <c r="N1155" s="1">
        <f t="shared" ref="N1155:N1218" si="76">$U$4*$K1155*G1155</f>
        <v>41712399.261963822</v>
      </c>
      <c r="O1155" s="1"/>
    </row>
    <row r="1156" spans="1:15" x14ac:dyDescent="0.25">
      <c r="A1156">
        <v>1903</v>
      </c>
      <c r="B1156">
        <v>150799.2819</v>
      </c>
      <c r="C1156">
        <v>0</v>
      </c>
      <c r="D1156">
        <v>587397.47329999995</v>
      </c>
      <c r="E1156">
        <v>0</v>
      </c>
      <c r="F1156">
        <v>1008634.988</v>
      </c>
      <c r="G1156">
        <v>9160.4054730000007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0</v>
      </c>
      <c r="M1156" s="1">
        <f t="shared" si="75"/>
        <v>0</v>
      </c>
      <c r="N1156" s="1">
        <f t="shared" si="76"/>
        <v>20626089.074022047</v>
      </c>
      <c r="O1156" s="1"/>
    </row>
    <row r="1157" spans="1:15" x14ac:dyDescent="0.25">
      <c r="A1157">
        <v>1904</v>
      </c>
      <c r="B1157">
        <v>75216.913560000001</v>
      </c>
      <c r="C1157">
        <v>0</v>
      </c>
      <c r="D1157">
        <v>529459.86820000003</v>
      </c>
      <c r="E1157">
        <v>0</v>
      </c>
      <c r="F1157">
        <v>926311.81980000006</v>
      </c>
      <c r="G1157">
        <v>8535.4551179999999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0</v>
      </c>
      <c r="M1157" s="1">
        <f t="shared" si="75"/>
        <v>0</v>
      </c>
      <c r="N1157" s="1">
        <f t="shared" si="76"/>
        <v>17247019.244234316</v>
      </c>
      <c r="O1157" s="1"/>
    </row>
    <row r="1158" spans="1:15" x14ac:dyDescent="0.25">
      <c r="A1158">
        <v>1905</v>
      </c>
      <c r="B1158">
        <v>244520.54569999999</v>
      </c>
      <c r="C1158">
        <v>0</v>
      </c>
      <c r="D1158">
        <v>628712.88069999998</v>
      </c>
      <c r="E1158">
        <v>0</v>
      </c>
      <c r="F1158">
        <v>1078270.976</v>
      </c>
      <c r="G1158">
        <v>13352.69067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0</v>
      </c>
      <c r="M1158" s="1">
        <f t="shared" si="75"/>
        <v>0</v>
      </c>
      <c r="N1158" s="1">
        <f t="shared" si="76"/>
        <v>20503904.146093987</v>
      </c>
      <c r="O1158" s="1"/>
    </row>
    <row r="1159" spans="1:15" x14ac:dyDescent="0.25">
      <c r="A1159">
        <v>1906</v>
      </c>
      <c r="B1159">
        <v>101572.7129</v>
      </c>
      <c r="C1159">
        <v>0</v>
      </c>
      <c r="D1159">
        <v>554611.44440000004</v>
      </c>
      <c r="E1159">
        <v>0</v>
      </c>
      <c r="F1159">
        <v>948456.81140000001</v>
      </c>
      <c r="G1159">
        <v>8555.5389039999991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0</v>
      </c>
      <c r="M1159" s="1">
        <f t="shared" si="75"/>
        <v>0</v>
      </c>
      <c r="N1159" s="1">
        <f t="shared" si="76"/>
        <v>8447160.2321026828</v>
      </c>
      <c r="O1159" s="1"/>
    </row>
    <row r="1160" spans="1:15" x14ac:dyDescent="0.25">
      <c r="A1160">
        <v>1907</v>
      </c>
      <c r="B1160">
        <v>7810.8507540000001</v>
      </c>
      <c r="C1160">
        <v>0</v>
      </c>
      <c r="D1160">
        <v>373058.79609999998</v>
      </c>
      <c r="E1160">
        <v>0</v>
      </c>
      <c r="F1160">
        <v>697307.28749999998</v>
      </c>
      <c r="G1160" s="1">
        <v>3.3899999999999997E-5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0</v>
      </c>
      <c r="M1160" s="1">
        <f t="shared" si="75"/>
        <v>0</v>
      </c>
      <c r="N1160" s="1">
        <f t="shared" si="76"/>
        <v>5.587857444244284E-2</v>
      </c>
      <c r="O1160" s="1"/>
    </row>
    <row r="1161" spans="1:15" x14ac:dyDescent="0.25">
      <c r="A1161">
        <v>1908</v>
      </c>
      <c r="B1161">
        <v>166255.54569999999</v>
      </c>
      <c r="C1161">
        <v>0</v>
      </c>
      <c r="D1161">
        <v>650693.90099999995</v>
      </c>
      <c r="E1161">
        <v>0</v>
      </c>
      <c r="F1161">
        <v>1068173.5630000001</v>
      </c>
      <c r="G1161">
        <v>9946.959347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0</v>
      </c>
      <c r="M1161" s="1">
        <f t="shared" si="75"/>
        <v>0</v>
      </c>
      <c r="N1161" s="1">
        <f t="shared" si="76"/>
        <v>6043002.899759762</v>
      </c>
      <c r="O1161" s="1"/>
    </row>
    <row r="1162" spans="1:15" x14ac:dyDescent="0.25">
      <c r="A1162">
        <v>1910</v>
      </c>
      <c r="B1162">
        <v>130662.7834</v>
      </c>
      <c r="C1162">
        <v>0</v>
      </c>
      <c r="D1162">
        <v>569703.91159999999</v>
      </c>
      <c r="E1162">
        <v>0</v>
      </c>
      <c r="F1162">
        <v>946225.47600000002</v>
      </c>
      <c r="G1162">
        <v>8686.1024980000002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</v>
      </c>
      <c r="M1162" s="1">
        <f t="shared" si="75"/>
        <v>0</v>
      </c>
      <c r="N1162" s="1">
        <f t="shared" si="76"/>
        <v>11206166.822220167</v>
      </c>
      <c r="O1162" s="1"/>
    </row>
    <row r="1163" spans="1:15" x14ac:dyDescent="0.25">
      <c r="A1163">
        <v>1911</v>
      </c>
      <c r="B1163">
        <v>173065.7788</v>
      </c>
      <c r="C1163">
        <v>0</v>
      </c>
      <c r="D1163">
        <v>644517.29709999997</v>
      </c>
      <c r="E1163">
        <v>0</v>
      </c>
      <c r="F1163">
        <v>1047559.023</v>
      </c>
      <c r="G1163">
        <v>7811.3500320000003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0</v>
      </c>
      <c r="M1163" s="1">
        <f t="shared" si="75"/>
        <v>0</v>
      </c>
      <c r="N1163" s="1">
        <f t="shared" si="76"/>
        <v>3861545.7962223738</v>
      </c>
      <c r="O1163" s="1"/>
    </row>
    <row r="1164" spans="1:15" x14ac:dyDescent="0.25">
      <c r="A1164">
        <v>1912</v>
      </c>
      <c r="B1164">
        <v>177878.72659999999</v>
      </c>
      <c r="C1164">
        <v>0</v>
      </c>
      <c r="D1164">
        <v>630968.9926</v>
      </c>
      <c r="E1164">
        <v>0</v>
      </c>
      <c r="F1164">
        <v>1053737.2139999999</v>
      </c>
      <c r="G1164">
        <v>8765.4512020000002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0</v>
      </c>
      <c r="M1164" s="1">
        <f t="shared" si="75"/>
        <v>0</v>
      </c>
      <c r="N1164" s="1">
        <f t="shared" si="76"/>
        <v>7892441.4877107283</v>
      </c>
      <c r="O1164" s="1"/>
    </row>
    <row r="1165" spans="1:15" x14ac:dyDescent="0.25">
      <c r="A1165">
        <v>1913</v>
      </c>
      <c r="B1165">
        <v>277814.65639999998</v>
      </c>
      <c r="C1165">
        <v>0</v>
      </c>
      <c r="D1165">
        <v>710425.37479999999</v>
      </c>
      <c r="E1165">
        <v>0</v>
      </c>
      <c r="F1165">
        <v>1159791.1299999999</v>
      </c>
      <c r="G1165">
        <v>7857.3869070000001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</v>
      </c>
      <c r="M1165" s="1">
        <f t="shared" si="75"/>
        <v>0</v>
      </c>
      <c r="N1165" s="1">
        <f t="shared" si="76"/>
        <v>14959760.985996885</v>
      </c>
      <c r="O1165" s="1"/>
    </row>
    <row r="1166" spans="1:15" x14ac:dyDescent="0.25">
      <c r="A1166">
        <v>1914</v>
      </c>
      <c r="B1166">
        <v>213204.50169999999</v>
      </c>
      <c r="C1166">
        <v>0</v>
      </c>
      <c r="D1166">
        <v>675998.57440000004</v>
      </c>
      <c r="E1166">
        <v>0</v>
      </c>
      <c r="F1166">
        <v>1114619.8459999999</v>
      </c>
      <c r="G1166">
        <v>13873.4637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</v>
      </c>
      <c r="M1166" s="1">
        <f t="shared" si="75"/>
        <v>0</v>
      </c>
      <c r="N1166" s="1">
        <f t="shared" si="76"/>
        <v>8208556.3016015645</v>
      </c>
      <c r="O1166" s="1"/>
    </row>
    <row r="1167" spans="1:15" x14ac:dyDescent="0.25">
      <c r="A1167">
        <v>1915</v>
      </c>
      <c r="B1167">
        <v>206855.95680000001</v>
      </c>
      <c r="C1167">
        <v>0</v>
      </c>
      <c r="D1167">
        <v>651131.56209999998</v>
      </c>
      <c r="E1167">
        <v>0</v>
      </c>
      <c r="F1167">
        <v>1082876.497</v>
      </c>
      <c r="G1167">
        <v>14045.07525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</v>
      </c>
      <c r="M1167" s="1">
        <f t="shared" si="75"/>
        <v>0</v>
      </c>
      <c r="N1167" s="1">
        <f t="shared" si="76"/>
        <v>12295291.970705412</v>
      </c>
      <c r="O1167" s="1"/>
    </row>
    <row r="1168" spans="1:15" x14ac:dyDescent="0.25">
      <c r="A1168">
        <v>1916</v>
      </c>
      <c r="B1168">
        <v>325326.71669999999</v>
      </c>
      <c r="C1168">
        <v>0</v>
      </c>
      <c r="D1168">
        <v>755381.67720000003</v>
      </c>
      <c r="E1168">
        <v>830.83360000000005</v>
      </c>
      <c r="F1168">
        <v>1231100.067</v>
      </c>
      <c r="G1168">
        <v>10772.650680000001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</v>
      </c>
      <c r="M1168" s="1">
        <f t="shared" si="75"/>
        <v>3907627.3298659921</v>
      </c>
      <c r="N1168" s="1">
        <f t="shared" si="76"/>
        <v>23706385.495127983</v>
      </c>
      <c r="O1168" s="1"/>
    </row>
    <row r="1169" spans="1:15" x14ac:dyDescent="0.25">
      <c r="A1169">
        <v>1917</v>
      </c>
      <c r="B1169">
        <v>324896.75540000002</v>
      </c>
      <c r="C1169">
        <v>0</v>
      </c>
      <c r="D1169">
        <v>754047.86239999998</v>
      </c>
      <c r="E1169">
        <v>830.83360000000005</v>
      </c>
      <c r="F1169">
        <v>1238182.557</v>
      </c>
      <c r="G1169">
        <v>10772.650799999999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</v>
      </c>
      <c r="M1169" s="1">
        <f t="shared" si="75"/>
        <v>3678006.1230255091</v>
      </c>
      <c r="N1169" s="1">
        <f t="shared" si="76"/>
        <v>22313343.780440833</v>
      </c>
      <c r="O1169" s="1"/>
    </row>
    <row r="1170" spans="1:15" x14ac:dyDescent="0.25">
      <c r="A1170">
        <v>1918</v>
      </c>
      <c r="B1170">
        <v>388447.33010000002</v>
      </c>
      <c r="C1170">
        <v>0</v>
      </c>
      <c r="D1170">
        <v>767041.00970000005</v>
      </c>
      <c r="E1170">
        <v>830.83360000000005</v>
      </c>
      <c r="F1170">
        <v>1246894.149</v>
      </c>
      <c r="G1170">
        <v>11085.70818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</v>
      </c>
      <c r="M1170" s="1">
        <f t="shared" si="75"/>
        <v>2357989.5255880821</v>
      </c>
      <c r="N1170" s="1">
        <f t="shared" si="76"/>
        <v>14720919.578836435</v>
      </c>
      <c r="O1170" s="1"/>
    </row>
    <row r="1171" spans="1:15" x14ac:dyDescent="0.25">
      <c r="A1171">
        <v>1919</v>
      </c>
      <c r="B1171">
        <v>359433.22570000001</v>
      </c>
      <c r="C1171">
        <v>0</v>
      </c>
      <c r="D1171">
        <v>747715.07680000004</v>
      </c>
      <c r="E1171">
        <v>830.83360000000005</v>
      </c>
      <c r="F1171">
        <v>1228771.6089999999</v>
      </c>
      <c r="G1171">
        <v>11111.72085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</v>
      </c>
      <c r="M1171" s="1">
        <f t="shared" si="75"/>
        <v>4995300.7375301784</v>
      </c>
      <c r="N1171" s="1">
        <f t="shared" si="76"/>
        <v>31258820.645009201</v>
      </c>
      <c r="O1171" s="1"/>
    </row>
    <row r="1172" spans="1:15" x14ac:dyDescent="0.25">
      <c r="A1172">
        <v>1922</v>
      </c>
      <c r="B1172">
        <v>27620.696070000002</v>
      </c>
      <c r="C1172">
        <v>0</v>
      </c>
      <c r="D1172">
        <v>476920.43560000003</v>
      </c>
      <c r="E1172">
        <v>0</v>
      </c>
      <c r="F1172">
        <v>835523.58790000004</v>
      </c>
      <c r="G1172">
        <v>7198.8240230000001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0</v>
      </c>
      <c r="M1172" s="1">
        <f t="shared" si="75"/>
        <v>0</v>
      </c>
      <c r="N1172" s="1">
        <f t="shared" si="76"/>
        <v>33697356.060432844</v>
      </c>
      <c r="O1172" s="1"/>
    </row>
    <row r="1173" spans="1:15" x14ac:dyDescent="0.25">
      <c r="A1173">
        <v>1923</v>
      </c>
      <c r="B1173">
        <v>17924.379110000002</v>
      </c>
      <c r="C1173">
        <v>0</v>
      </c>
      <c r="D1173">
        <v>458576.4325</v>
      </c>
      <c r="E1173">
        <v>0</v>
      </c>
      <c r="F1173">
        <v>812611.6152</v>
      </c>
      <c r="G1173">
        <v>6687.015993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0</v>
      </c>
      <c r="M1173" s="1">
        <f t="shared" si="75"/>
        <v>0</v>
      </c>
      <c r="N1173" s="1">
        <f t="shared" si="76"/>
        <v>23461024.686551202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>
        <v>0</v>
      </c>
      <c r="F1174">
        <v>758196.98910000001</v>
      </c>
      <c r="G1174">
        <v>830.8336104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0</v>
      </c>
      <c r="M1174" s="1">
        <f t="shared" si="75"/>
        <v>0</v>
      </c>
      <c r="N1174" s="1">
        <f t="shared" si="76"/>
        <v>2938311.2070677555</v>
      </c>
      <c r="O1174" s="1"/>
    </row>
    <row r="1175" spans="1:15" x14ac:dyDescent="0.25">
      <c r="A1175">
        <v>1925</v>
      </c>
      <c r="B1175">
        <v>55154.168680000002</v>
      </c>
      <c r="C1175">
        <v>0</v>
      </c>
      <c r="D1175">
        <v>526444.93359999999</v>
      </c>
      <c r="E1175">
        <v>0</v>
      </c>
      <c r="F1175">
        <v>926522.57649999997</v>
      </c>
      <c r="G1175">
        <v>8535.4551479999991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0</v>
      </c>
      <c r="M1175" s="1">
        <f t="shared" si="75"/>
        <v>0</v>
      </c>
      <c r="N1175" s="1">
        <f t="shared" si="76"/>
        <v>14296665.70725357</v>
      </c>
      <c r="O1175" s="1"/>
    </row>
    <row r="1176" spans="1:15" x14ac:dyDescent="0.25">
      <c r="A1176">
        <v>1926</v>
      </c>
      <c r="B1176">
        <v>120465.3318</v>
      </c>
      <c r="C1176">
        <v>0</v>
      </c>
      <c r="D1176">
        <v>616026.60739999998</v>
      </c>
      <c r="E1176">
        <v>0</v>
      </c>
      <c r="F1176">
        <v>1019127.36</v>
      </c>
      <c r="G1176">
        <v>9572.3107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0</v>
      </c>
      <c r="M1176" s="1">
        <f t="shared" si="75"/>
        <v>0</v>
      </c>
      <c r="N1176" s="1">
        <f t="shared" si="76"/>
        <v>2518546.0615723017</v>
      </c>
      <c r="O1176" s="1"/>
    </row>
    <row r="1177" spans="1:15" x14ac:dyDescent="0.25">
      <c r="A1177">
        <v>1927</v>
      </c>
      <c r="B1177">
        <v>117606.76360000001</v>
      </c>
      <c r="C1177">
        <v>0</v>
      </c>
      <c r="D1177">
        <v>601242.7781</v>
      </c>
      <c r="E1177">
        <v>0</v>
      </c>
      <c r="F1177">
        <v>1015212.3419999999</v>
      </c>
      <c r="G1177">
        <v>9572.3105379999997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0</v>
      </c>
      <c r="M1177" s="1">
        <f t="shared" si="75"/>
        <v>0</v>
      </c>
      <c r="N1177" s="1">
        <f t="shared" si="76"/>
        <v>13471952.27696339</v>
      </c>
      <c r="O1177" s="1"/>
    </row>
    <row r="1178" spans="1:15" x14ac:dyDescent="0.25">
      <c r="A1178">
        <v>1928</v>
      </c>
      <c r="B1178">
        <v>14448.08964</v>
      </c>
      <c r="C1178">
        <v>0</v>
      </c>
      <c r="D1178">
        <v>342837.46620000002</v>
      </c>
      <c r="E1178">
        <v>0</v>
      </c>
      <c r="F1178">
        <v>696148.13379999995</v>
      </c>
      <c r="G1178" s="1">
        <v>1.2799999999999999E-5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0</v>
      </c>
      <c r="M1178" s="1">
        <f t="shared" si="75"/>
        <v>0</v>
      </c>
      <c r="N1178" s="1">
        <f t="shared" si="76"/>
        <v>1.6798241746099198E-2</v>
      </c>
      <c r="O1178" s="1"/>
    </row>
    <row r="1179" spans="1:15" x14ac:dyDescent="0.25">
      <c r="A1179">
        <v>1929</v>
      </c>
      <c r="B1179">
        <v>93551.515029999995</v>
      </c>
      <c r="C1179">
        <v>0</v>
      </c>
      <c r="D1179">
        <v>553471.84970000002</v>
      </c>
      <c r="E1179">
        <v>0</v>
      </c>
      <c r="F1179">
        <v>938302.85739999998</v>
      </c>
      <c r="G1179">
        <v>8535.4551100000008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0</v>
      </c>
      <c r="M1179" s="1">
        <f t="shared" si="75"/>
        <v>0</v>
      </c>
      <c r="N1179" s="1">
        <f t="shared" si="76"/>
        <v>13650995.195854381</v>
      </c>
      <c r="O1179" s="1"/>
    </row>
    <row r="1180" spans="1:15" x14ac:dyDescent="0.25">
      <c r="A1180">
        <v>1930</v>
      </c>
      <c r="B1180">
        <v>18449.786349999998</v>
      </c>
      <c r="C1180">
        <v>0</v>
      </c>
      <c r="D1180">
        <v>450778.00589999999</v>
      </c>
      <c r="E1180">
        <v>0</v>
      </c>
      <c r="F1180">
        <v>819871.09620000003</v>
      </c>
      <c r="G1180">
        <v>6687.0159990000002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0</v>
      </c>
      <c r="M1180" s="1">
        <f t="shared" si="75"/>
        <v>0</v>
      </c>
      <c r="N1180" s="1">
        <f t="shared" si="76"/>
        <v>8312648.1768544307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>
        <v>0</v>
      </c>
      <c r="F1181">
        <v>795773.66830000002</v>
      </c>
      <c r="G1181">
        <v>830.83353709999994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0</v>
      </c>
      <c r="N1181" s="1">
        <f t="shared" si="76"/>
        <v>991607.25311579229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 s="1">
        <v>-3.65E-5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0</v>
      </c>
      <c r="M1182" s="1">
        <f t="shared" si="75"/>
        <v>0</v>
      </c>
      <c r="N1182" s="1">
        <f t="shared" si="76"/>
        <v>-0.27353475017122053</v>
      </c>
      <c r="O1182" s="1"/>
    </row>
    <row r="1183" spans="1:15" x14ac:dyDescent="0.25">
      <c r="A1183">
        <v>1933</v>
      </c>
      <c r="B1183">
        <v>17119.15451</v>
      </c>
      <c r="C1183">
        <v>0</v>
      </c>
      <c r="D1183">
        <v>461130.32410000003</v>
      </c>
      <c r="E1183">
        <v>0</v>
      </c>
      <c r="F1183">
        <v>792956.56299999997</v>
      </c>
      <c r="G1183">
        <v>830.83362820000002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0</v>
      </c>
      <c r="M1183" s="1">
        <f t="shared" si="75"/>
        <v>0</v>
      </c>
      <c r="N1183" s="1">
        <f t="shared" si="76"/>
        <v>2157509.0879517402</v>
      </c>
      <c r="O1183" s="1"/>
    </row>
    <row r="1184" spans="1:15" x14ac:dyDescent="0.25">
      <c r="A1184">
        <v>1934</v>
      </c>
      <c r="B1184">
        <v>18221.793529999999</v>
      </c>
      <c r="C1184">
        <v>0</v>
      </c>
      <c r="D1184">
        <v>445462.46590000001</v>
      </c>
      <c r="E1184">
        <v>0</v>
      </c>
      <c r="F1184">
        <v>806057.06480000005</v>
      </c>
      <c r="G1184">
        <v>830.83355229999995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0</v>
      </c>
      <c r="M1184" s="1">
        <f t="shared" si="75"/>
        <v>0</v>
      </c>
      <c r="N1184" s="1">
        <f t="shared" si="76"/>
        <v>1435533.3929095396</v>
      </c>
      <c r="O1184" s="1"/>
    </row>
    <row r="1185" spans="1:15" x14ac:dyDescent="0.25">
      <c r="A1185">
        <v>1935</v>
      </c>
      <c r="B1185">
        <v>6484.1431249999996</v>
      </c>
      <c r="C1185">
        <v>0</v>
      </c>
      <c r="D1185">
        <v>76040.034039999999</v>
      </c>
      <c r="E1185">
        <v>0</v>
      </c>
      <c r="F1185">
        <v>536179.5882</v>
      </c>
      <c r="G1185" s="1">
        <v>8.2800000000000003E-6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0</v>
      </c>
      <c r="M1185" s="1">
        <f t="shared" si="75"/>
        <v>0</v>
      </c>
      <c r="N1185" s="1">
        <f t="shared" si="76"/>
        <v>2.435798775840315E-2</v>
      </c>
      <c r="O1185" s="1"/>
    </row>
    <row r="1186" spans="1:15" x14ac:dyDescent="0.25">
      <c r="A1186">
        <v>1936</v>
      </c>
      <c r="B1186">
        <v>13528.77432</v>
      </c>
      <c r="C1186">
        <v>0</v>
      </c>
      <c r="D1186">
        <v>302106.62729999999</v>
      </c>
      <c r="E1186">
        <v>0</v>
      </c>
      <c r="F1186">
        <v>664838.37289999996</v>
      </c>
      <c r="G1186" s="1">
        <v>-3.2700000000000002E-5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0</v>
      </c>
      <c r="M1186" s="1">
        <f t="shared" si="75"/>
        <v>0</v>
      </c>
      <c r="N1186" s="1">
        <f t="shared" si="76"/>
        <v>-0.17876639397570843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>
        <v>0</v>
      </c>
      <c r="F1187">
        <v>518662.3946</v>
      </c>
      <c r="G1187" s="1">
        <v>1.1199999999999999E-5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0</v>
      </c>
      <c r="M1187" s="1">
        <f t="shared" si="75"/>
        <v>0</v>
      </c>
      <c r="N1187" s="1">
        <f t="shared" si="76"/>
        <v>3.8008379117321758E-2</v>
      </c>
      <c r="O1187" s="1"/>
    </row>
    <row r="1188" spans="1:15" x14ac:dyDescent="0.25">
      <c r="A1188">
        <v>1940</v>
      </c>
      <c r="B1188">
        <v>400095.93150000001</v>
      </c>
      <c r="C1188">
        <v>0</v>
      </c>
      <c r="D1188">
        <v>738755.72620000003</v>
      </c>
      <c r="E1188">
        <v>830.83360000000005</v>
      </c>
      <c r="F1188">
        <v>1229026.149</v>
      </c>
      <c r="G1188">
        <v>10074.869280000001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0</v>
      </c>
      <c r="M1188" s="1">
        <f t="shared" si="75"/>
        <v>1374834.8674490657</v>
      </c>
      <c r="N1188" s="1">
        <f t="shared" si="76"/>
        <v>7800448.6861855332</v>
      </c>
      <c r="O1188" s="1"/>
    </row>
    <row r="1189" spans="1:15" x14ac:dyDescent="0.25">
      <c r="A1189">
        <v>1941</v>
      </c>
      <c r="B1189">
        <v>313484.36489999999</v>
      </c>
      <c r="C1189">
        <v>0</v>
      </c>
      <c r="D1189">
        <v>669743.20039999997</v>
      </c>
      <c r="E1189">
        <v>3925.9695999999999</v>
      </c>
      <c r="F1189">
        <v>1160795.0619999999</v>
      </c>
      <c r="G1189">
        <v>10516.521000000001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0</v>
      </c>
      <c r="M1189" s="1">
        <f t="shared" si="75"/>
        <v>18640604.542026058</v>
      </c>
      <c r="N1189" s="1">
        <f t="shared" si="76"/>
        <v>23363012.008256238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>
        <v>0</v>
      </c>
      <c r="F1190">
        <v>930250.10629999998</v>
      </c>
      <c r="G1190">
        <v>8897.0873699999993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</v>
      </c>
      <c r="M1190" s="1">
        <f t="shared" si="75"/>
        <v>0</v>
      </c>
      <c r="N1190" s="1">
        <f t="shared" si="76"/>
        <v>24638959.365528177</v>
      </c>
      <c r="O1190" s="1"/>
    </row>
    <row r="1191" spans="1:15" x14ac:dyDescent="0.25">
      <c r="A1191">
        <v>1943</v>
      </c>
      <c r="B1191">
        <v>380319.97149999999</v>
      </c>
      <c r="C1191">
        <v>0</v>
      </c>
      <c r="D1191">
        <v>735310.23250000004</v>
      </c>
      <c r="E1191">
        <v>830.83360000000005</v>
      </c>
      <c r="F1191">
        <v>1205344.74</v>
      </c>
      <c r="G1191">
        <v>10344.49956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0</v>
      </c>
      <c r="M1191" s="1">
        <f t="shared" si="75"/>
        <v>1445390.6282774939</v>
      </c>
      <c r="N1191" s="1">
        <f t="shared" si="76"/>
        <v>8420237.5995756593</v>
      </c>
      <c r="O1191" s="1"/>
    </row>
    <row r="1192" spans="1:15" x14ac:dyDescent="0.25">
      <c r="A1192">
        <v>1944</v>
      </c>
      <c r="B1192">
        <v>50796.720739999997</v>
      </c>
      <c r="C1192">
        <v>0</v>
      </c>
      <c r="D1192">
        <v>499771.87709999998</v>
      </c>
      <c r="E1192">
        <v>0</v>
      </c>
      <c r="F1192">
        <v>859946.40350000001</v>
      </c>
      <c r="G1192">
        <v>9386.3724949999996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0</v>
      </c>
      <c r="M1192" s="1">
        <f t="shared" si="75"/>
        <v>0</v>
      </c>
      <c r="N1192" s="1">
        <f t="shared" si="76"/>
        <v>18590996.339200765</v>
      </c>
      <c r="O1192" s="1"/>
    </row>
    <row r="1193" spans="1:15" x14ac:dyDescent="0.25">
      <c r="A1193">
        <v>1945</v>
      </c>
      <c r="B1193">
        <v>519230.30839999998</v>
      </c>
      <c r="C1193">
        <v>0</v>
      </c>
      <c r="D1193">
        <v>913221.14599999995</v>
      </c>
      <c r="E1193">
        <v>8142.3455000000004</v>
      </c>
      <c r="F1193">
        <v>1345850.9709999999</v>
      </c>
      <c r="G1193">
        <v>1487.946148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0</v>
      </c>
      <c r="M1193" s="1">
        <f t="shared" si="75"/>
        <v>27052097.210214041</v>
      </c>
      <c r="N1193" s="1">
        <f t="shared" si="76"/>
        <v>2313035.5321941632</v>
      </c>
      <c r="O1193" s="1"/>
    </row>
    <row r="1194" spans="1:15" x14ac:dyDescent="0.25">
      <c r="A1194">
        <v>1946</v>
      </c>
      <c r="B1194">
        <v>281867.30800000002</v>
      </c>
      <c r="C1194">
        <v>0</v>
      </c>
      <c r="D1194">
        <v>674127.41540000006</v>
      </c>
      <c r="E1194">
        <v>830.83360000000005</v>
      </c>
      <c r="F1194">
        <v>1121695.422</v>
      </c>
      <c r="G1194">
        <v>10374.741480000001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</v>
      </c>
      <c r="M1194" s="1">
        <f t="shared" si="75"/>
        <v>2017650.6626599622</v>
      </c>
      <c r="N1194" s="1">
        <f t="shared" si="76"/>
        <v>11788346.277104774</v>
      </c>
      <c r="O1194" s="1"/>
    </row>
    <row r="1195" spans="1:15" x14ac:dyDescent="0.25">
      <c r="A1195">
        <v>1947</v>
      </c>
      <c r="B1195">
        <v>538819.43770000001</v>
      </c>
      <c r="C1195">
        <v>0</v>
      </c>
      <c r="D1195">
        <v>974262.90830000001</v>
      </c>
      <c r="E1195">
        <v>7835.1850999999997</v>
      </c>
      <c r="F1195">
        <v>1425049.8060000001</v>
      </c>
      <c r="G1195">
        <v>777.33797500000003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0</v>
      </c>
      <c r="M1195" s="1">
        <f t="shared" si="75"/>
        <v>8402066.2816453837</v>
      </c>
      <c r="N1195" s="1">
        <f t="shared" si="76"/>
        <v>390023.1677198417</v>
      </c>
      <c r="O1195" s="1"/>
    </row>
    <row r="1196" spans="1:15" x14ac:dyDescent="0.25">
      <c r="A1196">
        <v>1948</v>
      </c>
      <c r="B1196">
        <v>463682.00199999998</v>
      </c>
      <c r="C1196">
        <v>0</v>
      </c>
      <c r="D1196">
        <v>873374.10419999994</v>
      </c>
      <c r="E1196">
        <v>830.83360000000005</v>
      </c>
      <c r="F1196">
        <v>1335064.415</v>
      </c>
      <c r="G1196">
        <v>1278.833294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0</v>
      </c>
      <c r="M1196" s="1">
        <f t="shared" si="75"/>
        <v>1086516.5380180182</v>
      </c>
      <c r="N1196" s="1">
        <f t="shared" si="76"/>
        <v>782491.99279104907</v>
      </c>
      <c r="O1196" s="1"/>
    </row>
    <row r="1197" spans="1:15" x14ac:dyDescent="0.25">
      <c r="A1197">
        <v>1949</v>
      </c>
      <c r="B1197">
        <v>315545.78970000002</v>
      </c>
      <c r="C1197">
        <v>0</v>
      </c>
      <c r="D1197">
        <v>741515.55599999998</v>
      </c>
      <c r="E1197">
        <v>0</v>
      </c>
      <c r="F1197">
        <v>1210524.4550000001</v>
      </c>
      <c r="G1197">
        <v>9463.5632850000002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0</v>
      </c>
      <c r="M1197" s="1">
        <f t="shared" si="75"/>
        <v>0</v>
      </c>
      <c r="N1197" s="1">
        <f t="shared" si="76"/>
        <v>3030561.1602080655</v>
      </c>
      <c r="O1197" s="1"/>
    </row>
    <row r="1198" spans="1:15" x14ac:dyDescent="0.25">
      <c r="A1198">
        <v>1950</v>
      </c>
      <c r="B1198">
        <v>395326.16100000002</v>
      </c>
      <c r="C1198">
        <v>0</v>
      </c>
      <c r="D1198">
        <v>783042.96100000001</v>
      </c>
      <c r="E1198">
        <v>0</v>
      </c>
      <c r="F1198">
        <v>1263959.1159999999</v>
      </c>
      <c r="G1198">
        <v>9575.8566050000009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0</v>
      </c>
      <c r="M1198" s="1">
        <f t="shared" si="75"/>
        <v>0</v>
      </c>
      <c r="N1198" s="1">
        <f t="shared" si="76"/>
        <v>14954198.362560129</v>
      </c>
      <c r="O1198" s="1"/>
    </row>
    <row r="1199" spans="1:15" x14ac:dyDescent="0.25">
      <c r="A1199">
        <v>1951</v>
      </c>
      <c r="B1199">
        <v>573376.3811</v>
      </c>
      <c r="C1199">
        <v>0</v>
      </c>
      <c r="D1199">
        <v>1026006.527</v>
      </c>
      <c r="E1199">
        <v>8853.2450000000008</v>
      </c>
      <c r="F1199">
        <v>1441035.5390000001</v>
      </c>
      <c r="G1199">
        <v>-1.7537E-4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0</v>
      </c>
      <c r="M1199" s="1">
        <f t="shared" si="75"/>
        <v>8355818.8345220275</v>
      </c>
      <c r="N1199" s="1">
        <f t="shared" si="76"/>
        <v>-7.7443596342996954E-2</v>
      </c>
      <c r="O1199" s="1"/>
    </row>
    <row r="1200" spans="1:15" x14ac:dyDescent="0.25">
      <c r="A1200">
        <v>1952</v>
      </c>
      <c r="B1200">
        <v>491741.96990000003</v>
      </c>
      <c r="C1200">
        <v>0</v>
      </c>
      <c r="D1200">
        <v>897905.74650000001</v>
      </c>
      <c r="E1200">
        <v>6687.0159999999996</v>
      </c>
      <c r="F1200">
        <v>1355897.716</v>
      </c>
      <c r="G1200">
        <v>1255.4989660000001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0</v>
      </c>
      <c r="M1200" s="1">
        <f t="shared" si="75"/>
        <v>3761054.1219207356</v>
      </c>
      <c r="N1200" s="1">
        <f t="shared" si="76"/>
        <v>330397.88471442839</v>
      </c>
      <c r="O1200" s="1"/>
    </row>
    <row r="1201" spans="1:15" x14ac:dyDescent="0.25">
      <c r="A1201">
        <v>1953</v>
      </c>
      <c r="B1201">
        <v>510026.8469</v>
      </c>
      <c r="C1201">
        <v>0</v>
      </c>
      <c r="D1201">
        <v>917272.58669999999</v>
      </c>
      <c r="E1201">
        <v>8686.1025000000009</v>
      </c>
      <c r="F1201">
        <v>1375388.037</v>
      </c>
      <c r="G1201">
        <v>1179.2407539999999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0</v>
      </c>
      <c r="M1201" s="1">
        <f t="shared" si="75"/>
        <v>4304499.0000900906</v>
      </c>
      <c r="N1201" s="1">
        <f t="shared" si="76"/>
        <v>273428.52474739478</v>
      </c>
      <c r="O1201" s="1"/>
    </row>
    <row r="1202" spans="1:15" x14ac:dyDescent="0.25">
      <c r="A1202">
        <v>1954</v>
      </c>
      <c r="B1202">
        <v>396288.97499999998</v>
      </c>
      <c r="C1202">
        <v>0</v>
      </c>
      <c r="D1202">
        <v>782510.67709999997</v>
      </c>
      <c r="E1202">
        <v>830.83360000000005</v>
      </c>
      <c r="F1202">
        <v>1261973.69</v>
      </c>
      <c r="G1202">
        <v>11451.341479999999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0</v>
      </c>
      <c r="M1202" s="1">
        <f t="shared" si="75"/>
        <v>1630159.5432546153</v>
      </c>
      <c r="N1202" s="1">
        <f t="shared" si="76"/>
        <v>10512744.337902427</v>
      </c>
      <c r="O1202" s="1"/>
    </row>
    <row r="1203" spans="1:15" x14ac:dyDescent="0.25">
      <c r="A1203">
        <v>1955</v>
      </c>
      <c r="B1203">
        <v>580875.98620000004</v>
      </c>
      <c r="C1203">
        <v>0</v>
      </c>
      <c r="D1203">
        <v>999974.48219999997</v>
      </c>
      <c r="E1203">
        <v>15252.551799999999</v>
      </c>
      <c r="F1203">
        <v>1416672.784</v>
      </c>
      <c r="G1203">
        <v>1929.13294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0</v>
      </c>
      <c r="M1203" s="1">
        <f t="shared" si="75"/>
        <v>4188849.8238149984</v>
      </c>
      <c r="N1203" s="1">
        <f t="shared" si="76"/>
        <v>247889.49162126984</v>
      </c>
      <c r="O1203" s="1"/>
    </row>
    <row r="1204" spans="1:15" x14ac:dyDescent="0.25">
      <c r="A1204">
        <v>1956</v>
      </c>
      <c r="B1204">
        <v>490418.26929999999</v>
      </c>
      <c r="C1204">
        <v>0</v>
      </c>
      <c r="D1204">
        <v>882053.29119999998</v>
      </c>
      <c r="E1204">
        <v>8555.5390000000007</v>
      </c>
      <c r="F1204">
        <v>1327578.591</v>
      </c>
      <c r="G1204">
        <v>595.83256089999998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0</v>
      </c>
      <c r="M1204" s="1">
        <f t="shared" si="75"/>
        <v>8638323.8153754044</v>
      </c>
      <c r="N1204" s="1">
        <f t="shared" si="76"/>
        <v>281481.60292020295</v>
      </c>
      <c r="O1204" s="1"/>
    </row>
    <row r="1205" spans="1:15" x14ac:dyDescent="0.25">
      <c r="A1205">
        <v>1957</v>
      </c>
      <c r="B1205">
        <v>540194.6237</v>
      </c>
      <c r="C1205">
        <v>0</v>
      </c>
      <c r="D1205">
        <v>940906.2463</v>
      </c>
      <c r="E1205">
        <v>8142.3455000000004</v>
      </c>
      <c r="F1205">
        <v>1377150.0560000001</v>
      </c>
      <c r="G1205">
        <v>1487.9454699999999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0</v>
      </c>
      <c r="M1205" s="1">
        <f t="shared" si="75"/>
        <v>9385476.0364486054</v>
      </c>
      <c r="N1205" s="1">
        <f t="shared" si="76"/>
        <v>802486.01423532411</v>
      </c>
      <c r="O1205" s="1"/>
    </row>
    <row r="1206" spans="1:15" x14ac:dyDescent="0.25">
      <c r="A1206">
        <v>1958</v>
      </c>
      <c r="B1206">
        <v>440354.11109999998</v>
      </c>
      <c r="C1206">
        <v>0</v>
      </c>
      <c r="D1206">
        <v>794380.27159999998</v>
      </c>
      <c r="E1206">
        <v>8376.3858999999993</v>
      </c>
      <c r="F1206">
        <v>1246931.5190000001</v>
      </c>
      <c r="G1206">
        <v>10329.288619999999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0</v>
      </c>
      <c r="M1206" s="1">
        <f t="shared" si="75"/>
        <v>22520951.35062521</v>
      </c>
      <c r="N1206" s="1">
        <f t="shared" si="76"/>
        <v>12994038.407945771</v>
      </c>
      <c r="O1206" s="1"/>
    </row>
    <row r="1207" spans="1:15" x14ac:dyDescent="0.25">
      <c r="A1207">
        <v>1959</v>
      </c>
      <c r="B1207">
        <v>300112.31099999999</v>
      </c>
      <c r="C1207">
        <v>0</v>
      </c>
      <c r="D1207">
        <v>688492.47719999996</v>
      </c>
      <c r="E1207">
        <v>830.83360000000005</v>
      </c>
      <c r="F1207">
        <v>1147216.709</v>
      </c>
      <c r="G1207">
        <v>10005.429330000001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0</v>
      </c>
      <c r="M1207" s="1">
        <f t="shared" si="75"/>
        <v>1487960.3507925151</v>
      </c>
      <c r="N1207" s="1">
        <f t="shared" si="76"/>
        <v>8384105.1067610253</v>
      </c>
      <c r="O1207" s="1"/>
    </row>
    <row r="1208" spans="1:15" x14ac:dyDescent="0.25">
      <c r="A1208">
        <v>1960</v>
      </c>
      <c r="B1208">
        <v>575404.92590000003</v>
      </c>
      <c r="C1208">
        <v>0</v>
      </c>
      <c r="D1208">
        <v>992720.52339999995</v>
      </c>
      <c r="E1208">
        <v>13439.176600000001</v>
      </c>
      <c r="F1208">
        <v>1410977.077</v>
      </c>
      <c r="G1208">
        <v>2029.371795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0</v>
      </c>
      <c r="M1208" s="1">
        <f t="shared" si="75"/>
        <v>29577073.431557517</v>
      </c>
      <c r="N1208" s="1">
        <f t="shared" si="76"/>
        <v>2089718.7378109512</v>
      </c>
      <c r="O1208" s="1"/>
    </row>
    <row r="1209" spans="1:15" x14ac:dyDescent="0.25">
      <c r="A1209">
        <v>1961</v>
      </c>
      <c r="B1209">
        <v>450520.28149999998</v>
      </c>
      <c r="C1209">
        <v>0</v>
      </c>
      <c r="D1209">
        <v>866446.40060000005</v>
      </c>
      <c r="E1209">
        <v>830.83360000000005</v>
      </c>
      <c r="F1209">
        <v>1301455.496</v>
      </c>
      <c r="G1209">
        <v>7061.5321379999996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0</v>
      </c>
      <c r="M1209" s="1">
        <f t="shared" si="75"/>
        <v>587225.15370794339</v>
      </c>
      <c r="N1209" s="1">
        <f t="shared" si="76"/>
        <v>2335249.1180857201</v>
      </c>
      <c r="O1209" s="1"/>
    </row>
    <row r="1210" spans="1:15" x14ac:dyDescent="0.25">
      <c r="A1210">
        <v>1962</v>
      </c>
      <c r="B1210">
        <v>583195.08609999996</v>
      </c>
      <c r="C1210">
        <v>0</v>
      </c>
      <c r="D1210">
        <v>1031766.632</v>
      </c>
      <c r="E1210">
        <v>8535.4560000000001</v>
      </c>
      <c r="F1210">
        <v>1440112.9950000001</v>
      </c>
      <c r="G1210">
        <v>183.2847726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0</v>
      </c>
      <c r="M1210" s="1">
        <f t="shared" si="75"/>
        <v>3752497.137899348</v>
      </c>
      <c r="N1210" s="1">
        <f t="shared" si="76"/>
        <v>37701.940608769779</v>
      </c>
      <c r="O1210" s="1"/>
    </row>
    <row r="1211" spans="1:15" x14ac:dyDescent="0.25">
      <c r="A1211">
        <v>1963</v>
      </c>
      <c r="B1211">
        <v>584528.87049999996</v>
      </c>
      <c r="C1211">
        <v>0</v>
      </c>
      <c r="D1211">
        <v>995534.37670000002</v>
      </c>
      <c r="E1211">
        <v>8943.3883000000005</v>
      </c>
      <c r="F1211">
        <v>1426713.8859999999</v>
      </c>
      <c r="G1211">
        <v>1487.9458050000001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0</v>
      </c>
      <c r="M1211" s="1">
        <f t="shared" si="75"/>
        <v>1777768.2253951547</v>
      </c>
      <c r="N1211" s="1">
        <f t="shared" si="76"/>
        <v>138389.72424912092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0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>
        <v>0</v>
      </c>
      <c r="D1213">
        <v>13537.7916</v>
      </c>
      <c r="E1213">
        <v>0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0</v>
      </c>
      <c r="M1213" s="1">
        <f t="shared" si="75"/>
        <v>0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>
        <v>0</v>
      </c>
      <c r="D1214">
        <v>4238.426692</v>
      </c>
      <c r="E1214">
        <v>0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0</v>
      </c>
      <c r="M1214" s="1">
        <f t="shared" si="75"/>
        <v>0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0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>
        <v>0</v>
      </c>
      <c r="D1216">
        <v>13168.150170000001</v>
      </c>
      <c r="E1216">
        <v>0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0</v>
      </c>
      <c r="M1216" s="1">
        <f t="shared" si="75"/>
        <v>0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>
        <v>0</v>
      </c>
      <c r="D1218">
        <v>13782.166429999999</v>
      </c>
      <c r="E1218">
        <v>0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0</v>
      </c>
      <c r="M1218" s="1">
        <f t="shared" si="75"/>
        <v>0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>
        <v>0</v>
      </c>
      <c r="D1219">
        <v>6971.7113440000003</v>
      </c>
      <c r="E1219">
        <v>0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0</v>
      </c>
      <c r="M1219" s="1">
        <f t="shared" ref="M1219:M1282" si="79">$U$3*$K1219*E1219</f>
        <v>0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 s="1">
        <v>3.01E-6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0</v>
      </c>
      <c r="N1220" s="1">
        <f t="shared" si="80"/>
        <v>3.7789916025155287E-2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>
        <v>0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0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>
        <v>0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0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>
        <v>0</v>
      </c>
      <c r="D1225">
        <v>9439.0626749999992</v>
      </c>
      <c r="E1225">
        <v>0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0</v>
      </c>
      <c r="M1225" s="1">
        <f t="shared" si="79"/>
        <v>0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>
        <v>0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0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>
        <v>0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0</v>
      </c>
      <c r="M1227" s="1">
        <f t="shared" si="79"/>
        <v>0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>
        <v>0</v>
      </c>
      <c r="D1228">
        <v>9864.0800190000009</v>
      </c>
      <c r="E1228">
        <v>0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0</v>
      </c>
      <c r="M1228" s="1">
        <f t="shared" si="79"/>
        <v>0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-4.8491750146248602E-3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>
        <v>0</v>
      </c>
      <c r="F1230">
        <v>54428.795169999998</v>
      </c>
      <c r="G1230" s="1">
        <v>-3.3799999999999998E-7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0</v>
      </c>
      <c r="M1230" s="1">
        <f t="shared" si="79"/>
        <v>0</v>
      </c>
      <c r="N1230" s="1">
        <f t="shared" si="80"/>
        <v>-2.0603366356643461E-3</v>
      </c>
      <c r="O1230" s="1"/>
    </row>
    <row r="1231" spans="1:15" x14ac:dyDescent="0.25">
      <c r="A1231">
        <v>2023</v>
      </c>
      <c r="B1231">
        <v>9255.7899280000001</v>
      </c>
      <c r="C1231">
        <v>0</v>
      </c>
      <c r="D1231">
        <v>29828.891100000001</v>
      </c>
      <c r="E1231">
        <v>0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0</v>
      </c>
      <c r="M1231" s="1">
        <f t="shared" si="79"/>
        <v>0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>
        <v>0</v>
      </c>
      <c r="D1232">
        <v>25107.215609999999</v>
      </c>
      <c r="E1232">
        <v>0</v>
      </c>
      <c r="F1232">
        <v>45947.935319999997</v>
      </c>
      <c r="G1232" s="1">
        <v>5.9999999999999995E-8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</v>
      </c>
      <c r="M1232" s="1">
        <f t="shared" si="79"/>
        <v>0</v>
      </c>
      <c r="N1232" s="1">
        <f t="shared" si="8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>
        <v>0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0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>
        <v>0</v>
      </c>
      <c r="D1234">
        <v>19036.259549999999</v>
      </c>
      <c r="E1234">
        <v>0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0</v>
      </c>
      <c r="M1234" s="1">
        <f t="shared" si="79"/>
        <v>0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>
        <v>0</v>
      </c>
      <c r="D1235">
        <v>30773.48877</v>
      </c>
      <c r="E1235">
        <v>0</v>
      </c>
      <c r="F1235">
        <v>79096.291410000005</v>
      </c>
      <c r="G1235" s="1">
        <v>-4.3799999999999998E-7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0</v>
      </c>
      <c r="M1235" s="1">
        <f t="shared" si="79"/>
        <v>0</v>
      </c>
      <c r="N1235" s="1">
        <f t="shared" si="8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>
        <v>0</v>
      </c>
      <c r="D1236">
        <v>44212.4035</v>
      </c>
      <c r="E1236">
        <v>0</v>
      </c>
      <c r="F1236">
        <v>93860.664539999998</v>
      </c>
      <c r="G1236" s="1">
        <v>-1.9400000000000001E-6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0</v>
      </c>
      <c r="M1236" s="1">
        <f t="shared" si="79"/>
        <v>0</v>
      </c>
      <c r="N1236" s="1">
        <f t="shared" si="80"/>
        <v>-1.6289820007054441E-3</v>
      </c>
      <c r="O1236" s="1"/>
    </row>
    <row r="1237" spans="1:15" x14ac:dyDescent="0.25">
      <c r="A1237">
        <v>2030</v>
      </c>
      <c r="B1237">
        <v>12937.37715</v>
      </c>
      <c r="C1237">
        <v>0</v>
      </c>
      <c r="D1237">
        <v>30997.891909999998</v>
      </c>
      <c r="E1237">
        <v>0</v>
      </c>
      <c r="F1237">
        <v>77928.609370000006</v>
      </c>
      <c r="G1237" s="1">
        <v>2.26E-6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0</v>
      </c>
      <c r="M1237" s="1">
        <f t="shared" si="79"/>
        <v>0</v>
      </c>
      <c r="N1237" s="1">
        <f t="shared" si="80"/>
        <v>1.4725578737670539E-2</v>
      </c>
      <c r="O1237" s="1"/>
    </row>
    <row r="1238" spans="1:15" x14ac:dyDescent="0.25">
      <c r="A1238">
        <v>2031</v>
      </c>
      <c r="B1238">
        <v>10391.73653</v>
      </c>
      <c r="C1238">
        <v>0</v>
      </c>
      <c r="D1238">
        <v>19257.174080000001</v>
      </c>
      <c r="E1238">
        <v>0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0</v>
      </c>
      <c r="M1238" s="1">
        <f t="shared" si="79"/>
        <v>0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>
        <v>0</v>
      </c>
      <c r="D1239">
        <v>18966.368180000001</v>
      </c>
      <c r="E1239">
        <v>0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0</v>
      </c>
      <c r="M1239" s="1">
        <f t="shared" si="79"/>
        <v>0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>
        <v>0</v>
      </c>
      <c r="D1240">
        <v>38918.23416</v>
      </c>
      <c r="E1240">
        <v>0</v>
      </c>
      <c r="F1240">
        <v>85142.728090000004</v>
      </c>
      <c r="G1240" s="1">
        <v>4.8600000000000001E-6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0</v>
      </c>
      <c r="M1240" s="1">
        <f t="shared" si="79"/>
        <v>0</v>
      </c>
      <c r="N1240" s="1">
        <f t="shared" si="80"/>
        <v>8.1682788134785494E-3</v>
      </c>
      <c r="O1240" s="1"/>
    </row>
    <row r="1241" spans="1:15" x14ac:dyDescent="0.25">
      <c r="A1241">
        <v>2034</v>
      </c>
      <c r="B1241">
        <v>12237.03722</v>
      </c>
      <c r="C1241">
        <v>0</v>
      </c>
      <c r="D1241">
        <v>27169.789649999999</v>
      </c>
      <c r="E1241">
        <v>0</v>
      </c>
      <c r="F1241">
        <v>76449.012560000003</v>
      </c>
      <c r="G1241" s="1">
        <v>-4.5399999999999997E-6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</v>
      </c>
      <c r="M1241" s="1">
        <f t="shared" si="79"/>
        <v>0</v>
      </c>
      <c r="N1241" s="1">
        <f t="shared" si="80"/>
        <v>-2.6754849018502745E-2</v>
      </c>
      <c r="O1241" s="1"/>
    </row>
    <row r="1242" spans="1:15" x14ac:dyDescent="0.25">
      <c r="A1242">
        <v>2035</v>
      </c>
      <c r="B1242">
        <v>8704.9951170000004</v>
      </c>
      <c r="C1242">
        <v>0</v>
      </c>
      <c r="D1242">
        <v>35041.358350000002</v>
      </c>
      <c r="E1242">
        <v>0</v>
      </c>
      <c r="F1242">
        <v>81403.781950000004</v>
      </c>
      <c r="G1242" s="1">
        <v>1.7600000000000001E-6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0</v>
      </c>
      <c r="M1242" s="1">
        <f t="shared" si="79"/>
        <v>0</v>
      </c>
      <c r="N1242" s="1">
        <f t="shared" si="80"/>
        <v>1.040363636787024E-2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>
        <v>0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0</v>
      </c>
      <c r="M1243" s="1">
        <f t="shared" si="79"/>
        <v>0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>
        <v>0</v>
      </c>
      <c r="D1244">
        <v>37202.503369999999</v>
      </c>
      <c r="E1244">
        <v>0</v>
      </c>
      <c r="F1244">
        <v>83419.647889999993</v>
      </c>
      <c r="G1244" s="1">
        <v>-3.0400000000000001E-6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0</v>
      </c>
      <c r="M1244" s="1">
        <f t="shared" si="79"/>
        <v>0</v>
      </c>
      <c r="N1244" s="1">
        <f t="shared" si="80"/>
        <v>-1.6870386210692163E-2</v>
      </c>
      <c r="O1244" s="1"/>
    </row>
    <row r="1245" spans="1:15" x14ac:dyDescent="0.25">
      <c r="A1245">
        <v>2100</v>
      </c>
      <c r="B1245">
        <v>5702.0060810000004</v>
      </c>
      <c r="C1245">
        <v>0</v>
      </c>
      <c r="D1245">
        <v>35043.5841</v>
      </c>
      <c r="E1245">
        <v>0</v>
      </c>
      <c r="F1245">
        <v>73816.758560000002</v>
      </c>
      <c r="G1245" s="1">
        <v>-3.5999999999999998E-6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0</v>
      </c>
      <c r="M1245" s="1">
        <f t="shared" si="79"/>
        <v>0</v>
      </c>
      <c r="N1245" s="1">
        <f t="shared" si="80"/>
        <v>-1.2585907595610721E-2</v>
      </c>
      <c r="O1245" s="1"/>
    </row>
    <row r="1246" spans="1:15" x14ac:dyDescent="0.25">
      <c r="A1246">
        <v>2101</v>
      </c>
      <c r="B1246">
        <v>8848.2341550000001</v>
      </c>
      <c r="C1246">
        <v>0</v>
      </c>
      <c r="D1246">
        <v>28303.710760000002</v>
      </c>
      <c r="E1246">
        <v>0</v>
      </c>
      <c r="F1246">
        <v>94703.737420000005</v>
      </c>
      <c r="G1246" s="1">
        <v>2.5000000000000002E-6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0</v>
      </c>
      <c r="M1246" s="1">
        <f t="shared" si="79"/>
        <v>0</v>
      </c>
      <c r="N1246" s="1">
        <f t="shared" si="80"/>
        <v>1.2492181914955503E-2</v>
      </c>
      <c r="O1246" s="1"/>
    </row>
    <row r="1247" spans="1:15" x14ac:dyDescent="0.25">
      <c r="A1247">
        <v>2102</v>
      </c>
      <c r="B1247">
        <v>14994.986650000001</v>
      </c>
      <c r="C1247">
        <v>0</v>
      </c>
      <c r="D1247">
        <v>38421.189839999999</v>
      </c>
      <c r="E1247">
        <v>0</v>
      </c>
      <c r="F1247">
        <v>108450.25410000001</v>
      </c>
      <c r="G1247" s="1">
        <v>-1.95E-5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0</v>
      </c>
      <c r="M1247" s="1">
        <f t="shared" si="79"/>
        <v>0</v>
      </c>
      <c r="N1247" s="1">
        <f t="shared" si="80"/>
        <v>-7.8591465490303353E-2</v>
      </c>
      <c r="O1247" s="1"/>
    </row>
    <row r="1248" spans="1:15" x14ac:dyDescent="0.25">
      <c r="A1248">
        <v>2103</v>
      </c>
      <c r="B1248">
        <v>25123.143779999999</v>
      </c>
      <c r="C1248">
        <v>0</v>
      </c>
      <c r="D1248">
        <v>55605.428670000001</v>
      </c>
      <c r="E1248">
        <v>0</v>
      </c>
      <c r="F1248">
        <v>148546.1329</v>
      </c>
      <c r="G1248" s="1">
        <v>2.2799999999999999E-5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0</v>
      </c>
      <c r="M1248" s="1">
        <f t="shared" si="79"/>
        <v>0</v>
      </c>
      <c r="N1248" s="1">
        <f t="shared" si="80"/>
        <v>9.1032554717751235E-2</v>
      </c>
      <c r="O1248" s="1"/>
    </row>
    <row r="1249" spans="1:15" x14ac:dyDescent="0.25">
      <c r="A1249">
        <v>2104</v>
      </c>
      <c r="B1249">
        <v>10069.21902</v>
      </c>
      <c r="C1249">
        <v>0</v>
      </c>
      <c r="D1249">
        <v>38900.032290000003</v>
      </c>
      <c r="E1249">
        <v>0</v>
      </c>
      <c r="F1249">
        <v>100122.6882</v>
      </c>
      <c r="G1249" s="1">
        <v>1.9199999999999999E-5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0</v>
      </c>
      <c r="M1249" s="1">
        <f t="shared" si="79"/>
        <v>0</v>
      </c>
      <c r="N1249" s="1">
        <f t="shared" si="80"/>
        <v>5.5568507728544644E-2</v>
      </c>
      <c r="O1249" s="1"/>
    </row>
    <row r="1250" spans="1:15" x14ac:dyDescent="0.25">
      <c r="A1250">
        <v>2105</v>
      </c>
      <c r="B1250">
        <v>18152.723409999999</v>
      </c>
      <c r="C1250">
        <v>0</v>
      </c>
      <c r="D1250">
        <v>44724.645470000003</v>
      </c>
      <c r="E1250">
        <v>0</v>
      </c>
      <c r="F1250">
        <v>112124.894</v>
      </c>
      <c r="G1250" s="1">
        <v>-2.97E-5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0</v>
      </c>
      <c r="M1250" s="1">
        <f t="shared" si="79"/>
        <v>0</v>
      </c>
      <c r="N1250" s="1">
        <f t="shared" si="80"/>
        <v>-7.9804072436925888E-2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 s="1">
        <v>3.8099999999999998E-5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0</v>
      </c>
      <c r="M1251" s="1">
        <f t="shared" si="79"/>
        <v>0</v>
      </c>
      <c r="N1251" s="1">
        <f t="shared" si="80"/>
        <v>4.0314144162990603E-2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>
        <v>0</v>
      </c>
      <c r="F1252">
        <v>51401.776169999997</v>
      </c>
      <c r="G1252" s="1">
        <v>-1.1999999999999999E-6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0</v>
      </c>
      <c r="N1252" s="1">
        <f t="shared" si="80"/>
        <v>-3.5427671357598001E-2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 s="1">
        <v>1.3999999999999999E-6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0</v>
      </c>
      <c r="N1253" s="1">
        <f t="shared" si="80"/>
        <v>5.13383084472048E-3</v>
      </c>
      <c r="O1253" s="1"/>
    </row>
    <row r="1254" spans="1:15" x14ac:dyDescent="0.25">
      <c r="A1254">
        <v>2110</v>
      </c>
      <c r="B1254">
        <v>8302.9768530000001</v>
      </c>
      <c r="C1254">
        <v>0</v>
      </c>
      <c r="D1254">
        <v>36214.827299999997</v>
      </c>
      <c r="E1254">
        <v>0</v>
      </c>
      <c r="F1254">
        <v>75126.700060000003</v>
      </c>
      <c r="G1254" s="1">
        <v>-2.6000000000000001E-6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0</v>
      </c>
      <c r="M1254" s="1">
        <f t="shared" si="79"/>
        <v>0</v>
      </c>
      <c r="N1254" s="1">
        <f t="shared" si="8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>
        <v>0</v>
      </c>
      <c r="D1255">
        <v>62501.239629999996</v>
      </c>
      <c r="E1255">
        <v>0</v>
      </c>
      <c r="F1255">
        <v>259162.52439999999</v>
      </c>
      <c r="G1255" s="1">
        <v>4.8000000000000001E-5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0</v>
      </c>
      <c r="M1255" s="1">
        <f t="shared" si="79"/>
        <v>0</v>
      </c>
      <c r="N1255" s="1">
        <f t="shared" si="80"/>
        <v>0.16458149155572002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 s="1">
        <v>-4.6300000000000001E-5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0</v>
      </c>
      <c r="M1256" s="1">
        <f t="shared" si="79"/>
        <v>0</v>
      </c>
      <c r="N1256" s="1">
        <f t="shared" si="80"/>
        <v>-9.9193363855807848E-2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 s="1">
        <v>-3.7200000000000003E-5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0</v>
      </c>
      <c r="M1257" s="1">
        <f t="shared" si="79"/>
        <v>0</v>
      </c>
      <c r="N1257" s="1">
        <f t="shared" si="80"/>
        <v>-3.7302401542920485E-2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 s="1">
        <v>2.72E-5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0</v>
      </c>
      <c r="M1258" s="1">
        <f t="shared" si="79"/>
        <v>0</v>
      </c>
      <c r="N1258" s="1">
        <f t="shared" si="80"/>
        <v>4.8269392426003685E-2</v>
      </c>
      <c r="O1258" s="1"/>
    </row>
    <row r="1259" spans="1:15" x14ac:dyDescent="0.25">
      <c r="A1259">
        <v>2117</v>
      </c>
      <c r="B1259">
        <v>14694.325409999999</v>
      </c>
      <c r="C1259">
        <v>0</v>
      </c>
      <c r="D1259">
        <v>51356.145040000003</v>
      </c>
      <c r="E1259">
        <v>0</v>
      </c>
      <c r="F1259">
        <v>106725.3523</v>
      </c>
      <c r="G1259" s="1">
        <v>-2.44E-5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0</v>
      </c>
      <c r="M1259" s="1">
        <f t="shared" si="79"/>
        <v>0</v>
      </c>
      <c r="N1259" s="1">
        <f t="shared" si="80"/>
        <v>-6.9825149346391446E-2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 s="1">
        <v>-1.4800000000000001E-5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0</v>
      </c>
      <c r="M1260" s="1">
        <f t="shared" si="79"/>
        <v>0</v>
      </c>
      <c r="N1260" s="1">
        <f t="shared" si="80"/>
        <v>-3.8880433149320402E-2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 s="1">
        <v>1.1600000000000001E-5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0</v>
      </c>
      <c r="M1261" s="1">
        <f t="shared" si="79"/>
        <v>0</v>
      </c>
      <c r="N1261" s="1">
        <f t="shared" si="80"/>
        <v>3.3114590997666608E-2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 s="1">
        <v>4.3999999999999999E-5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0</v>
      </c>
      <c r="M1262" s="1">
        <f t="shared" si="79"/>
        <v>0</v>
      </c>
      <c r="N1262" s="1">
        <f t="shared" si="80"/>
        <v>0.13137897799051082</v>
      </c>
      <c r="O1262" s="1"/>
    </row>
    <row r="1263" spans="1:15" x14ac:dyDescent="0.25">
      <c r="A1263">
        <v>2123</v>
      </c>
      <c r="B1263">
        <v>2920.6982119999998</v>
      </c>
      <c r="C1263">
        <v>0</v>
      </c>
      <c r="D1263">
        <v>42838.051319999999</v>
      </c>
      <c r="E1263">
        <v>0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0</v>
      </c>
      <c r="M1263" s="1">
        <f t="shared" si="79"/>
        <v>0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>
        <v>0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0</v>
      </c>
      <c r="M1264" s="1">
        <f t="shared" si="79"/>
        <v>0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>
        <v>0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0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>
        <v>0</v>
      </c>
      <c r="D1266">
        <v>39967.49955</v>
      </c>
      <c r="E1266">
        <v>0</v>
      </c>
      <c r="F1266">
        <v>264750.01520000002</v>
      </c>
      <c r="G1266" s="1">
        <v>3.1399999999999998E-5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0</v>
      </c>
      <c r="M1266" s="1">
        <f t="shared" si="79"/>
        <v>0</v>
      </c>
      <c r="N1266" s="1">
        <f t="shared" si="8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>
        <v>0</v>
      </c>
      <c r="F1267">
        <v>36056.993020000002</v>
      </c>
      <c r="G1267" s="1">
        <v>2.2000000000000001E-6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0</v>
      </c>
      <c r="N1267" s="1">
        <f t="shared" si="80"/>
        <v>6.6536265530235603E-3</v>
      </c>
      <c r="O1267" s="1"/>
    </row>
    <row r="1268" spans="1:15" x14ac:dyDescent="0.25">
      <c r="A1268">
        <v>2128</v>
      </c>
      <c r="B1268">
        <v>8474.646514</v>
      </c>
      <c r="C1268">
        <v>0</v>
      </c>
      <c r="D1268">
        <v>19661.129099999998</v>
      </c>
      <c r="E1268">
        <v>0</v>
      </c>
      <c r="F1268">
        <v>96238.266350000005</v>
      </c>
      <c r="G1268" s="1">
        <v>2.7E-6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0</v>
      </c>
      <c r="M1268" s="1">
        <f t="shared" si="79"/>
        <v>0</v>
      </c>
      <c r="N1268" s="1">
        <f t="shared" si="8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>
        <v>0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0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>
        <v>0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0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>
        <v>0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0</v>
      </c>
      <c r="M1272" s="1">
        <f t="shared" si="79"/>
        <v>0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>
        <v>0</v>
      </c>
      <c r="D1273">
        <v>20520.73186</v>
      </c>
      <c r="E1273">
        <v>0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0</v>
      </c>
      <c r="M1273" s="1">
        <f t="shared" si="79"/>
        <v>0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>
        <v>0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0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>
        <v>0</v>
      </c>
      <c r="D1275">
        <v>43273.609929999999</v>
      </c>
      <c r="E1275">
        <v>0</v>
      </c>
      <c r="F1275">
        <v>430559.34039999999</v>
      </c>
      <c r="G1275" s="1">
        <v>2.9499999999999999E-5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0</v>
      </c>
      <c r="M1275" s="1">
        <f t="shared" si="79"/>
        <v>0</v>
      </c>
      <c r="N1275" s="1">
        <f t="shared" si="80"/>
        <v>7.6193685712492354E-2</v>
      </c>
      <c r="O1275" s="1"/>
    </row>
    <row r="1276" spans="1:15" x14ac:dyDescent="0.25">
      <c r="A1276">
        <v>2136</v>
      </c>
      <c r="B1276">
        <v>8031.6341410000005</v>
      </c>
      <c r="C1276">
        <v>0</v>
      </c>
      <c r="D1276">
        <v>18453.697619999999</v>
      </c>
      <c r="E1276">
        <v>0</v>
      </c>
      <c r="F1276">
        <v>58102.383840000002</v>
      </c>
      <c r="G1276" s="1">
        <v>2.0000000000000001E-9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0</v>
      </c>
      <c r="M1276" s="1">
        <f t="shared" si="79"/>
        <v>0</v>
      </c>
      <c r="N1276" s="1">
        <f t="shared" si="80"/>
        <v>7.0465913296848005E-6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>
        <v>0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0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 s="1">
        <v>4.2700000000000001E-5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0</v>
      </c>
      <c r="M1278" s="1">
        <f t="shared" si="79"/>
        <v>0</v>
      </c>
      <c r="N1278" s="1">
        <f t="shared" si="80"/>
        <v>9.1597814358502422E-2</v>
      </c>
      <c r="O1278" s="1"/>
    </row>
    <row r="1279" spans="1:15" x14ac:dyDescent="0.25">
      <c r="A1279">
        <v>2139</v>
      </c>
      <c r="B1279">
        <v>13879.62184</v>
      </c>
      <c r="C1279">
        <v>0</v>
      </c>
      <c r="D1279">
        <v>53705.47406</v>
      </c>
      <c r="E1279">
        <v>0</v>
      </c>
      <c r="F1279">
        <v>292877.96279999998</v>
      </c>
      <c r="G1279" s="1">
        <v>-1.06E-5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</v>
      </c>
      <c r="M1279" s="1">
        <f t="shared" si="79"/>
        <v>0</v>
      </c>
      <c r="N1279" s="1">
        <f t="shared" si="80"/>
        <v>-3.9781952434486144E-2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>
        <v>0</v>
      </c>
      <c r="F1280">
        <v>421777.10110000003</v>
      </c>
      <c r="G1280" s="1">
        <v>-3.8600000000000003E-5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0</v>
      </c>
      <c r="M1280" s="1">
        <f t="shared" si="79"/>
        <v>0</v>
      </c>
      <c r="N1280" s="1">
        <f t="shared" si="80"/>
        <v>-3.0425182604017924E-2</v>
      </c>
      <c r="O1280" s="1"/>
    </row>
    <row r="1281" spans="1:15" x14ac:dyDescent="0.25">
      <c r="A1281">
        <v>2141</v>
      </c>
      <c r="B1281">
        <v>10425.74415</v>
      </c>
      <c r="C1281">
        <v>0</v>
      </c>
      <c r="D1281">
        <v>36361.690150000002</v>
      </c>
      <c r="E1281">
        <v>0</v>
      </c>
      <c r="F1281">
        <v>137145.94709999999</v>
      </c>
      <c r="G1281" s="1">
        <v>4.0200000000000003E-7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</v>
      </c>
      <c r="M1281" s="1">
        <f t="shared" si="79"/>
        <v>0</v>
      </c>
      <c r="N1281" s="1">
        <f t="shared" si="80"/>
        <v>1.9661854903278552E-3</v>
      </c>
      <c r="O1281" s="1"/>
    </row>
    <row r="1282" spans="1:15" x14ac:dyDescent="0.25">
      <c r="A1282">
        <v>2142</v>
      </c>
      <c r="B1282">
        <v>1677.584018</v>
      </c>
      <c r="C1282">
        <v>0</v>
      </c>
      <c r="D1282">
        <v>21316.694780000002</v>
      </c>
      <c r="E1282">
        <v>0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0</v>
      </c>
      <c r="M1282" s="1">
        <f t="shared" si="79"/>
        <v>0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 s="1">
        <v>4.7200000000000002E-5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0</v>
      </c>
      <c r="M1283" s="1">
        <f t="shared" ref="M1283:M1346" si="83">$U$3*$K1283*E1283</f>
        <v>0</v>
      </c>
      <c r="N1283" s="1">
        <f t="shared" ref="N1283:N1346" si="84">$U$4*$K1283*G1283</f>
        <v>0.13341484496896874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 s="1">
        <v>6.7000000000000002E-6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0</v>
      </c>
      <c r="M1284" s="1">
        <f t="shared" si="83"/>
        <v>0</v>
      </c>
      <c r="N1284" s="1">
        <f t="shared" si="84"/>
        <v>2.4513642314543345E-2</v>
      </c>
      <c r="O1284" s="1"/>
    </row>
    <row r="1285" spans="1:15" x14ac:dyDescent="0.25">
      <c r="A1285">
        <v>2145</v>
      </c>
      <c r="B1285">
        <v>21548.49581</v>
      </c>
      <c r="C1285">
        <v>0</v>
      </c>
      <c r="D1285">
        <v>51298.840680000001</v>
      </c>
      <c r="E1285">
        <v>0</v>
      </c>
      <c r="F1285">
        <v>246388.61319999999</v>
      </c>
      <c r="G1285" s="1">
        <v>-2.9499999999999999E-5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0</v>
      </c>
      <c r="M1285" s="1">
        <f t="shared" si="83"/>
        <v>0</v>
      </c>
      <c r="N1285" s="1">
        <f t="shared" si="84"/>
        <v>-0.14048983792075095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 s="1">
        <v>-3.9999999999999998E-6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0</v>
      </c>
      <c r="M1286" s="1">
        <f t="shared" si="83"/>
        <v>0</v>
      </c>
      <c r="N1286" s="1">
        <f t="shared" si="84"/>
        <v>-1.59915393635028E-2</v>
      </c>
      <c r="O1286" s="1"/>
    </row>
    <row r="1287" spans="1:15" x14ac:dyDescent="0.25">
      <c r="A1287">
        <v>2147</v>
      </c>
      <c r="B1287">
        <v>8461.6515199999994</v>
      </c>
      <c r="C1287">
        <v>0</v>
      </c>
      <c r="D1287">
        <v>47847.70968</v>
      </c>
      <c r="E1287">
        <v>0</v>
      </c>
      <c r="F1287">
        <v>81793.72292</v>
      </c>
      <c r="G1287" s="1">
        <v>-2.9000000000000002E-6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0</v>
      </c>
      <c r="M1287" s="1">
        <f t="shared" si="83"/>
        <v>0</v>
      </c>
      <c r="N1287" s="1">
        <f t="shared" si="84"/>
        <v>-1.8595020449967001E-2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 s="1">
        <v>2.08E-6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0</v>
      </c>
      <c r="M1288" s="1">
        <f t="shared" si="83"/>
        <v>0</v>
      </c>
      <c r="N1288" s="1">
        <f t="shared" si="84"/>
        <v>8.6810947614917762E-3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 s="1">
        <v>-1.24E-5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0</v>
      </c>
      <c r="M1289" s="1">
        <f t="shared" si="83"/>
        <v>0</v>
      </c>
      <c r="N1289" s="1">
        <f t="shared" si="84"/>
        <v>-3.5511962791530356E-2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 s="1">
        <v>9.6800000000000005E-6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0</v>
      </c>
      <c r="M1290" s="1">
        <f t="shared" si="83"/>
        <v>0</v>
      </c>
      <c r="N1290" s="1">
        <f t="shared" si="84"/>
        <v>2.9765920964715677E-2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 s="1">
        <v>2.5000000000000001E-5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0</v>
      </c>
      <c r="M1291" s="1">
        <f t="shared" si="83"/>
        <v>0</v>
      </c>
      <c r="N1291" s="1">
        <f t="shared" si="84"/>
        <v>0.11994346506980251</v>
      </c>
      <c r="O1291" s="1"/>
    </row>
    <row r="1292" spans="1:15" x14ac:dyDescent="0.25">
      <c r="A1292">
        <v>2153</v>
      </c>
      <c r="B1292">
        <v>12528.39883</v>
      </c>
      <c r="C1292">
        <v>0</v>
      </c>
      <c r="D1292">
        <v>49381.314910000001</v>
      </c>
      <c r="E1292">
        <v>0</v>
      </c>
      <c r="F1292">
        <v>303658.6838</v>
      </c>
      <c r="G1292" s="1">
        <v>-1.9300000000000002E-5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0</v>
      </c>
      <c r="M1292" s="1">
        <f t="shared" si="83"/>
        <v>0</v>
      </c>
      <c r="N1292" s="1">
        <f t="shared" si="84"/>
        <v>-4.3380850065545491E-2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 s="1">
        <v>4.6999999999999999E-6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</v>
      </c>
      <c r="N1293" s="1">
        <f t="shared" si="84"/>
        <v>0.12707827098775651</v>
      </c>
      <c r="O1293" s="1"/>
    </row>
    <row r="1294" spans="1:15" x14ac:dyDescent="0.25">
      <c r="A1294">
        <v>2155</v>
      </c>
      <c r="B1294">
        <v>24168.54983</v>
      </c>
      <c r="C1294">
        <v>0</v>
      </c>
      <c r="D1294">
        <v>84185.226509999993</v>
      </c>
      <c r="E1294">
        <v>0</v>
      </c>
      <c r="F1294">
        <v>565159.98199999996</v>
      </c>
      <c r="G1294" s="1">
        <v>1.2500000000000001E-5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0</v>
      </c>
      <c r="M1294" s="1">
        <f t="shared" si="83"/>
        <v>0</v>
      </c>
      <c r="N1294" s="1">
        <f t="shared" si="84"/>
        <v>6.1197944661622504E-2</v>
      </c>
      <c r="O1294" s="1"/>
    </row>
    <row r="1295" spans="1:15" x14ac:dyDescent="0.25">
      <c r="A1295">
        <v>2156</v>
      </c>
      <c r="B1295">
        <v>5567.355321</v>
      </c>
      <c r="C1295">
        <v>0</v>
      </c>
      <c r="D1295">
        <v>63110.36391</v>
      </c>
      <c r="E1295">
        <v>0</v>
      </c>
      <c r="F1295">
        <v>510035.8798</v>
      </c>
      <c r="G1295" s="1">
        <v>1.5600000000000001E-6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0</v>
      </c>
      <c r="M1295" s="1">
        <f t="shared" si="83"/>
        <v>0</v>
      </c>
      <c r="N1295" s="1">
        <f t="shared" si="84"/>
        <v>9.9499294899435594E-3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 s="1">
        <v>4.0899999999999998E-5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0</v>
      </c>
      <c r="M1296" s="1">
        <f t="shared" si="83"/>
        <v>0</v>
      </c>
      <c r="N1296" s="1">
        <f t="shared" si="84"/>
        <v>0.10464964062337831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 s="1">
        <v>4.0999999999999997E-6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0</v>
      </c>
      <c r="M1297" s="1">
        <f t="shared" si="83"/>
        <v>0</v>
      </c>
      <c r="N1297" s="1">
        <f t="shared" si="84"/>
        <v>1.8454312307952751E-2</v>
      </c>
      <c r="O1297" s="1"/>
    </row>
    <row r="1298" spans="1:15" x14ac:dyDescent="0.25">
      <c r="A1298">
        <v>2161</v>
      </c>
      <c r="B1298">
        <v>17553.59071</v>
      </c>
      <c r="C1298">
        <v>0</v>
      </c>
      <c r="D1298">
        <v>55334.911110000001</v>
      </c>
      <c r="E1298">
        <v>0</v>
      </c>
      <c r="F1298">
        <v>102077.1689</v>
      </c>
      <c r="G1298" s="1">
        <v>-4.1999999999999998E-5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0</v>
      </c>
      <c r="M1298" s="1">
        <f t="shared" si="83"/>
        <v>0</v>
      </c>
      <c r="N1298" s="1">
        <f t="shared" si="84"/>
        <v>-0.20218618239059519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>
        <v>0</v>
      </c>
      <c r="F1299">
        <v>66302.358259999994</v>
      </c>
      <c r="G1299" s="1">
        <v>-2.6000000000000001E-6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0</v>
      </c>
      <c r="M1299" s="1">
        <f t="shared" si="83"/>
        <v>0</v>
      </c>
      <c r="N1299" s="1">
        <f t="shared" si="84"/>
        <v>-2.2070117427672602E-2</v>
      </c>
      <c r="O1299" s="1"/>
    </row>
    <row r="1300" spans="1:15" x14ac:dyDescent="0.25">
      <c r="A1300">
        <v>2163</v>
      </c>
      <c r="B1300">
        <v>12519.88609</v>
      </c>
      <c r="C1300">
        <v>0</v>
      </c>
      <c r="D1300">
        <v>43248.848039999997</v>
      </c>
      <c r="E1300">
        <v>0</v>
      </c>
      <c r="F1300">
        <v>86570.833549999996</v>
      </c>
      <c r="G1300" s="1">
        <v>-1.9999999999999999E-6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0</v>
      </c>
      <c r="M1300" s="1">
        <f t="shared" si="83"/>
        <v>0</v>
      </c>
      <c r="N1300" s="1">
        <f t="shared" si="84"/>
        <v>-7.6290143062079999E-3</v>
      </c>
      <c r="O1300" s="1"/>
    </row>
    <row r="1301" spans="1:15" x14ac:dyDescent="0.25">
      <c r="A1301">
        <v>2164</v>
      </c>
      <c r="B1301">
        <v>9522.1546909999997</v>
      </c>
      <c r="C1301">
        <v>0</v>
      </c>
      <c r="D1301">
        <v>64346.875569999997</v>
      </c>
      <c r="E1301">
        <v>0</v>
      </c>
      <c r="F1301">
        <v>97528.993300000002</v>
      </c>
      <c r="G1301" s="1">
        <v>-3.14E-6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0</v>
      </c>
      <c r="M1301" s="1">
        <f t="shared" si="83"/>
        <v>0</v>
      </c>
      <c r="N1301" s="1">
        <f t="shared" si="84"/>
        <v>-5.0847779939469789E-3</v>
      </c>
      <c r="O1301" s="1"/>
    </row>
    <row r="1302" spans="1:15" x14ac:dyDescent="0.25">
      <c r="A1302">
        <v>2165</v>
      </c>
      <c r="B1302">
        <v>10955.96954</v>
      </c>
      <c r="C1302">
        <v>0</v>
      </c>
      <c r="D1302">
        <v>34516.044589999998</v>
      </c>
      <c r="E1302">
        <v>0</v>
      </c>
      <c r="F1302">
        <v>79949.571129999997</v>
      </c>
      <c r="G1302" s="1">
        <v>1.5E-6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0</v>
      </c>
      <c r="M1302" s="1">
        <f t="shared" si="83"/>
        <v>0</v>
      </c>
      <c r="N1302" s="1">
        <f t="shared" si="84"/>
        <v>6.8266648035639E-3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>
        <v>0</v>
      </c>
      <c r="F1303">
        <v>173245.0448</v>
      </c>
      <c r="G1303" s="1">
        <v>1.86E-6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0</v>
      </c>
      <c r="M1303" s="1">
        <f t="shared" si="83"/>
        <v>0</v>
      </c>
      <c r="N1303" s="1">
        <f t="shared" si="84"/>
        <v>4.2035439862043462E-3</v>
      </c>
      <c r="O1303" s="1"/>
    </row>
    <row r="1304" spans="1:15" x14ac:dyDescent="0.25">
      <c r="A1304">
        <v>2167</v>
      </c>
      <c r="B1304">
        <v>8798.7841179999996</v>
      </c>
      <c r="C1304">
        <v>0</v>
      </c>
      <c r="D1304">
        <v>57938.567060000001</v>
      </c>
      <c r="E1304">
        <v>0</v>
      </c>
      <c r="F1304">
        <v>91414.421159999998</v>
      </c>
      <c r="G1304" s="1">
        <v>-3.4000000000000001E-6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0</v>
      </c>
      <c r="M1304" s="1">
        <f t="shared" si="83"/>
        <v>0</v>
      </c>
      <c r="N1304" s="1">
        <f t="shared" si="84"/>
        <v>-3.7102505717293802E-2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>
        <v>0</v>
      </c>
      <c r="D1307">
        <v>33681.561629999997</v>
      </c>
      <c r="E1307">
        <v>0</v>
      </c>
      <c r="F1307">
        <v>459135.7205</v>
      </c>
      <c r="G1307" s="1">
        <v>4.4299999999999999E-5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0</v>
      </c>
      <c r="M1307" s="1">
        <f t="shared" si="83"/>
        <v>0</v>
      </c>
      <c r="N1307" s="1">
        <f t="shared" si="84"/>
        <v>0.39294062067606689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 s="1">
        <v>3.3800000000000002E-5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0</v>
      </c>
      <c r="M1308" s="1">
        <f t="shared" si="83"/>
        <v>0</v>
      </c>
      <c r="N1308" s="1">
        <f t="shared" si="84"/>
        <v>6.4389381648681174E-2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 s="1">
        <v>-2.6400000000000001E-5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0</v>
      </c>
      <c r="M1309" s="1">
        <f t="shared" si="83"/>
        <v>0</v>
      </c>
      <c r="N1309" s="1">
        <f t="shared" si="84"/>
        <v>-5.8766292742774326E-2</v>
      </c>
      <c r="O1309" s="1"/>
    </row>
    <row r="1310" spans="1:15" x14ac:dyDescent="0.25">
      <c r="A1310">
        <v>2203</v>
      </c>
      <c r="B1310">
        <v>18650.02277</v>
      </c>
      <c r="C1310">
        <v>0</v>
      </c>
      <c r="D1310">
        <v>239543.73680000001</v>
      </c>
      <c r="E1310">
        <v>0</v>
      </c>
      <c r="F1310">
        <v>655861.92009999999</v>
      </c>
      <c r="G1310" s="1">
        <v>-3.2700000000000002E-5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0</v>
      </c>
      <c r="M1310" s="1">
        <f t="shared" si="83"/>
        <v>0</v>
      </c>
      <c r="N1310" s="1">
        <f t="shared" si="84"/>
        <v>-4.9639133591867071E-2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 s="1">
        <v>6.9999999999999999E-6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0</v>
      </c>
      <c r="M1311" s="1">
        <f t="shared" si="83"/>
        <v>0</v>
      </c>
      <c r="N1311" s="1">
        <f t="shared" si="84"/>
        <v>2.8794401146736398E-2</v>
      </c>
      <c r="O1311" s="1"/>
    </row>
    <row r="1312" spans="1:15" x14ac:dyDescent="0.25">
      <c r="A1312">
        <v>2205</v>
      </c>
      <c r="B1312">
        <v>12823.69067</v>
      </c>
      <c r="C1312">
        <v>0</v>
      </c>
      <c r="D1312">
        <v>79773.632280000005</v>
      </c>
      <c r="E1312">
        <v>0</v>
      </c>
      <c r="F1312">
        <v>546009.17599999998</v>
      </c>
      <c r="G1312" s="1">
        <v>2.8399999999999999E-5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</v>
      </c>
      <c r="M1312" s="1">
        <f t="shared" si="83"/>
        <v>0</v>
      </c>
      <c r="N1312" s="1">
        <f t="shared" si="84"/>
        <v>0.19740006852936723</v>
      </c>
      <c r="O1312" s="1"/>
    </row>
    <row r="1313" spans="1:15" x14ac:dyDescent="0.25">
      <c r="A1313">
        <v>2206</v>
      </c>
      <c r="B1313">
        <v>3885.4537700000001</v>
      </c>
      <c r="C1313">
        <v>0</v>
      </c>
      <c r="D1313">
        <v>24510.067879999999</v>
      </c>
      <c r="E1313">
        <v>0</v>
      </c>
      <c r="F1313">
        <v>441351.7132</v>
      </c>
      <c r="G1313" s="1">
        <v>8.8799999999999997E-6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0</v>
      </c>
      <c r="M1313" s="1">
        <f t="shared" si="83"/>
        <v>0</v>
      </c>
      <c r="N1313" s="1">
        <f t="shared" si="84"/>
        <v>4.3457888351037893E-2</v>
      </c>
      <c r="O1313" s="1"/>
    </row>
    <row r="1314" spans="1:15" x14ac:dyDescent="0.25">
      <c r="A1314">
        <v>2207</v>
      </c>
      <c r="B1314">
        <v>1251.6909000000001</v>
      </c>
      <c r="C1314">
        <v>0</v>
      </c>
      <c r="D1314">
        <v>10146.070599999999</v>
      </c>
      <c r="E1314">
        <v>0</v>
      </c>
      <c r="F1314">
        <v>30638.962100000001</v>
      </c>
      <c r="G1314" s="1">
        <v>-1.7999999999999999E-6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0</v>
      </c>
      <c r="M1314" s="1">
        <f t="shared" si="83"/>
        <v>0</v>
      </c>
      <c r="N1314" s="1">
        <f t="shared" si="84"/>
        <v>-1.4876193522549598E-2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 s="1">
        <v>4.6800000000000001E-6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0</v>
      </c>
      <c r="M1315" s="1">
        <f t="shared" si="83"/>
        <v>0</v>
      </c>
      <c r="N1315" s="1">
        <f t="shared" si="84"/>
        <v>5.2979580240429969E-3</v>
      </c>
      <c r="O1315" s="1"/>
    </row>
    <row r="1316" spans="1:15" x14ac:dyDescent="0.25">
      <c r="A1316">
        <v>2209</v>
      </c>
      <c r="B1316">
        <v>9371.040035</v>
      </c>
      <c r="C1316">
        <v>0</v>
      </c>
      <c r="D1316">
        <v>16169.690629999999</v>
      </c>
      <c r="E1316">
        <v>0</v>
      </c>
      <c r="F1316">
        <v>296024.47639999999</v>
      </c>
      <c r="G1316" s="1">
        <v>-1.7499999999999998E-5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0</v>
      </c>
      <c r="M1316" s="1">
        <f t="shared" si="83"/>
        <v>0</v>
      </c>
      <c r="N1316" s="1">
        <f t="shared" si="84"/>
        <v>-3.4760459715518249E-2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 s="1">
        <v>-4.9400000000000001E-5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0</v>
      </c>
      <c r="M1317" s="1">
        <f t="shared" si="83"/>
        <v>0</v>
      </c>
      <c r="N1317" s="1">
        <f t="shared" si="84"/>
        <v>-0.19894683017977718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 s="1">
        <v>-1.6799999999999998E-5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0</v>
      </c>
      <c r="M1318" s="1">
        <f t="shared" si="83"/>
        <v>0</v>
      </c>
      <c r="N1318" s="1">
        <f t="shared" si="84"/>
        <v>-4.5833132505247919E-2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 s="1">
        <v>5.7799999999999997E-6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0</v>
      </c>
      <c r="M1319" s="1">
        <f t="shared" si="83"/>
        <v>0</v>
      </c>
      <c r="N1319" s="1">
        <f t="shared" si="84"/>
        <v>8.1362845878196303E-3</v>
      </c>
      <c r="O1319" s="1"/>
    </row>
    <row r="1320" spans="1:15" x14ac:dyDescent="0.25">
      <c r="A1320">
        <v>2213</v>
      </c>
      <c r="B1320">
        <v>16959.504400000002</v>
      </c>
      <c r="C1320">
        <v>0</v>
      </c>
      <c r="D1320">
        <v>120896.5151</v>
      </c>
      <c r="E1320">
        <v>0</v>
      </c>
      <c r="F1320">
        <v>600328.40020000003</v>
      </c>
      <c r="G1320" s="1">
        <v>1.06E-5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0</v>
      </c>
      <c r="M1320" s="1">
        <f t="shared" si="83"/>
        <v>0</v>
      </c>
      <c r="N1320" s="1">
        <f t="shared" si="84"/>
        <v>2.4705522232541646E-2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 s="1">
        <v>3.5599999999999998E-5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0</v>
      </c>
      <c r="M1321" s="1">
        <f t="shared" si="83"/>
        <v>0</v>
      </c>
      <c r="N1321" s="1">
        <f t="shared" si="84"/>
        <v>6.6794018183925358E-2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 s="1">
        <v>1.6399999999999999E-5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0</v>
      </c>
      <c r="M1322" s="1">
        <f t="shared" si="83"/>
        <v>0</v>
      </c>
      <c r="N1322" s="1">
        <f t="shared" si="84"/>
        <v>2.1888587776848479E-2</v>
      </c>
      <c r="O1322" s="1"/>
    </row>
    <row r="1323" spans="1:15" x14ac:dyDescent="0.25">
      <c r="A1323">
        <v>2216</v>
      </c>
      <c r="B1323">
        <v>9607.7403780000004</v>
      </c>
      <c r="C1323">
        <v>0</v>
      </c>
      <c r="D1323">
        <v>19555.957129999999</v>
      </c>
      <c r="E1323">
        <v>0</v>
      </c>
      <c r="F1323">
        <v>367723.60849999997</v>
      </c>
      <c r="G1323" s="1">
        <v>-4.35E-5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0</v>
      </c>
      <c r="M1323" s="1">
        <f t="shared" si="83"/>
        <v>0</v>
      </c>
      <c r="N1323" s="1">
        <f t="shared" si="84"/>
        <v>-6.6271230844376847E-2</v>
      </c>
      <c r="O1323" s="1"/>
    </row>
    <row r="1324" spans="1:15" x14ac:dyDescent="0.25">
      <c r="A1324">
        <v>2217</v>
      </c>
      <c r="B1324">
        <v>2011.7645560000001</v>
      </c>
      <c r="C1324">
        <v>0</v>
      </c>
      <c r="D1324">
        <v>8120.0078050000002</v>
      </c>
      <c r="E1324">
        <v>0</v>
      </c>
      <c r="F1324">
        <v>15475.10693</v>
      </c>
      <c r="G1324" s="1">
        <v>1.3E-6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0</v>
      </c>
      <c r="M1324" s="1">
        <f t="shared" si="83"/>
        <v>0</v>
      </c>
      <c r="N1324" s="1">
        <f t="shared" si="84"/>
        <v>2.0601160705136703E-2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>
        <v>0</v>
      </c>
      <c r="F1325">
        <v>561047.14619999996</v>
      </c>
      <c r="G1325" s="1">
        <v>-2.76E-5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0</v>
      </c>
      <c r="M1325" s="1">
        <f t="shared" si="83"/>
        <v>0</v>
      </c>
      <c r="N1325" s="1">
        <f t="shared" si="84"/>
        <v>-2.6266531627359003E-3</v>
      </c>
      <c r="O1325" s="1"/>
    </row>
    <row r="1326" spans="1:15" x14ac:dyDescent="0.25">
      <c r="A1326">
        <v>2298</v>
      </c>
      <c r="B1326">
        <v>31368.65553</v>
      </c>
      <c r="C1326">
        <v>0</v>
      </c>
      <c r="D1326">
        <v>132267.3303</v>
      </c>
      <c r="E1326">
        <v>0</v>
      </c>
      <c r="F1326">
        <v>830491.38260000001</v>
      </c>
      <c r="G1326" s="1">
        <v>-1.5800000000000001E-5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0</v>
      </c>
      <c r="M1326" s="1">
        <f t="shared" si="83"/>
        <v>0</v>
      </c>
      <c r="N1326" s="1">
        <f t="shared" si="84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>
        <v>0</v>
      </c>
      <c r="D1327">
        <v>90333.739499999996</v>
      </c>
      <c r="E1327">
        <v>0</v>
      </c>
      <c r="F1327">
        <v>438444.36239999998</v>
      </c>
      <c r="G1327" s="1">
        <v>-2.16E-5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0</v>
      </c>
      <c r="M1327" s="1">
        <f t="shared" si="83"/>
        <v>0</v>
      </c>
      <c r="N1327" s="1">
        <f t="shared" si="84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>
        <v>0</v>
      </c>
      <c r="D1328">
        <v>86443.233200000002</v>
      </c>
      <c r="E1328">
        <v>0</v>
      </c>
      <c r="F1328">
        <v>267608.2659</v>
      </c>
      <c r="G1328" s="1">
        <v>-3.93E-5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0</v>
      </c>
      <c r="M1328" s="1">
        <f t="shared" si="83"/>
        <v>0</v>
      </c>
      <c r="N1328" s="1">
        <f t="shared" si="84"/>
        <v>-5.3441968158028798E-2</v>
      </c>
      <c r="O1328" s="1"/>
    </row>
    <row r="1329" spans="1:15" x14ac:dyDescent="0.25">
      <c r="A1329">
        <v>2301</v>
      </c>
      <c r="B1329">
        <v>16619.34908</v>
      </c>
      <c r="C1329">
        <v>0</v>
      </c>
      <c r="D1329">
        <v>90201.707970000003</v>
      </c>
      <c r="E1329">
        <v>0</v>
      </c>
      <c r="F1329">
        <v>292446.21039999998</v>
      </c>
      <c r="G1329" s="1">
        <v>-3.57E-5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0</v>
      </c>
      <c r="M1329" s="1">
        <f t="shared" si="83"/>
        <v>0</v>
      </c>
      <c r="N1329" s="1">
        <f t="shared" si="84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>
        <v>0</v>
      </c>
      <c r="D1330">
        <v>91583.622010000006</v>
      </c>
      <c r="E1330">
        <v>0</v>
      </c>
      <c r="F1330">
        <v>331177.43229999999</v>
      </c>
      <c r="G1330" s="1">
        <v>-3.1099999999999997E-5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0</v>
      </c>
      <c r="M1330" s="1">
        <f t="shared" si="83"/>
        <v>0</v>
      </c>
      <c r="N1330" s="1">
        <f t="shared" si="84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>
        <v>0</v>
      </c>
      <c r="F1331">
        <v>131960.06349999999</v>
      </c>
      <c r="G1331" s="1">
        <v>3.2799999999999998E-5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0</v>
      </c>
      <c r="M1331" s="1">
        <f t="shared" si="83"/>
        <v>0</v>
      </c>
      <c r="N1331" s="1">
        <f t="shared" si="84"/>
        <v>8.9930616569446314E-2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>
        <v>0</v>
      </c>
      <c r="F1332">
        <v>303305.88540000003</v>
      </c>
      <c r="G1332" s="1">
        <v>3.7100000000000001E-5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0</v>
      </c>
      <c r="M1332" s="1">
        <f t="shared" si="83"/>
        <v>0</v>
      </c>
      <c r="N1332" s="1">
        <f t="shared" si="84"/>
        <v>3.3994457578343219E-2</v>
      </c>
      <c r="O1332" s="1"/>
    </row>
    <row r="1333" spans="1:15" x14ac:dyDescent="0.25">
      <c r="A1333">
        <v>2305</v>
      </c>
      <c r="B1333">
        <v>43415.434910000004</v>
      </c>
      <c r="C1333">
        <v>0</v>
      </c>
      <c r="D1333">
        <v>147169.8559</v>
      </c>
      <c r="E1333">
        <v>0</v>
      </c>
      <c r="F1333">
        <v>937625.16130000004</v>
      </c>
      <c r="G1333" s="1">
        <v>8.2199999999999992E-6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0</v>
      </c>
      <c r="M1333" s="1">
        <f t="shared" si="83"/>
        <v>0</v>
      </c>
      <c r="N1333" s="1">
        <f t="shared" si="84"/>
        <v>1.2307583420921303E-2</v>
      </c>
      <c r="O1333" s="1"/>
    </row>
    <row r="1334" spans="1:15" x14ac:dyDescent="0.25">
      <c r="A1334">
        <v>2306</v>
      </c>
      <c r="B1334">
        <v>13051.007299999999</v>
      </c>
      <c r="C1334">
        <v>0</v>
      </c>
      <c r="D1334">
        <v>69951.505309999993</v>
      </c>
      <c r="E1334">
        <v>0</v>
      </c>
      <c r="F1334">
        <v>233142.41529999999</v>
      </c>
      <c r="G1334" s="1">
        <v>2.9100000000000001E-6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0</v>
      </c>
      <c r="M1334" s="1">
        <f t="shared" si="83"/>
        <v>0</v>
      </c>
      <c r="N1334" s="1">
        <f t="shared" si="84"/>
        <v>4.5016051224511357E-3</v>
      </c>
      <c r="O1334" s="1"/>
    </row>
    <row r="1335" spans="1:15" x14ac:dyDescent="0.25">
      <c r="A1335">
        <v>2307</v>
      </c>
      <c r="B1335">
        <v>39794.337570000003</v>
      </c>
      <c r="C1335">
        <v>0</v>
      </c>
      <c r="D1335">
        <v>148949.2292</v>
      </c>
      <c r="E1335">
        <v>0</v>
      </c>
      <c r="F1335">
        <v>1005080.04</v>
      </c>
      <c r="G1335">
        <v>-3.0529E-4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0</v>
      </c>
      <c r="M1335" s="1">
        <f t="shared" si="83"/>
        <v>0</v>
      </c>
      <c r="N1335" s="1">
        <f t="shared" si="84"/>
        <v>-0.21287831458931344</v>
      </c>
      <c r="O1335" s="1"/>
    </row>
    <row r="1336" spans="1:15" x14ac:dyDescent="0.25">
      <c r="A1336">
        <v>2308</v>
      </c>
      <c r="B1336">
        <v>18046.445169999999</v>
      </c>
      <c r="C1336">
        <v>0</v>
      </c>
      <c r="D1336">
        <v>73089.251250000001</v>
      </c>
      <c r="E1336">
        <v>0</v>
      </c>
      <c r="F1336">
        <v>273631.68040000001</v>
      </c>
      <c r="G1336" s="1">
        <v>4.8399999999999997E-5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0</v>
      </c>
      <c r="M1336" s="1">
        <f t="shared" si="83"/>
        <v>0</v>
      </c>
      <c r="N1336" s="1">
        <f t="shared" si="84"/>
        <v>0.12430732532613253</v>
      </c>
      <c r="O1336" s="1"/>
    </row>
    <row r="1337" spans="1:15" x14ac:dyDescent="0.25">
      <c r="A1337">
        <v>2309</v>
      </c>
      <c r="B1337">
        <v>13945.46645</v>
      </c>
      <c r="C1337">
        <v>0</v>
      </c>
      <c r="D1337">
        <v>77256.167910000004</v>
      </c>
      <c r="E1337">
        <v>0</v>
      </c>
      <c r="F1337">
        <v>231788.44889999999</v>
      </c>
      <c r="G1337" s="1">
        <v>-1.5699999999999999E-5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0</v>
      </c>
      <c r="M1337" s="1">
        <f t="shared" si="83"/>
        <v>0</v>
      </c>
      <c r="N1337" s="1">
        <f t="shared" si="84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>
        <v>0</v>
      </c>
      <c r="D1338">
        <v>53772.888030000002</v>
      </c>
      <c r="E1338">
        <v>0</v>
      </c>
      <c r="F1338">
        <v>142787.0196</v>
      </c>
      <c r="G1338" s="1">
        <v>3.5599999999999998E-5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0</v>
      </c>
      <c r="M1338" s="1">
        <f t="shared" si="83"/>
        <v>0</v>
      </c>
      <c r="N1338" s="1">
        <f t="shared" si="84"/>
        <v>3.1712976472794002E-2</v>
      </c>
      <c r="O1338" s="1"/>
    </row>
    <row r="1339" spans="1:15" x14ac:dyDescent="0.25">
      <c r="A1339">
        <v>2311</v>
      </c>
      <c r="B1339">
        <v>49895.983090000002</v>
      </c>
      <c r="C1339">
        <v>0</v>
      </c>
      <c r="D1339">
        <v>137131.04790000001</v>
      </c>
      <c r="E1339">
        <v>0</v>
      </c>
      <c r="F1339">
        <v>870168.04480000003</v>
      </c>
      <c r="G1339" s="1">
        <v>1.8700000000000001E-5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0</v>
      </c>
      <c r="M1339" s="1">
        <f t="shared" si="83"/>
        <v>0</v>
      </c>
      <c r="N1339" s="1">
        <f t="shared" si="84"/>
        <v>5.5256084441470781E-2</v>
      </c>
      <c r="O1339" s="1"/>
    </row>
    <row r="1340" spans="1:15" x14ac:dyDescent="0.25">
      <c r="A1340">
        <v>2312</v>
      </c>
      <c r="B1340">
        <v>17250.710169999998</v>
      </c>
      <c r="C1340">
        <v>0</v>
      </c>
      <c r="D1340">
        <v>72233.002970000001</v>
      </c>
      <c r="E1340">
        <v>0</v>
      </c>
      <c r="F1340">
        <v>256028.408</v>
      </c>
      <c r="G1340" s="1">
        <v>-4.7200000000000002E-5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0</v>
      </c>
      <c r="M1340" s="1">
        <f t="shared" si="83"/>
        <v>0</v>
      </c>
      <c r="N1340" s="1">
        <f t="shared" si="84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>
        <v>0</v>
      </c>
      <c r="D1341">
        <v>57892.660100000001</v>
      </c>
      <c r="E1341">
        <v>0</v>
      </c>
      <c r="F1341">
        <v>223083.9914</v>
      </c>
      <c r="G1341" s="1">
        <v>-3.3500000000000001E-5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0</v>
      </c>
      <c r="M1341" s="1">
        <f t="shared" si="83"/>
        <v>0</v>
      </c>
      <c r="N1341" s="1">
        <f t="shared" si="84"/>
        <v>-0.12198143597336791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>
        <v>0</v>
      </c>
      <c r="F1342">
        <v>248579.90830000001</v>
      </c>
      <c r="G1342" s="1">
        <v>-1.2300000000000001E-5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0</v>
      </c>
      <c r="M1342" s="1">
        <f t="shared" si="83"/>
        <v>0</v>
      </c>
      <c r="N1342" s="1">
        <f t="shared" si="84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>
        <v>0</v>
      </c>
      <c r="D1343">
        <v>63607.363010000001</v>
      </c>
      <c r="E1343">
        <v>0</v>
      </c>
      <c r="F1343">
        <v>207960.13089999999</v>
      </c>
      <c r="G1343" s="1">
        <v>-1.59E-5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0</v>
      </c>
      <c r="M1343" s="1">
        <f t="shared" si="83"/>
        <v>0</v>
      </c>
      <c r="N1343" s="1">
        <f t="shared" si="84"/>
        <v>-6.5123916024768927E-2</v>
      </c>
      <c r="O1343" s="1"/>
    </row>
    <row r="1344" spans="1:15" x14ac:dyDescent="0.25">
      <c r="A1344">
        <v>2316</v>
      </c>
      <c r="B1344">
        <v>12408.40798</v>
      </c>
      <c r="C1344">
        <v>0</v>
      </c>
      <c r="D1344">
        <v>43499.775540000002</v>
      </c>
      <c r="E1344">
        <v>0</v>
      </c>
      <c r="F1344">
        <v>178004.62950000001</v>
      </c>
      <c r="G1344" s="1">
        <v>8.2600000000000005E-6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0</v>
      </c>
      <c r="M1344" s="1">
        <f t="shared" si="83"/>
        <v>0</v>
      </c>
      <c r="N1344" s="1">
        <f t="shared" si="84"/>
        <v>1.8580928448116835E-2</v>
      </c>
      <c r="O1344" s="1"/>
    </row>
    <row r="1345" spans="1:15" x14ac:dyDescent="0.25">
      <c r="A1345">
        <v>2318</v>
      </c>
      <c r="B1345">
        <v>7481.0385969999998</v>
      </c>
      <c r="C1345">
        <v>0</v>
      </c>
      <c r="D1345">
        <v>30831.45247</v>
      </c>
      <c r="E1345">
        <v>0</v>
      </c>
      <c r="F1345">
        <v>110989.26880000001</v>
      </c>
      <c r="G1345" s="1">
        <v>-3.3200000000000001E-5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0</v>
      </c>
      <c r="M1345" s="1">
        <f t="shared" si="83"/>
        <v>0</v>
      </c>
      <c r="N1345" s="1">
        <f t="shared" si="84"/>
        <v>-0.20189200701634202</v>
      </c>
      <c r="O1345" s="1"/>
    </row>
    <row r="1346" spans="1:15" x14ac:dyDescent="0.25">
      <c r="A1346">
        <v>2319</v>
      </c>
      <c r="B1346">
        <v>6392.4680790000002</v>
      </c>
      <c r="C1346">
        <v>0</v>
      </c>
      <c r="D1346">
        <v>45107.101669999996</v>
      </c>
      <c r="E1346">
        <v>0</v>
      </c>
      <c r="F1346">
        <v>137645.0215</v>
      </c>
      <c r="G1346" s="1">
        <v>4.4499999999999997E-5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0</v>
      </c>
      <c r="M1346" s="1">
        <f t="shared" si="83"/>
        <v>0</v>
      </c>
      <c r="N1346" s="1">
        <f t="shared" si="84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>
        <v>0</v>
      </c>
      <c r="F1347">
        <v>82697.06018</v>
      </c>
      <c r="G1347" s="1">
        <v>-1.7099999999999999E-6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0</v>
      </c>
      <c r="N1347" s="1">
        <f t="shared" ref="N1347:N1410" si="88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>
        <v>0</v>
      </c>
      <c r="D1348">
        <v>45066.533600000002</v>
      </c>
      <c r="E1348">
        <v>0</v>
      </c>
      <c r="F1348">
        <v>153538.88639999999</v>
      </c>
      <c r="G1348" s="1">
        <v>-3.54E-5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0</v>
      </c>
      <c r="M1348" s="1">
        <f t="shared" si="87"/>
        <v>0</v>
      </c>
      <c r="N1348" s="1">
        <f t="shared" si="88"/>
        <v>-9.6343721857234985E-2</v>
      </c>
      <c r="O1348" s="1"/>
    </row>
    <row r="1349" spans="1:15" x14ac:dyDescent="0.25">
      <c r="A1349">
        <v>2322</v>
      </c>
      <c r="B1349">
        <v>5855.064558</v>
      </c>
      <c r="C1349">
        <v>0</v>
      </c>
      <c r="D1349">
        <v>40339.826609999996</v>
      </c>
      <c r="E1349">
        <v>0</v>
      </c>
      <c r="F1349">
        <v>176308.1</v>
      </c>
      <c r="G1349" s="1">
        <v>3.2700000000000002E-5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0</v>
      </c>
      <c r="M1349" s="1">
        <f t="shared" si="87"/>
        <v>0</v>
      </c>
      <c r="N1349" s="1">
        <f t="shared" si="88"/>
        <v>0.10336868986858119</v>
      </c>
      <c r="O1349" s="1"/>
    </row>
    <row r="1350" spans="1:15" x14ac:dyDescent="0.25">
      <c r="A1350">
        <v>2323</v>
      </c>
      <c r="B1350">
        <v>3404.3161300000002</v>
      </c>
      <c r="C1350">
        <v>0</v>
      </c>
      <c r="D1350">
        <v>30066.414430000001</v>
      </c>
      <c r="E1350">
        <v>0</v>
      </c>
      <c r="F1350">
        <v>97043.78688</v>
      </c>
      <c r="G1350" s="1">
        <v>7.6499999999999998E-7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0</v>
      </c>
      <c r="M1350" s="1">
        <f t="shared" si="87"/>
        <v>0</v>
      </c>
      <c r="N1350" s="1">
        <f t="shared" si="88"/>
        <v>4.2121610139822744E-3</v>
      </c>
      <c r="O1350" s="1"/>
    </row>
    <row r="1351" spans="1:15" x14ac:dyDescent="0.25">
      <c r="A1351">
        <v>2324</v>
      </c>
      <c r="B1351">
        <v>5409.1454970000004</v>
      </c>
      <c r="C1351">
        <v>0</v>
      </c>
      <c r="D1351">
        <v>19805.73748</v>
      </c>
      <c r="E1351">
        <v>0</v>
      </c>
      <c r="F1351">
        <v>75872.023319999993</v>
      </c>
      <c r="G1351" s="1">
        <v>2.9900000000000002E-6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0</v>
      </c>
      <c r="M1351" s="1">
        <f t="shared" si="87"/>
        <v>0</v>
      </c>
      <c r="N1351" s="1">
        <f t="shared" si="88"/>
        <v>2.4845320486531743E-2</v>
      </c>
      <c r="O1351" s="1"/>
    </row>
    <row r="1352" spans="1:15" x14ac:dyDescent="0.25">
      <c r="A1352">
        <v>2325</v>
      </c>
      <c r="B1352">
        <v>12635.06601</v>
      </c>
      <c r="C1352">
        <v>0</v>
      </c>
      <c r="D1352">
        <v>35019.303500000002</v>
      </c>
      <c r="E1352">
        <v>0</v>
      </c>
      <c r="F1352">
        <v>123696.25539999999</v>
      </c>
      <c r="G1352" s="1">
        <v>-2.0800000000000001E-5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</v>
      </c>
      <c r="M1352" s="1">
        <f t="shared" si="87"/>
        <v>0</v>
      </c>
      <c r="N1352" s="1">
        <f t="shared" si="88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>
        <v>0</v>
      </c>
      <c r="F1353">
        <v>106721.20450000001</v>
      </c>
      <c r="G1353" s="1">
        <v>-2.55E-5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0</v>
      </c>
      <c r="N1353" s="1">
        <f t="shared" si="88"/>
        <v>-0.23573154798256951</v>
      </c>
      <c r="O1353" s="1"/>
    </row>
    <row r="1354" spans="1:15" x14ac:dyDescent="0.25">
      <c r="A1354">
        <v>2329</v>
      </c>
      <c r="B1354">
        <v>5173.5063929999997</v>
      </c>
      <c r="C1354">
        <v>0</v>
      </c>
      <c r="D1354">
        <v>47450.377860000001</v>
      </c>
      <c r="E1354">
        <v>0</v>
      </c>
      <c r="F1354">
        <v>284064.07699999999</v>
      </c>
      <c r="G1354" s="1">
        <v>-2.51E-5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0</v>
      </c>
      <c r="M1354" s="1">
        <f t="shared" si="87"/>
        <v>0</v>
      </c>
      <c r="N1354" s="1">
        <f t="shared" si="88"/>
        <v>-0.1417022617587855</v>
      </c>
      <c r="O1354" s="1"/>
    </row>
    <row r="1355" spans="1:15" x14ac:dyDescent="0.25">
      <c r="A1355">
        <v>2330</v>
      </c>
      <c r="B1355">
        <v>10089.9548</v>
      </c>
      <c r="C1355">
        <v>0</v>
      </c>
      <c r="D1355">
        <v>32557.114389999999</v>
      </c>
      <c r="E1355">
        <v>0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0</v>
      </c>
      <c r="M1355" s="1">
        <f t="shared" si="87"/>
        <v>0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>
        <v>0</v>
      </c>
      <c r="D1356">
        <v>42746.193550000004</v>
      </c>
      <c r="E1356">
        <v>0</v>
      </c>
      <c r="F1356">
        <v>203773.18700000001</v>
      </c>
      <c r="G1356" s="1">
        <v>-1.19E-5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0</v>
      </c>
      <c r="M1356" s="1">
        <f t="shared" si="87"/>
        <v>0</v>
      </c>
      <c r="N1356" s="1">
        <f t="shared" si="88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>
        <v>0</v>
      </c>
      <c r="D1357">
        <v>31640.730479999998</v>
      </c>
      <c r="E1357">
        <v>0</v>
      </c>
      <c r="F1357">
        <v>112888.57490000001</v>
      </c>
      <c r="G1357" s="1">
        <v>3.8899999999999997E-5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0</v>
      </c>
      <c r="M1357" s="1">
        <f t="shared" si="87"/>
        <v>0</v>
      </c>
      <c r="N1357" s="1">
        <f t="shared" si="88"/>
        <v>0.11228852423778127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>
        <v>0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0</v>
      </c>
      <c r="M1358" s="1">
        <f t="shared" si="87"/>
        <v>0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>
        <v>0</v>
      </c>
      <c r="F1359">
        <v>76087.561809999999</v>
      </c>
      <c r="G1359" s="1">
        <v>7.9999999999999996E-7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0</v>
      </c>
      <c r="M1359" s="1">
        <f t="shared" si="87"/>
        <v>0</v>
      </c>
      <c r="N1359" s="1">
        <f t="shared" si="88"/>
        <v>2.5174575248316003E-3</v>
      </c>
      <c r="O1359" s="1"/>
    </row>
    <row r="1360" spans="1:15" x14ac:dyDescent="0.25">
      <c r="A1360">
        <v>2337</v>
      </c>
      <c r="B1360">
        <v>7899.7820030000003</v>
      </c>
      <c r="C1360">
        <v>0</v>
      </c>
      <c r="D1360">
        <v>41318.291060000003</v>
      </c>
      <c r="E1360">
        <v>0</v>
      </c>
      <c r="F1360">
        <v>89248.7978</v>
      </c>
      <c r="G1360" s="1">
        <v>-4.7299999999999996E-6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0</v>
      </c>
      <c r="M1360" s="1">
        <f t="shared" si="87"/>
        <v>0</v>
      </c>
      <c r="N1360" s="1">
        <f t="shared" si="88"/>
        <v>-8.5849635787118267E-2</v>
      </c>
      <c r="O1360" s="1"/>
    </row>
    <row r="1361" spans="1:15" x14ac:dyDescent="0.25">
      <c r="A1361">
        <v>2338</v>
      </c>
      <c r="B1361">
        <v>6265.1807429999999</v>
      </c>
      <c r="C1361">
        <v>0</v>
      </c>
      <c r="D1361">
        <v>35592.659209999998</v>
      </c>
      <c r="E1361">
        <v>0</v>
      </c>
      <c r="F1361">
        <v>98674.643490000002</v>
      </c>
      <c r="G1361" s="1">
        <v>-4.9699999999999998E-6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0</v>
      </c>
      <c r="M1361" s="1">
        <f t="shared" si="87"/>
        <v>0</v>
      </c>
      <c r="N1361" s="1">
        <f t="shared" si="88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>
        <v>0</v>
      </c>
      <c r="D1362">
        <v>40826.35312</v>
      </c>
      <c r="E1362">
        <v>0</v>
      </c>
      <c r="F1362">
        <v>96496.97997</v>
      </c>
      <c r="G1362" s="1">
        <v>3.9499999999999998E-7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0</v>
      </c>
      <c r="M1362" s="1">
        <f t="shared" si="87"/>
        <v>0</v>
      </c>
      <c r="N1362" s="1">
        <f t="shared" si="88"/>
        <v>1.4486529443586062E-3</v>
      </c>
      <c r="O1362" s="1"/>
    </row>
    <row r="1363" spans="1:15" x14ac:dyDescent="0.25">
      <c r="A1363">
        <v>2340</v>
      </c>
      <c r="B1363">
        <v>27250.369579999999</v>
      </c>
      <c r="C1363">
        <v>0</v>
      </c>
      <c r="D1363">
        <v>80036.948340000003</v>
      </c>
      <c r="E1363">
        <v>0</v>
      </c>
      <c r="F1363">
        <v>208834.3547</v>
      </c>
      <c r="G1363" s="1">
        <v>-1.7900000000000001E-5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0</v>
      </c>
      <c r="M1363" s="1">
        <f t="shared" si="87"/>
        <v>0</v>
      </c>
      <c r="N1363" s="1">
        <f t="shared" si="88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>
        <v>0</v>
      </c>
      <c r="F1364">
        <v>155958.39420000001</v>
      </c>
      <c r="G1364" s="1">
        <v>-1.03E-5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0</v>
      </c>
      <c r="M1364" s="1">
        <f t="shared" si="87"/>
        <v>0</v>
      </c>
      <c r="N1364" s="1">
        <f t="shared" si="88"/>
        <v>-4.8110479248998014E-2</v>
      </c>
      <c r="O1364" s="1"/>
    </row>
    <row r="1365" spans="1:15" x14ac:dyDescent="0.25">
      <c r="A1365">
        <v>2342</v>
      </c>
      <c r="B1365">
        <v>22344.64819</v>
      </c>
      <c r="C1365">
        <v>0</v>
      </c>
      <c r="D1365">
        <v>75113.985790000006</v>
      </c>
      <c r="E1365">
        <v>0</v>
      </c>
      <c r="F1365">
        <v>204857.07629999999</v>
      </c>
      <c r="G1365" s="1">
        <v>-7.7400000000000004E-6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</v>
      </c>
      <c r="M1365" s="1">
        <f t="shared" si="87"/>
        <v>0</v>
      </c>
      <c r="N1365" s="1">
        <f t="shared" si="88"/>
        <v>-3.9866347629282248E-2</v>
      </c>
      <c r="O1365" s="1"/>
    </row>
    <row r="1366" spans="1:15" x14ac:dyDescent="0.25">
      <c r="A1366">
        <v>2343</v>
      </c>
      <c r="B1366">
        <v>12411.87067</v>
      </c>
      <c r="C1366">
        <v>0</v>
      </c>
      <c r="D1366">
        <v>64382.905579999999</v>
      </c>
      <c r="E1366">
        <v>0</v>
      </c>
      <c r="F1366">
        <v>122993.5589</v>
      </c>
      <c r="G1366" s="1">
        <v>4.35E-5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0</v>
      </c>
      <c r="M1366" s="1">
        <f t="shared" si="87"/>
        <v>0</v>
      </c>
      <c r="N1366" s="1">
        <f t="shared" si="88"/>
        <v>0.2211435263652084</v>
      </c>
      <c r="O1366" s="1"/>
    </row>
    <row r="1367" spans="1:15" x14ac:dyDescent="0.25">
      <c r="A1367">
        <v>2346</v>
      </c>
      <c r="B1367">
        <v>13885.611290000001</v>
      </c>
      <c r="C1367">
        <v>0</v>
      </c>
      <c r="D1367">
        <v>59157.880640000003</v>
      </c>
      <c r="E1367">
        <v>0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0</v>
      </c>
      <c r="M1367" s="1">
        <f t="shared" si="87"/>
        <v>0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>
        <v>0</v>
      </c>
      <c r="D1368">
        <v>62917.131609999997</v>
      </c>
      <c r="E1368">
        <v>0</v>
      </c>
      <c r="F1368">
        <v>225173.36540000001</v>
      </c>
      <c r="G1368" s="1">
        <v>-1.2999999999999999E-5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0</v>
      </c>
      <c r="M1368" s="1">
        <f t="shared" si="87"/>
        <v>0</v>
      </c>
      <c r="N1368" s="1">
        <f t="shared" si="88"/>
        <v>-4.9775907070656003E-2</v>
      </c>
      <c r="O1368" s="1"/>
    </row>
    <row r="1369" spans="1:15" x14ac:dyDescent="0.25">
      <c r="A1369">
        <v>2348</v>
      </c>
      <c r="B1369">
        <v>13394.079</v>
      </c>
      <c r="C1369">
        <v>0</v>
      </c>
      <c r="D1369">
        <v>50842.049529999997</v>
      </c>
      <c r="E1369">
        <v>0</v>
      </c>
      <c r="F1369">
        <v>179458.47039999999</v>
      </c>
      <c r="G1369" s="1">
        <v>2.4700000000000001E-5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0</v>
      </c>
      <c r="M1369" s="1">
        <f t="shared" si="87"/>
        <v>0</v>
      </c>
      <c r="N1369" s="1">
        <f t="shared" si="88"/>
        <v>0.14698864630150743</v>
      </c>
      <c r="O1369" s="1"/>
    </row>
    <row r="1370" spans="1:15" x14ac:dyDescent="0.25">
      <c r="A1370">
        <v>2349</v>
      </c>
      <c r="B1370">
        <v>4139.7488810000004</v>
      </c>
      <c r="C1370">
        <v>0</v>
      </c>
      <c r="D1370">
        <v>28440.441760000002</v>
      </c>
      <c r="E1370">
        <v>0</v>
      </c>
      <c r="F1370">
        <v>81319.191999999995</v>
      </c>
      <c r="G1370" s="1">
        <v>4.6500000000000004E-6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0</v>
      </c>
      <c r="M1370" s="1">
        <f t="shared" si="87"/>
        <v>0</v>
      </c>
      <c r="N1370" s="1">
        <f t="shared" si="88"/>
        <v>2.4623376081638403E-2</v>
      </c>
      <c r="O1370" s="1"/>
    </row>
    <row r="1371" spans="1:15" x14ac:dyDescent="0.25">
      <c r="A1371">
        <v>2350</v>
      </c>
      <c r="B1371">
        <v>14784.036749999999</v>
      </c>
      <c r="C1371">
        <v>0</v>
      </c>
      <c r="D1371">
        <v>50426.3272</v>
      </c>
      <c r="E1371">
        <v>0</v>
      </c>
      <c r="F1371">
        <v>167488.21890000001</v>
      </c>
      <c r="G1371" s="1">
        <v>-6.2199999999999997E-6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0</v>
      </c>
      <c r="M1371" s="1">
        <f t="shared" si="87"/>
        <v>0</v>
      </c>
      <c r="N1371" s="1">
        <f t="shared" si="88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>
        <v>0</v>
      </c>
      <c r="D1372">
        <v>34539.308799999999</v>
      </c>
      <c r="E1372">
        <v>0</v>
      </c>
      <c r="F1372">
        <v>124898.09729999999</v>
      </c>
      <c r="G1372" s="1">
        <v>8.1300000000000001E-6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0</v>
      </c>
      <c r="M1372" s="1">
        <f t="shared" si="87"/>
        <v>0</v>
      </c>
      <c r="N1372" s="1">
        <f t="shared" si="88"/>
        <v>2.2181749655743783E-2</v>
      </c>
      <c r="O1372" s="1"/>
    </row>
    <row r="1373" spans="1:15" x14ac:dyDescent="0.25">
      <c r="A1373">
        <v>2352</v>
      </c>
      <c r="B1373">
        <v>4123.7917260000004</v>
      </c>
      <c r="C1373">
        <v>0</v>
      </c>
      <c r="D1373">
        <v>32034.823609999999</v>
      </c>
      <c r="E1373">
        <v>0</v>
      </c>
      <c r="F1373">
        <v>137208.75380000001</v>
      </c>
      <c r="G1373" s="1">
        <v>-1.8099999999999999E-5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0</v>
      </c>
      <c r="M1373" s="1">
        <f t="shared" si="87"/>
        <v>0</v>
      </c>
      <c r="N1373" s="1">
        <f t="shared" si="88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>
        <v>0</v>
      </c>
      <c r="D1374">
        <v>47593.93015</v>
      </c>
      <c r="E1374">
        <v>0</v>
      </c>
      <c r="F1374">
        <v>157651.6439</v>
      </c>
      <c r="G1374" s="1">
        <v>-3.57E-5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0</v>
      </c>
      <c r="M1374" s="1">
        <f t="shared" si="87"/>
        <v>0</v>
      </c>
      <c r="N1374" s="1">
        <f t="shared" si="88"/>
        <v>-0.11695846422314314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>
        <v>0</v>
      </c>
      <c r="F1375">
        <v>267964.56920000003</v>
      </c>
      <c r="G1375" s="1">
        <v>-6.8700000000000003E-6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0</v>
      </c>
      <c r="M1375" s="1">
        <f t="shared" si="87"/>
        <v>0</v>
      </c>
      <c r="N1375" s="1">
        <f t="shared" si="88"/>
        <v>-1.79000707440371E-2</v>
      </c>
      <c r="O1375" s="1"/>
    </row>
    <row r="1376" spans="1:15" x14ac:dyDescent="0.25">
      <c r="A1376">
        <v>2357</v>
      </c>
      <c r="B1376">
        <v>16213.58365</v>
      </c>
      <c r="C1376">
        <v>0</v>
      </c>
      <c r="D1376">
        <v>39817.660060000002</v>
      </c>
      <c r="E1376">
        <v>0</v>
      </c>
      <c r="F1376">
        <v>189743.06690000001</v>
      </c>
      <c r="G1376" s="1">
        <v>2.3200000000000001E-5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0</v>
      </c>
      <c r="M1376" s="1">
        <f t="shared" si="87"/>
        <v>0</v>
      </c>
      <c r="N1376" s="1">
        <f t="shared" si="88"/>
        <v>0.10267388847986521</v>
      </c>
      <c r="O1376" s="1"/>
    </row>
    <row r="1377" spans="1:15" x14ac:dyDescent="0.25">
      <c r="A1377">
        <v>2358</v>
      </c>
      <c r="B1377">
        <v>23431.708040000001</v>
      </c>
      <c r="C1377">
        <v>0</v>
      </c>
      <c r="D1377">
        <v>115876.8377</v>
      </c>
      <c r="E1377">
        <v>0</v>
      </c>
      <c r="F1377">
        <v>744364.68539999996</v>
      </c>
      <c r="G1377">
        <v>1446.2416499999999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0</v>
      </c>
      <c r="M1377" s="1">
        <f t="shared" si="87"/>
        <v>0</v>
      </c>
      <c r="N1377" s="1">
        <f t="shared" si="88"/>
        <v>5011383.2714089006</v>
      </c>
      <c r="O1377" s="1"/>
    </row>
    <row r="1378" spans="1:15" x14ac:dyDescent="0.25">
      <c r="A1378">
        <v>2359</v>
      </c>
      <c r="B1378">
        <v>8852.6879860000008</v>
      </c>
      <c r="C1378">
        <v>0</v>
      </c>
      <c r="D1378">
        <v>49933.622320000002</v>
      </c>
      <c r="E1378">
        <v>0</v>
      </c>
      <c r="F1378">
        <v>374495.75270000001</v>
      </c>
      <c r="G1378" s="1">
        <v>3.3399999999999999E-5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0</v>
      </c>
      <c r="M1378" s="1">
        <f t="shared" si="87"/>
        <v>0</v>
      </c>
      <c r="N1378" s="1">
        <f t="shared" si="88"/>
        <v>4.7758931129222755E-2</v>
      </c>
      <c r="O1378" s="1"/>
    </row>
    <row r="1379" spans="1:15" x14ac:dyDescent="0.25">
      <c r="A1379">
        <v>2360</v>
      </c>
      <c r="B1379">
        <v>11801.09022</v>
      </c>
      <c r="C1379">
        <v>0</v>
      </c>
      <c r="D1379">
        <v>64693.74884</v>
      </c>
      <c r="E1379">
        <v>0</v>
      </c>
      <c r="F1379">
        <v>367384.45640000002</v>
      </c>
      <c r="G1379" s="1">
        <v>4.49E-5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</v>
      </c>
      <c r="M1379" s="1">
        <f t="shared" si="87"/>
        <v>0</v>
      </c>
      <c r="N1379" s="1">
        <f t="shared" si="88"/>
        <v>0.22437849426099557</v>
      </c>
      <c r="O1379" s="1"/>
    </row>
    <row r="1380" spans="1:15" x14ac:dyDescent="0.25">
      <c r="A1380">
        <v>2361</v>
      </c>
      <c r="B1380">
        <v>9911.862556</v>
      </c>
      <c r="C1380">
        <v>0</v>
      </c>
      <c r="D1380">
        <v>49287.923880000002</v>
      </c>
      <c r="E1380">
        <v>0</v>
      </c>
      <c r="F1380">
        <v>233230.1685</v>
      </c>
      <c r="G1380" s="1">
        <v>-4.8900000000000003E-5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0</v>
      </c>
      <c r="M1380" s="1">
        <f t="shared" si="87"/>
        <v>0</v>
      </c>
      <c r="N1380" s="1">
        <f t="shared" si="88"/>
        <v>-0.25269977653447234</v>
      </c>
      <c r="O1380" s="1"/>
    </row>
    <row r="1381" spans="1:15" x14ac:dyDescent="0.25">
      <c r="A1381">
        <v>2362</v>
      </c>
      <c r="B1381">
        <v>3371.1959590000001</v>
      </c>
      <c r="C1381">
        <v>0</v>
      </c>
      <c r="D1381">
        <v>55499.417909999996</v>
      </c>
      <c r="E1381">
        <v>0</v>
      </c>
      <c r="F1381">
        <v>196842.7248</v>
      </c>
      <c r="G1381" s="1">
        <v>5.4199999999999998E-6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0</v>
      </c>
      <c r="M1381" s="1">
        <f t="shared" si="87"/>
        <v>0</v>
      </c>
      <c r="N1381" s="1">
        <f t="shared" si="88"/>
        <v>1.8928003165812109E-2</v>
      </c>
      <c r="O1381" s="1"/>
    </row>
    <row r="1382" spans="1:15" x14ac:dyDescent="0.25">
      <c r="A1382">
        <v>2363</v>
      </c>
      <c r="B1382">
        <v>2216.0178190000001</v>
      </c>
      <c r="C1382">
        <v>0</v>
      </c>
      <c r="D1382">
        <v>32911.021719999997</v>
      </c>
      <c r="E1382">
        <v>0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0</v>
      </c>
      <c r="M1382" s="1">
        <f t="shared" si="87"/>
        <v>0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>
        <v>0</v>
      </c>
      <c r="D1383">
        <v>17118.737239999999</v>
      </c>
      <c r="E1383">
        <v>0</v>
      </c>
      <c r="F1383">
        <v>81407.58683</v>
      </c>
      <c r="G1383" s="1">
        <v>-3.7299999999999999E-6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0</v>
      </c>
      <c r="M1383" s="1">
        <f t="shared" si="87"/>
        <v>0</v>
      </c>
      <c r="N1383" s="1">
        <f t="shared" si="88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>
        <v>0</v>
      </c>
      <c r="D1384">
        <v>77200.243069999997</v>
      </c>
      <c r="E1384">
        <v>0</v>
      </c>
      <c r="F1384">
        <v>264437.65159999998</v>
      </c>
      <c r="G1384" s="1">
        <v>-2.76E-5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0</v>
      </c>
      <c r="M1384" s="1">
        <f t="shared" si="87"/>
        <v>0</v>
      </c>
      <c r="N1384" s="1">
        <f t="shared" si="88"/>
        <v>-0.20212672165958881</v>
      </c>
      <c r="O1384" s="1"/>
    </row>
    <row r="1385" spans="1:15" x14ac:dyDescent="0.25">
      <c r="A1385">
        <v>2368</v>
      </c>
      <c r="B1385">
        <v>16406.450580000001</v>
      </c>
      <c r="C1385">
        <v>0</v>
      </c>
      <c r="D1385">
        <v>79310.248569999996</v>
      </c>
      <c r="E1385">
        <v>0</v>
      </c>
      <c r="F1385">
        <v>507183.68890000001</v>
      </c>
      <c r="G1385" s="1">
        <v>-1.77E-5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0</v>
      </c>
      <c r="M1385" s="1">
        <f t="shared" si="87"/>
        <v>0</v>
      </c>
      <c r="N1385" s="1">
        <f t="shared" si="88"/>
        <v>-6.6650761143036821E-2</v>
      </c>
      <c r="O1385" s="1"/>
    </row>
    <row r="1386" spans="1:15" x14ac:dyDescent="0.25">
      <c r="A1386">
        <v>2369</v>
      </c>
      <c r="B1386">
        <v>1244.7628239999999</v>
      </c>
      <c r="C1386">
        <v>0</v>
      </c>
      <c r="D1386">
        <v>10627.850899999999</v>
      </c>
      <c r="E1386">
        <v>0</v>
      </c>
      <c r="F1386">
        <v>64510.833250000003</v>
      </c>
      <c r="G1386" s="1">
        <v>3.7100000000000001E-6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0</v>
      </c>
      <c r="M1386" s="1">
        <f t="shared" si="87"/>
        <v>0</v>
      </c>
      <c r="N1386" s="1">
        <f t="shared" si="88"/>
        <v>3.7550389037511421E-2</v>
      </c>
      <c r="O1386" s="1"/>
    </row>
    <row r="1387" spans="1:15" x14ac:dyDescent="0.25">
      <c r="A1387">
        <v>2370</v>
      </c>
      <c r="B1387">
        <v>6324.0092180000001</v>
      </c>
      <c r="C1387">
        <v>0</v>
      </c>
      <c r="D1387">
        <v>81417.486699999994</v>
      </c>
      <c r="E1387">
        <v>0</v>
      </c>
      <c r="F1387">
        <v>750003.62589999998</v>
      </c>
      <c r="G1387" s="1">
        <v>3.18E-6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0</v>
      </c>
      <c r="M1387" s="1">
        <f t="shared" si="87"/>
        <v>0</v>
      </c>
      <c r="N1387" s="1">
        <f t="shared" si="88"/>
        <v>1.2448425576674324E-2</v>
      </c>
      <c r="O1387" s="1"/>
    </row>
    <row r="1388" spans="1:15" x14ac:dyDescent="0.25">
      <c r="A1388">
        <v>2371</v>
      </c>
      <c r="B1388">
        <v>4208.6502449999998</v>
      </c>
      <c r="C1388">
        <v>0</v>
      </c>
      <c r="D1388">
        <v>30845.287929999999</v>
      </c>
      <c r="E1388">
        <v>0</v>
      </c>
      <c r="F1388">
        <v>236497.83790000001</v>
      </c>
      <c r="G1388" s="1">
        <v>2.73E-5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0</v>
      </c>
      <c r="M1388" s="1">
        <f t="shared" si="87"/>
        <v>0</v>
      </c>
      <c r="N1388" s="1">
        <f t="shared" si="88"/>
        <v>4.0795189375122005E-2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>
        <v>0</v>
      </c>
      <c r="F1389">
        <v>442531.53220000002</v>
      </c>
      <c r="G1389" s="1">
        <v>1.8600000000000001E-5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0</v>
      </c>
      <c r="M1389" s="1">
        <f t="shared" si="87"/>
        <v>0</v>
      </c>
      <c r="N1389" s="1">
        <f t="shared" si="88"/>
        <v>8.6159755656371365E-2</v>
      </c>
      <c r="O1389" s="1"/>
    </row>
    <row r="1390" spans="1:15" x14ac:dyDescent="0.25">
      <c r="A1390">
        <v>2373</v>
      </c>
      <c r="B1390">
        <v>4914.3570799999998</v>
      </c>
      <c r="C1390">
        <v>0</v>
      </c>
      <c r="D1390">
        <v>60531.263980000003</v>
      </c>
      <c r="E1390">
        <v>0</v>
      </c>
      <c r="F1390">
        <v>634428.8713</v>
      </c>
      <c r="G1390" s="1">
        <v>3.7200000000000003E-5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0</v>
      </c>
      <c r="M1390" s="1">
        <f t="shared" si="87"/>
        <v>0</v>
      </c>
      <c r="N1390" s="1">
        <f t="shared" si="88"/>
        <v>0.17652734719306132</v>
      </c>
      <c r="O1390" s="1"/>
    </row>
    <row r="1391" spans="1:15" x14ac:dyDescent="0.25">
      <c r="A1391">
        <v>2374</v>
      </c>
      <c r="B1391">
        <v>4175.5759980000003</v>
      </c>
      <c r="C1391">
        <v>0</v>
      </c>
      <c r="D1391">
        <v>12918.43413</v>
      </c>
      <c r="E1391">
        <v>0</v>
      </c>
      <c r="F1391">
        <v>93548.28125</v>
      </c>
      <c r="G1391" s="1">
        <v>2.6000000000000001E-6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0</v>
      </c>
      <c r="M1391" s="1">
        <f t="shared" si="87"/>
        <v>0</v>
      </c>
      <c r="N1391" s="1">
        <f t="shared" si="88"/>
        <v>7.4599004426122804E-3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0</v>
      </c>
      <c r="M1392" s="1">
        <f t="shared" si="87"/>
        <v>0</v>
      </c>
      <c r="N1392" s="1">
        <f t="shared" si="88"/>
        <v>2.9367164333023922E-2</v>
      </c>
      <c r="O1392" s="1"/>
    </row>
    <row r="1393" spans="1:15" x14ac:dyDescent="0.25">
      <c r="A1393">
        <v>2376</v>
      </c>
      <c r="B1393">
        <v>4510.5886170000003</v>
      </c>
      <c r="C1393">
        <v>0</v>
      </c>
      <c r="D1393">
        <v>15773.28888</v>
      </c>
      <c r="E1393">
        <v>0</v>
      </c>
      <c r="F1393">
        <v>82818.721309999994</v>
      </c>
      <c r="G1393" s="1">
        <v>9.1999999999999998E-7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0</v>
      </c>
      <c r="M1393" s="1">
        <f t="shared" si="87"/>
        <v>0</v>
      </c>
      <c r="N1393" s="1">
        <f t="shared" si="88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>
        <v>0</v>
      </c>
      <c r="F1394">
        <v>33594.872620000002</v>
      </c>
      <c r="G1394" s="1">
        <v>5.3000000000000001E-7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0</v>
      </c>
      <c r="N1394" s="1">
        <f t="shared" si="88"/>
        <v>7.6157719247169605E-3</v>
      </c>
      <c r="O1394" s="1"/>
    </row>
    <row r="1395" spans="1:15" x14ac:dyDescent="0.25">
      <c r="A1395">
        <v>2380</v>
      </c>
      <c r="B1395">
        <v>22392.29967</v>
      </c>
      <c r="C1395">
        <v>0</v>
      </c>
      <c r="D1395">
        <v>48850.705909999997</v>
      </c>
      <c r="E1395">
        <v>0</v>
      </c>
      <c r="F1395">
        <v>199381.32180000001</v>
      </c>
      <c r="G1395" s="1">
        <v>3.4100000000000002E-5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0</v>
      </c>
      <c r="M1395" s="1">
        <f t="shared" si="87"/>
        <v>0</v>
      </c>
      <c r="N1395" s="1">
        <f t="shared" si="88"/>
        <v>0.11994449488625802</v>
      </c>
      <c r="O1395" s="1"/>
    </row>
    <row r="1396" spans="1:15" x14ac:dyDescent="0.25">
      <c r="A1396">
        <v>2381</v>
      </c>
      <c r="B1396">
        <v>20785.131089999999</v>
      </c>
      <c r="C1396">
        <v>0</v>
      </c>
      <c r="D1396">
        <v>49733.363230000003</v>
      </c>
      <c r="E1396">
        <v>0</v>
      </c>
      <c r="F1396">
        <v>239648.47330000001</v>
      </c>
      <c r="G1396" s="1">
        <v>3.3200000000000001E-5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0</v>
      </c>
      <c r="M1396" s="1">
        <f t="shared" si="87"/>
        <v>0</v>
      </c>
      <c r="N1396" s="1">
        <f t="shared" si="88"/>
        <v>0.2183787026700108</v>
      </c>
      <c r="O1396" s="1"/>
    </row>
    <row r="1397" spans="1:15" x14ac:dyDescent="0.25">
      <c r="A1397">
        <v>2382</v>
      </c>
      <c r="B1397">
        <v>9717.0596619999997</v>
      </c>
      <c r="C1397">
        <v>0</v>
      </c>
      <c r="D1397">
        <v>66506.619340000005</v>
      </c>
      <c r="E1397">
        <v>0</v>
      </c>
      <c r="F1397">
        <v>584187.07339999999</v>
      </c>
      <c r="G1397" s="1">
        <v>-1.06E-5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0</v>
      </c>
      <c r="M1397" s="1">
        <f t="shared" si="87"/>
        <v>0</v>
      </c>
      <c r="N1397" s="1">
        <f t="shared" si="88"/>
        <v>-2.3339350030344482E-2</v>
      </c>
      <c r="O1397" s="1"/>
    </row>
    <row r="1398" spans="1:15" x14ac:dyDescent="0.25">
      <c r="A1398">
        <v>2383</v>
      </c>
      <c r="B1398">
        <v>17820.928059999998</v>
      </c>
      <c r="C1398">
        <v>0</v>
      </c>
      <c r="D1398">
        <v>89266.982329999999</v>
      </c>
      <c r="E1398">
        <v>0</v>
      </c>
      <c r="F1398">
        <v>748807.98349999997</v>
      </c>
      <c r="G1398" s="1">
        <v>1.98E-5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0</v>
      </c>
      <c r="M1398" s="1">
        <f t="shared" si="87"/>
        <v>0</v>
      </c>
      <c r="N1398" s="1">
        <f t="shared" si="88"/>
        <v>5.9798910327706456E-2</v>
      </c>
      <c r="O1398" s="1"/>
    </row>
    <row r="1399" spans="1:15" x14ac:dyDescent="0.25">
      <c r="A1399">
        <v>2384</v>
      </c>
      <c r="B1399">
        <v>10252.66646</v>
      </c>
      <c r="C1399">
        <v>0</v>
      </c>
      <c r="D1399">
        <v>114755.8847</v>
      </c>
      <c r="E1399">
        <v>0</v>
      </c>
      <c r="F1399">
        <v>843246.9497</v>
      </c>
      <c r="G1399" s="1">
        <v>-3.8000000000000002E-5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0</v>
      </c>
      <c r="M1399" s="1">
        <f t="shared" si="87"/>
        <v>0</v>
      </c>
      <c r="N1399" s="1">
        <f t="shared" si="88"/>
        <v>-6.6328870929241807E-2</v>
      </c>
      <c r="O1399" s="1"/>
    </row>
    <row r="1400" spans="1:15" x14ac:dyDescent="0.25">
      <c r="A1400">
        <v>2385</v>
      </c>
      <c r="B1400">
        <v>6327.0735480000003</v>
      </c>
      <c r="C1400">
        <v>0</v>
      </c>
      <c r="D1400">
        <v>66511.068530000004</v>
      </c>
      <c r="E1400">
        <v>0</v>
      </c>
      <c r="F1400">
        <v>608604.41159999999</v>
      </c>
      <c r="G1400" s="1">
        <v>4.4299999999999999E-5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0</v>
      </c>
      <c r="M1400" s="1">
        <f t="shared" si="87"/>
        <v>0</v>
      </c>
      <c r="N1400" s="1">
        <f t="shared" si="88"/>
        <v>7.4365040531608903E-2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>
        <v>0</v>
      </c>
      <c r="F1401">
        <v>156986.27429999999</v>
      </c>
      <c r="G1401" s="1">
        <v>2.2900000000000001E-5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0</v>
      </c>
      <c r="M1401" s="1">
        <f t="shared" si="87"/>
        <v>0</v>
      </c>
      <c r="N1401" s="1">
        <f t="shared" si="88"/>
        <v>3.9782524253653175E-2</v>
      </c>
      <c r="O1401" s="1"/>
    </row>
    <row r="1402" spans="1:15" x14ac:dyDescent="0.25">
      <c r="A1402">
        <v>2387</v>
      </c>
      <c r="B1402">
        <v>3156.6983559999999</v>
      </c>
      <c r="C1402">
        <v>0</v>
      </c>
      <c r="D1402">
        <v>33666.468489999999</v>
      </c>
      <c r="E1402">
        <v>0</v>
      </c>
      <c r="F1402">
        <v>133808.43960000001</v>
      </c>
      <c r="G1402" s="1">
        <v>-3.6300000000000001E-5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0</v>
      </c>
      <c r="M1402" s="1">
        <f t="shared" si="87"/>
        <v>0</v>
      </c>
      <c r="N1402" s="1">
        <f t="shared" si="88"/>
        <v>-0.19782147651075813</v>
      </c>
      <c r="O1402" s="1"/>
    </row>
    <row r="1403" spans="1:15" x14ac:dyDescent="0.25">
      <c r="A1403">
        <v>2390</v>
      </c>
      <c r="B1403">
        <v>16895.13941</v>
      </c>
      <c r="C1403">
        <v>0</v>
      </c>
      <c r="D1403">
        <v>99675.016300000003</v>
      </c>
      <c r="E1403">
        <v>0</v>
      </c>
      <c r="F1403">
        <v>655484.62080000003</v>
      </c>
      <c r="G1403" s="1">
        <v>-4.07E-5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0</v>
      </c>
      <c r="M1403" s="1">
        <f t="shared" si="87"/>
        <v>0</v>
      </c>
      <c r="N1403" s="1">
        <f t="shared" si="88"/>
        <v>-0.247794404475189</v>
      </c>
      <c r="O1403" s="1"/>
    </row>
    <row r="1404" spans="1:15" x14ac:dyDescent="0.25">
      <c r="A1404">
        <v>2391</v>
      </c>
      <c r="B1404">
        <v>13581.542890000001</v>
      </c>
      <c r="C1404">
        <v>0</v>
      </c>
      <c r="D1404">
        <v>47956.235549999998</v>
      </c>
      <c r="E1404">
        <v>0</v>
      </c>
      <c r="F1404">
        <v>245420.86420000001</v>
      </c>
      <c r="G1404" s="1">
        <v>-4.1300000000000003E-6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0</v>
      </c>
      <c r="M1404" s="1">
        <f t="shared" si="87"/>
        <v>0</v>
      </c>
      <c r="N1404" s="1">
        <f t="shared" si="88"/>
        <v>-8.1367646983202171E-3</v>
      </c>
      <c r="O1404" s="1"/>
    </row>
    <row r="1405" spans="1:15" x14ac:dyDescent="0.25">
      <c r="A1405">
        <v>2392</v>
      </c>
      <c r="B1405">
        <v>11071.88795</v>
      </c>
      <c r="C1405">
        <v>0</v>
      </c>
      <c r="D1405">
        <v>48284.270709999997</v>
      </c>
      <c r="E1405">
        <v>0</v>
      </c>
      <c r="F1405">
        <v>189758.79759999999</v>
      </c>
      <c r="G1405" s="1">
        <v>5.6500000000000001E-6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0</v>
      </c>
      <c r="M1405" s="1">
        <f t="shared" si="87"/>
        <v>0</v>
      </c>
      <c r="N1405" s="1">
        <f t="shared" si="88"/>
        <v>1.3222264630508025E-2</v>
      </c>
      <c r="O1405" s="1"/>
    </row>
    <row r="1406" spans="1:15" x14ac:dyDescent="0.25">
      <c r="A1406">
        <v>2393</v>
      </c>
      <c r="B1406">
        <v>14572.43764</v>
      </c>
      <c r="C1406">
        <v>0</v>
      </c>
      <c r="D1406">
        <v>61310.222750000001</v>
      </c>
      <c r="E1406">
        <v>0</v>
      </c>
      <c r="F1406">
        <v>224775.83989999999</v>
      </c>
      <c r="G1406" s="1">
        <v>4.0500000000000002E-5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0</v>
      </c>
      <c r="M1406" s="1">
        <f t="shared" si="87"/>
        <v>0</v>
      </c>
      <c r="N1406" s="1">
        <f t="shared" si="88"/>
        <v>0.15905610767154602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>
        <v>0</v>
      </c>
      <c r="F1407">
        <v>226056.63089999999</v>
      </c>
      <c r="G1407" s="1">
        <v>-1.22E-5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0</v>
      </c>
      <c r="M1407" s="1">
        <f t="shared" si="87"/>
        <v>0</v>
      </c>
      <c r="N1407" s="1">
        <f t="shared" si="88"/>
        <v>-4.3750185134364482E-2</v>
      </c>
      <c r="O1407" s="1"/>
    </row>
    <row r="1408" spans="1:15" x14ac:dyDescent="0.25">
      <c r="A1408">
        <v>2395</v>
      </c>
      <c r="B1408">
        <v>19540.90425</v>
      </c>
      <c r="C1408">
        <v>0</v>
      </c>
      <c r="D1408">
        <v>92247.889070000005</v>
      </c>
      <c r="E1408">
        <v>0</v>
      </c>
      <c r="F1408">
        <v>412292.49430000002</v>
      </c>
      <c r="G1408" s="1">
        <v>-3.6699999999999998E-5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0</v>
      </c>
      <c r="M1408" s="1">
        <f t="shared" si="87"/>
        <v>0</v>
      </c>
      <c r="N1408" s="1">
        <f t="shared" si="88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>
        <v>0</v>
      </c>
      <c r="D1409">
        <v>32960.208209999997</v>
      </c>
      <c r="E1409">
        <v>0</v>
      </c>
      <c r="F1409">
        <v>151285.07070000001</v>
      </c>
      <c r="G1409" s="1">
        <v>-3.4700000000000003E-5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0</v>
      </c>
      <c r="M1409" s="1">
        <f t="shared" si="87"/>
        <v>0</v>
      </c>
      <c r="N1409" s="1">
        <f t="shared" si="88"/>
        <v>-5.888609777313928E-2</v>
      </c>
      <c r="O1409" s="1"/>
    </row>
    <row r="1410" spans="1:15" x14ac:dyDescent="0.25">
      <c r="A1410">
        <v>2397</v>
      </c>
      <c r="B1410">
        <v>20905.069630000002</v>
      </c>
      <c r="C1410">
        <v>0</v>
      </c>
      <c r="D1410">
        <v>113516.7182</v>
      </c>
      <c r="E1410">
        <v>0</v>
      </c>
      <c r="F1410">
        <v>592683.04209999996</v>
      </c>
      <c r="G1410" s="1">
        <v>-7.4499999999999996E-7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0</v>
      </c>
      <c r="M1410" s="1">
        <f t="shared" si="87"/>
        <v>0</v>
      </c>
      <c r="N1410" s="1">
        <f t="shared" si="88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>
        <v>0</v>
      </c>
      <c r="D1411">
        <v>28340.813740000001</v>
      </c>
      <c r="E1411">
        <v>0</v>
      </c>
      <c r="F1411">
        <v>131858.4663</v>
      </c>
      <c r="G1411" s="1">
        <v>-3.5899999999999998E-5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0</v>
      </c>
      <c r="M1411" s="1">
        <f t="shared" ref="M1411:M1474" si="91">$U$3*$K1411*E1411</f>
        <v>0</v>
      </c>
      <c r="N1411" s="1">
        <f t="shared" ref="N1411:N1474" si="92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>
        <v>0</v>
      </c>
      <c r="D1412">
        <v>81879.685110000006</v>
      </c>
      <c r="E1412">
        <v>0</v>
      </c>
      <c r="F1412">
        <v>695204.60900000005</v>
      </c>
      <c r="G1412" s="1">
        <v>4.3900000000000003E-5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0</v>
      </c>
      <c r="M1412" s="1">
        <f t="shared" si="91"/>
        <v>0</v>
      </c>
      <c r="N1412" s="1">
        <f t="shared" si="92"/>
        <v>0.12170812904934791</v>
      </c>
      <c r="O1412" s="1"/>
    </row>
    <row r="1413" spans="1:15" x14ac:dyDescent="0.25">
      <c r="A1413">
        <v>2501</v>
      </c>
      <c r="B1413">
        <v>11118.917719999999</v>
      </c>
      <c r="C1413">
        <v>0</v>
      </c>
      <c r="D1413">
        <v>74590.075779999999</v>
      </c>
      <c r="E1413">
        <v>0</v>
      </c>
      <c r="F1413">
        <v>722706.59920000006</v>
      </c>
      <c r="G1413" s="1">
        <v>6.3200000000000005E-7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</v>
      </c>
      <c r="M1413" s="1">
        <f t="shared" si="91"/>
        <v>0</v>
      </c>
      <c r="N1413" s="1">
        <f t="shared" si="92"/>
        <v>3.9837713640318243E-3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>
        <v>0</v>
      </c>
      <c r="F1414">
        <v>592986.01159999997</v>
      </c>
      <c r="G1414" s="1">
        <v>3.79E-5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0</v>
      </c>
      <c r="M1414" s="1">
        <f t="shared" si="91"/>
        <v>0</v>
      </c>
      <c r="N1414" s="1">
        <f t="shared" si="92"/>
        <v>0.11402931905142943</v>
      </c>
      <c r="O1414" s="1"/>
    </row>
    <row r="1415" spans="1:15" x14ac:dyDescent="0.25">
      <c r="A1415">
        <v>2503</v>
      </c>
      <c r="B1415">
        <v>16529.338250000001</v>
      </c>
      <c r="C1415">
        <v>0</v>
      </c>
      <c r="D1415">
        <v>113794.7803</v>
      </c>
      <c r="E1415">
        <v>0</v>
      </c>
      <c r="F1415">
        <v>873181.22880000004</v>
      </c>
      <c r="G1415" s="1">
        <v>-4.5300000000000003E-5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0</v>
      </c>
      <c r="M1415" s="1">
        <f t="shared" si="91"/>
        <v>0</v>
      </c>
      <c r="N1415" s="1">
        <f t="shared" si="92"/>
        <v>-3.9537286710651633E-2</v>
      </c>
      <c r="O1415" s="1"/>
    </row>
    <row r="1416" spans="1:15" x14ac:dyDescent="0.25">
      <c r="A1416">
        <v>2504</v>
      </c>
      <c r="B1416">
        <v>18553.46716</v>
      </c>
      <c r="C1416">
        <v>0</v>
      </c>
      <c r="D1416">
        <v>179474.571</v>
      </c>
      <c r="E1416">
        <v>0</v>
      </c>
      <c r="F1416">
        <v>983702.91399999999</v>
      </c>
      <c r="G1416">
        <v>3925.9695879999999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0</v>
      </c>
      <c r="M1416" s="1">
        <f t="shared" si="91"/>
        <v>0</v>
      </c>
      <c r="N1416" s="1">
        <f t="shared" si="92"/>
        <v>6016293.8187062358</v>
      </c>
      <c r="O1416" s="1"/>
    </row>
    <row r="1417" spans="1:15" x14ac:dyDescent="0.25">
      <c r="A1417">
        <v>2505</v>
      </c>
      <c r="B1417">
        <v>13364.962869999999</v>
      </c>
      <c r="C1417">
        <v>0</v>
      </c>
      <c r="D1417">
        <v>89059.392909999995</v>
      </c>
      <c r="E1417">
        <v>0</v>
      </c>
      <c r="F1417">
        <v>759028.58629999997</v>
      </c>
      <c r="G1417" s="1">
        <v>-4.5199999999999999E-6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0</v>
      </c>
      <c r="M1417" s="1">
        <f t="shared" si="91"/>
        <v>0</v>
      </c>
      <c r="N1417" s="1">
        <f t="shared" si="92"/>
        <v>-1.4565827290469065E-2</v>
      </c>
      <c r="O1417" s="1"/>
    </row>
    <row r="1418" spans="1:15" x14ac:dyDescent="0.25">
      <c r="A1418">
        <v>2506</v>
      </c>
      <c r="B1418">
        <v>15267.037410000001</v>
      </c>
      <c r="C1418">
        <v>0</v>
      </c>
      <c r="D1418">
        <v>50471.666219999999</v>
      </c>
      <c r="E1418">
        <v>0</v>
      </c>
      <c r="F1418">
        <v>296511.24339999998</v>
      </c>
      <c r="G1418" s="1">
        <v>2.48E-5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0</v>
      </c>
      <c r="M1418" s="1">
        <f t="shared" si="91"/>
        <v>0</v>
      </c>
      <c r="N1418" s="1">
        <f t="shared" si="92"/>
        <v>8.9401154863129689E-2</v>
      </c>
      <c r="O1418" s="1"/>
    </row>
    <row r="1419" spans="1:15" x14ac:dyDescent="0.25">
      <c r="A1419">
        <v>2507</v>
      </c>
      <c r="B1419">
        <v>13541.996090000001</v>
      </c>
      <c r="C1419">
        <v>0</v>
      </c>
      <c r="D1419">
        <v>100365.6896</v>
      </c>
      <c r="E1419">
        <v>0</v>
      </c>
      <c r="F1419">
        <v>832306.12659999996</v>
      </c>
      <c r="G1419" s="1">
        <v>-3.7499999999999997E-5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0</v>
      </c>
      <c r="M1419" s="1">
        <f t="shared" si="91"/>
        <v>0</v>
      </c>
      <c r="N1419" s="1">
        <f t="shared" si="92"/>
        <v>-6.2279093403371254E-2</v>
      </c>
      <c r="O1419" s="1"/>
    </row>
    <row r="1420" spans="1:15" x14ac:dyDescent="0.25">
      <c r="A1420">
        <v>2508</v>
      </c>
      <c r="B1420">
        <v>14692.40328</v>
      </c>
      <c r="C1420">
        <v>0</v>
      </c>
      <c r="D1420">
        <v>283895.69569999998</v>
      </c>
      <c r="E1420">
        <v>0</v>
      </c>
      <c r="F1420">
        <v>1046873.117</v>
      </c>
      <c r="G1420" s="1">
        <v>-1.3499999999999999E-5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0</v>
      </c>
      <c r="M1420" s="1">
        <f t="shared" si="91"/>
        <v>0</v>
      </c>
      <c r="N1420" s="1">
        <f t="shared" si="92"/>
        <v>-2.2126578339415951E-2</v>
      </c>
      <c r="O1420" s="1"/>
    </row>
    <row r="1421" spans="1:15" x14ac:dyDescent="0.25">
      <c r="A1421">
        <v>2509</v>
      </c>
      <c r="B1421">
        <v>16167.14156</v>
      </c>
      <c r="C1421">
        <v>0</v>
      </c>
      <c r="D1421">
        <v>99752.439809999996</v>
      </c>
      <c r="E1421">
        <v>0</v>
      </c>
      <c r="F1421">
        <v>930540.84970000002</v>
      </c>
      <c r="G1421" s="1">
        <v>-4.4499999999999997E-5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0</v>
      </c>
      <c r="M1421" s="1">
        <f t="shared" si="91"/>
        <v>0</v>
      </c>
      <c r="N1421" s="1">
        <f t="shared" si="92"/>
        <v>-9.4881996487414785E-2</v>
      </c>
      <c r="O1421" s="1"/>
    </row>
    <row r="1422" spans="1:15" x14ac:dyDescent="0.25">
      <c r="A1422">
        <v>2510</v>
      </c>
      <c r="B1422">
        <v>9906.1836390000008</v>
      </c>
      <c r="C1422">
        <v>0</v>
      </c>
      <c r="D1422">
        <v>105697.3042</v>
      </c>
      <c r="E1422">
        <v>0</v>
      </c>
      <c r="F1422">
        <v>922266.57330000005</v>
      </c>
      <c r="G1422" s="1">
        <v>-1.5699999999999999E-5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0</v>
      </c>
      <c r="M1422" s="1">
        <f t="shared" si="91"/>
        <v>0</v>
      </c>
      <c r="N1422" s="1">
        <f t="shared" si="92"/>
        <v>-4.602001254538797E-2</v>
      </c>
      <c r="O1422" s="1"/>
    </row>
    <row r="1423" spans="1:15" x14ac:dyDescent="0.25">
      <c r="A1423">
        <v>2511</v>
      </c>
      <c r="B1423">
        <v>50772.231910000002</v>
      </c>
      <c r="C1423">
        <v>0</v>
      </c>
      <c r="D1423">
        <v>613369.53079999995</v>
      </c>
      <c r="E1423">
        <v>0</v>
      </c>
      <c r="F1423">
        <v>1194168.173</v>
      </c>
      <c r="G1423">
        <v>8423.4294869999994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0</v>
      </c>
      <c r="M1423" s="1">
        <f t="shared" si="91"/>
        <v>0</v>
      </c>
      <c r="N1423" s="1">
        <f t="shared" si="92"/>
        <v>9164759.948849583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>
        <v>0</v>
      </c>
      <c r="F1424">
        <v>812920.58259999997</v>
      </c>
      <c r="G1424" s="1">
        <v>2.0699999999999998E-5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0</v>
      </c>
      <c r="N1424" s="1">
        <f t="shared" si="92"/>
        <v>3.7865458427913272E-2</v>
      </c>
      <c r="O1424" s="1"/>
    </row>
    <row r="1425" spans="1:15" x14ac:dyDescent="0.25">
      <c r="A1425">
        <v>2513</v>
      </c>
      <c r="B1425">
        <v>10561.35641</v>
      </c>
      <c r="C1425">
        <v>0</v>
      </c>
      <c r="D1425">
        <v>83192.438989999995</v>
      </c>
      <c r="E1425">
        <v>0</v>
      </c>
      <c r="F1425">
        <v>817784.63029999996</v>
      </c>
      <c r="G1425" s="1">
        <v>-3.8999999999999999E-5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0</v>
      </c>
      <c r="M1425" s="1">
        <f t="shared" si="91"/>
        <v>0</v>
      </c>
      <c r="N1425" s="1">
        <f t="shared" si="92"/>
        <v>-8.4840278615422204E-2</v>
      </c>
      <c r="O1425" s="1"/>
    </row>
    <row r="1426" spans="1:15" x14ac:dyDescent="0.25">
      <c r="A1426">
        <v>2514</v>
      </c>
      <c r="B1426">
        <v>15752.58568</v>
      </c>
      <c r="C1426">
        <v>0</v>
      </c>
      <c r="D1426">
        <v>97908.958889999994</v>
      </c>
      <c r="E1426">
        <v>0</v>
      </c>
      <c r="F1426">
        <v>904122.27859999996</v>
      </c>
      <c r="G1426" s="1">
        <v>-9.38E-6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0</v>
      </c>
      <c r="M1426" s="1">
        <f t="shared" si="91"/>
        <v>0</v>
      </c>
      <c r="N1426" s="1">
        <f t="shared" si="92"/>
        <v>-1.4894719720043898E-2</v>
      </c>
      <c r="O1426" s="1"/>
    </row>
    <row r="1427" spans="1:15" x14ac:dyDescent="0.25">
      <c r="A1427">
        <v>2515</v>
      </c>
      <c r="B1427">
        <v>24805.87732</v>
      </c>
      <c r="C1427">
        <v>0</v>
      </c>
      <c r="D1427">
        <v>403914.98509999999</v>
      </c>
      <c r="E1427">
        <v>0</v>
      </c>
      <c r="F1427">
        <v>1102505.2919999999</v>
      </c>
      <c r="G1427">
        <v>6687.015746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0</v>
      </c>
      <c r="M1427" s="1">
        <f t="shared" si="91"/>
        <v>0</v>
      </c>
      <c r="N1427" s="1">
        <f t="shared" si="92"/>
        <v>5309001.8014681228</v>
      </c>
      <c r="O1427" s="1"/>
    </row>
    <row r="1428" spans="1:15" x14ac:dyDescent="0.25">
      <c r="A1428">
        <v>2516</v>
      </c>
      <c r="B1428">
        <v>9856.5276240000003</v>
      </c>
      <c r="C1428">
        <v>0</v>
      </c>
      <c r="D1428">
        <v>70043.895919999995</v>
      </c>
      <c r="E1428">
        <v>0</v>
      </c>
      <c r="F1428">
        <v>683553.25719999999</v>
      </c>
      <c r="G1428" s="1">
        <v>2.1100000000000001E-5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0</v>
      </c>
      <c r="M1428" s="1">
        <f t="shared" si="91"/>
        <v>0</v>
      </c>
      <c r="N1428" s="1">
        <f t="shared" si="92"/>
        <v>6.0339830354387412E-2</v>
      </c>
      <c r="O1428" s="1"/>
    </row>
    <row r="1429" spans="1:15" x14ac:dyDescent="0.25">
      <c r="A1429">
        <v>2517</v>
      </c>
      <c r="B1429">
        <v>14202.024649999999</v>
      </c>
      <c r="C1429">
        <v>0</v>
      </c>
      <c r="D1429">
        <v>78482.637289999999</v>
      </c>
      <c r="E1429">
        <v>0</v>
      </c>
      <c r="F1429">
        <v>698631.98829999997</v>
      </c>
      <c r="G1429" s="1">
        <v>-1.5999999999999999E-5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0</v>
      </c>
      <c r="M1429" s="1">
        <f t="shared" si="91"/>
        <v>0</v>
      </c>
      <c r="N1429" s="1">
        <f t="shared" si="92"/>
        <v>-3.3328511757009606E-2</v>
      </c>
      <c r="O1429" s="1"/>
    </row>
    <row r="1430" spans="1:15" x14ac:dyDescent="0.25">
      <c r="A1430">
        <v>2518</v>
      </c>
      <c r="B1430">
        <v>10786.761140000001</v>
      </c>
      <c r="C1430">
        <v>0</v>
      </c>
      <c r="D1430">
        <v>70270.963570000007</v>
      </c>
      <c r="E1430">
        <v>0</v>
      </c>
      <c r="F1430">
        <v>519274.24170000001</v>
      </c>
      <c r="G1430" s="1">
        <v>3.8999999999999999E-5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0</v>
      </c>
      <c r="M1430" s="1">
        <f t="shared" si="91"/>
        <v>0</v>
      </c>
      <c r="N1430" s="1">
        <f t="shared" si="92"/>
        <v>9.9462951483491713E-2</v>
      </c>
      <c r="O1430" s="1"/>
    </row>
    <row r="1431" spans="1:15" x14ac:dyDescent="0.25">
      <c r="A1431">
        <v>2519</v>
      </c>
      <c r="B1431">
        <v>4747.8221869999998</v>
      </c>
      <c r="C1431">
        <v>0</v>
      </c>
      <c r="D1431">
        <v>49270.86335</v>
      </c>
      <c r="E1431">
        <v>0</v>
      </c>
      <c r="F1431">
        <v>709075.16229999997</v>
      </c>
      <c r="G1431" s="1">
        <v>4.4499999999999997E-5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0</v>
      </c>
      <c r="M1431" s="1">
        <f t="shared" si="91"/>
        <v>0</v>
      </c>
      <c r="N1431" s="1">
        <f t="shared" si="92"/>
        <v>0.11528594755291484</v>
      </c>
      <c r="O1431" s="1"/>
    </row>
    <row r="1432" spans="1:15" x14ac:dyDescent="0.25">
      <c r="A1432">
        <v>2520</v>
      </c>
      <c r="B1432">
        <v>16739.973959999999</v>
      </c>
      <c r="C1432">
        <v>0</v>
      </c>
      <c r="D1432">
        <v>93607.958960000004</v>
      </c>
      <c r="E1432">
        <v>0</v>
      </c>
      <c r="F1432">
        <v>833337.51699999999</v>
      </c>
      <c r="G1432" s="1">
        <v>1.6500000000000001E-5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0</v>
      </c>
      <c r="M1432" s="1">
        <f t="shared" si="91"/>
        <v>0</v>
      </c>
      <c r="N1432" s="1">
        <f t="shared" si="92"/>
        <v>8.4857927239107012E-2</v>
      </c>
      <c r="O1432" s="1"/>
    </row>
    <row r="1433" spans="1:15" x14ac:dyDescent="0.25">
      <c r="A1433">
        <v>2521</v>
      </c>
      <c r="B1433">
        <v>3194.5337279999999</v>
      </c>
      <c r="C1433">
        <v>0</v>
      </c>
      <c r="D1433">
        <v>37846.503250000002</v>
      </c>
      <c r="E1433">
        <v>0</v>
      </c>
      <c r="F1433">
        <v>658738.56240000005</v>
      </c>
      <c r="G1433" s="1">
        <v>-2.7900000000000001E-5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0</v>
      </c>
      <c r="M1433" s="1">
        <f t="shared" si="91"/>
        <v>0</v>
      </c>
      <c r="N1433" s="1">
        <f t="shared" si="92"/>
        <v>-0.13978176571328715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>
        <v>0</v>
      </c>
      <c r="F1434">
        <v>562069.15560000006</v>
      </c>
      <c r="G1434" s="1">
        <v>-3.2799999999999998E-5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0</v>
      </c>
      <c r="M1434" s="1">
        <f t="shared" si="91"/>
        <v>0</v>
      </c>
      <c r="N1434" s="1">
        <f t="shared" si="92"/>
        <v>-0.1132997156216244</v>
      </c>
      <c r="O1434" s="1"/>
    </row>
    <row r="1435" spans="1:15" x14ac:dyDescent="0.25">
      <c r="A1435">
        <v>2523</v>
      </c>
      <c r="B1435">
        <v>3312.7667799999999</v>
      </c>
      <c r="C1435">
        <v>0</v>
      </c>
      <c r="D1435">
        <v>398733.05290000001</v>
      </c>
      <c r="E1435">
        <v>0</v>
      </c>
      <c r="F1435">
        <v>931812.69299999997</v>
      </c>
      <c r="G1435">
        <v>8586.2786180000003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0</v>
      </c>
      <c r="M1435" s="1">
        <f t="shared" si="91"/>
        <v>0</v>
      </c>
      <c r="N1435" s="1">
        <f t="shared" si="92"/>
        <v>27789387.084956005</v>
      </c>
      <c r="O1435" s="1"/>
    </row>
    <row r="1436" spans="1:15" x14ac:dyDescent="0.25">
      <c r="A1436">
        <v>2524</v>
      </c>
      <c r="B1436">
        <v>5384.4245110000002</v>
      </c>
      <c r="C1436">
        <v>0</v>
      </c>
      <c r="D1436">
        <v>132290.78400000001</v>
      </c>
      <c r="E1436">
        <v>0</v>
      </c>
      <c r="F1436">
        <v>834132.72679999995</v>
      </c>
      <c r="G1436">
        <v>7306.0044189999999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0</v>
      </c>
      <c r="M1436" s="1">
        <f t="shared" si="91"/>
        <v>0</v>
      </c>
      <c r="N1436" s="1">
        <f t="shared" si="92"/>
        <v>42157953.255539991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>
        <v>0</v>
      </c>
      <c r="F1437">
        <v>692557.83129999996</v>
      </c>
      <c r="G1437" s="1">
        <v>1.1600000000000001E-5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0</v>
      </c>
      <c r="M1437" s="1">
        <f t="shared" si="91"/>
        <v>0</v>
      </c>
      <c r="N1437" s="1">
        <f t="shared" si="92"/>
        <v>3.7749784949184725E-2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>
        <v>0</v>
      </c>
      <c r="F1438">
        <v>444762.88170000003</v>
      </c>
      <c r="G1438">
        <v>8992.2944439999992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0</v>
      </c>
      <c r="M1438" s="1">
        <f t="shared" si="91"/>
        <v>0</v>
      </c>
      <c r="N1438" s="1">
        <f t="shared" si="92"/>
        <v>45497170.559853762</v>
      </c>
      <c r="O1438" s="1"/>
    </row>
    <row r="1439" spans="1:15" x14ac:dyDescent="0.25">
      <c r="A1439">
        <v>2527</v>
      </c>
      <c r="B1439">
        <v>7305.4470940000001</v>
      </c>
      <c r="C1439">
        <v>0</v>
      </c>
      <c r="D1439">
        <v>28729.615290000002</v>
      </c>
      <c r="E1439">
        <v>0</v>
      </c>
      <c r="F1439">
        <v>157449.26730000001</v>
      </c>
      <c r="G1439" s="1">
        <v>8.2900000000000002E-6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0</v>
      </c>
      <c r="M1439" s="1">
        <f t="shared" si="91"/>
        <v>0</v>
      </c>
      <c r="N1439" s="1">
        <f t="shared" si="92"/>
        <v>5.1638177295977791E-2</v>
      </c>
      <c r="O1439" s="1"/>
    </row>
    <row r="1440" spans="1:15" x14ac:dyDescent="0.25">
      <c r="A1440">
        <v>2528</v>
      </c>
      <c r="B1440">
        <v>7699.652188</v>
      </c>
      <c r="C1440">
        <v>0</v>
      </c>
      <c r="D1440">
        <v>56205.165240000002</v>
      </c>
      <c r="E1440">
        <v>0</v>
      </c>
      <c r="F1440">
        <v>454760.26169999997</v>
      </c>
      <c r="G1440">
        <v>8992.294484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0</v>
      </c>
      <c r="M1440" s="1">
        <f t="shared" si="91"/>
        <v>0</v>
      </c>
      <c r="N1440" s="1">
        <f t="shared" si="92"/>
        <v>18069417.287743229</v>
      </c>
      <c r="O1440" s="1"/>
    </row>
    <row r="1441" spans="1:15" x14ac:dyDescent="0.25">
      <c r="A1441">
        <v>2529</v>
      </c>
      <c r="B1441">
        <v>12855.15619</v>
      </c>
      <c r="C1441">
        <v>0</v>
      </c>
      <c r="D1441">
        <v>98088.945590000003</v>
      </c>
      <c r="E1441">
        <v>0</v>
      </c>
      <c r="F1441">
        <v>830276.27040000004</v>
      </c>
      <c r="G1441" s="1">
        <v>-1.66E-5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0</v>
      </c>
      <c r="M1441" s="1">
        <f t="shared" si="91"/>
        <v>0</v>
      </c>
      <c r="N1441" s="1">
        <f t="shared" si="92"/>
        <v>-1.6231352739673983E-2</v>
      </c>
      <c r="O1441" s="1"/>
    </row>
    <row r="1442" spans="1:15" x14ac:dyDescent="0.25">
      <c r="A1442">
        <v>2530</v>
      </c>
      <c r="B1442">
        <v>10881.01316</v>
      </c>
      <c r="C1442">
        <v>0</v>
      </c>
      <c r="D1442">
        <v>77003.991269999999</v>
      </c>
      <c r="E1442">
        <v>0</v>
      </c>
      <c r="F1442">
        <v>801878.28749999998</v>
      </c>
      <c r="G1442" s="1">
        <v>-1.31E-5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0</v>
      </c>
      <c r="M1442" s="1">
        <f t="shared" si="91"/>
        <v>0</v>
      </c>
      <c r="N1442" s="1">
        <f t="shared" si="92"/>
        <v>-2.1968101413682804E-2</v>
      </c>
      <c r="O1442" s="1"/>
    </row>
    <row r="1443" spans="1:15" x14ac:dyDescent="0.25">
      <c r="A1443">
        <v>2531</v>
      </c>
      <c r="B1443">
        <v>7358.5445259999997</v>
      </c>
      <c r="C1443">
        <v>0</v>
      </c>
      <c r="D1443">
        <v>69165.288839999994</v>
      </c>
      <c r="E1443">
        <v>0</v>
      </c>
      <c r="F1443">
        <v>573515.41469999996</v>
      </c>
      <c r="G1443" s="1">
        <v>4.7299999999999998E-5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0</v>
      </c>
      <c r="M1443" s="1">
        <f t="shared" si="91"/>
        <v>0</v>
      </c>
      <c r="N1443" s="1">
        <f t="shared" si="92"/>
        <v>0.12406632310042971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>
        <v>0</v>
      </c>
      <c r="F1444">
        <v>484864.93770000001</v>
      </c>
      <c r="G1444" s="1">
        <v>1.33E-5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0</v>
      </c>
      <c r="M1444" s="1">
        <f t="shared" si="91"/>
        <v>0</v>
      </c>
      <c r="N1444" s="1">
        <f t="shared" si="92"/>
        <v>2.806098021197604E-2</v>
      </c>
      <c r="O1444" s="1"/>
    </row>
    <row r="1445" spans="1:15" x14ac:dyDescent="0.25">
      <c r="A1445">
        <v>2533</v>
      </c>
      <c r="B1445">
        <v>23562.116129999999</v>
      </c>
      <c r="C1445">
        <v>0</v>
      </c>
      <c r="D1445">
        <v>152744.84760000001</v>
      </c>
      <c r="E1445">
        <v>0</v>
      </c>
      <c r="F1445">
        <v>963188.60649999999</v>
      </c>
      <c r="G1445" s="1">
        <v>2.5400000000000001E-5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0</v>
      </c>
      <c r="M1445" s="1">
        <f t="shared" si="91"/>
        <v>0</v>
      </c>
      <c r="N1445" s="1">
        <f t="shared" si="92"/>
        <v>3.8085028464654842E-2</v>
      </c>
      <c r="O1445" s="1"/>
    </row>
    <row r="1446" spans="1:15" x14ac:dyDescent="0.25">
      <c r="A1446">
        <v>2534</v>
      </c>
      <c r="B1446">
        <v>13082.04694</v>
      </c>
      <c r="C1446">
        <v>0</v>
      </c>
      <c r="D1446">
        <v>57468.602220000001</v>
      </c>
      <c r="E1446">
        <v>0</v>
      </c>
      <c r="F1446">
        <v>553483.22329999995</v>
      </c>
      <c r="G1446" s="1">
        <v>-2.9E-5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0</v>
      </c>
      <c r="M1446" s="1">
        <f t="shared" si="91"/>
        <v>0</v>
      </c>
      <c r="N1446" s="1">
        <f t="shared" si="92"/>
        <v>-5.4046640984367005E-2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>
        <v>0</v>
      </c>
      <c r="F1447">
        <v>913767.14439999999</v>
      </c>
      <c r="G1447" s="1">
        <v>2.48E-5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0</v>
      </c>
      <c r="M1447" s="1">
        <f t="shared" si="91"/>
        <v>0</v>
      </c>
      <c r="N1447" s="1">
        <f t="shared" si="92"/>
        <v>3.2337004590792966E-2</v>
      </c>
      <c r="O1447" s="1"/>
    </row>
    <row r="1448" spans="1:15" x14ac:dyDescent="0.25">
      <c r="A1448">
        <v>2536</v>
      </c>
      <c r="B1448">
        <v>10482.329970000001</v>
      </c>
      <c r="C1448">
        <v>0</v>
      </c>
      <c r="D1448">
        <v>61247.523430000001</v>
      </c>
      <c r="E1448">
        <v>0</v>
      </c>
      <c r="F1448">
        <v>597138.75040000002</v>
      </c>
      <c r="G1448" s="1">
        <v>-4.9699999999999998E-6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0</v>
      </c>
      <c r="M1448" s="1">
        <f t="shared" si="91"/>
        <v>0</v>
      </c>
      <c r="N1448" s="1">
        <f t="shared" si="92"/>
        <v>-1.1315251345283992E-2</v>
      </c>
      <c r="O1448" s="1"/>
    </row>
    <row r="1449" spans="1:15" x14ac:dyDescent="0.25">
      <c r="A1449">
        <v>2537</v>
      </c>
      <c r="B1449">
        <v>10541.38975</v>
      </c>
      <c r="C1449">
        <v>0</v>
      </c>
      <c r="D1449">
        <v>65434.140070000001</v>
      </c>
      <c r="E1449">
        <v>0</v>
      </c>
      <c r="F1449">
        <v>642830.53449999995</v>
      </c>
      <c r="G1449" s="1">
        <v>1.4100000000000001E-5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0</v>
      </c>
      <c r="M1449" s="1">
        <f t="shared" si="91"/>
        <v>0</v>
      </c>
      <c r="N1449" s="1">
        <f t="shared" si="92"/>
        <v>1.8625724395579264E-2</v>
      </c>
      <c r="O1449" s="1"/>
    </row>
    <row r="1450" spans="1:15" x14ac:dyDescent="0.25">
      <c r="A1450">
        <v>2538</v>
      </c>
      <c r="B1450">
        <v>17717.064149999998</v>
      </c>
      <c r="C1450">
        <v>0</v>
      </c>
      <c r="D1450">
        <v>71094.636710000006</v>
      </c>
      <c r="E1450">
        <v>0</v>
      </c>
      <c r="F1450">
        <v>674898.61699999997</v>
      </c>
      <c r="G1450" s="1">
        <v>2.3499999999999999E-5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0</v>
      </c>
      <c r="M1450" s="1">
        <f t="shared" si="91"/>
        <v>0</v>
      </c>
      <c r="N1450" s="1">
        <f t="shared" si="92"/>
        <v>3.5542422867514196E-2</v>
      </c>
      <c r="O1450" s="1"/>
    </row>
    <row r="1451" spans="1:15" x14ac:dyDescent="0.25">
      <c r="A1451">
        <v>2539</v>
      </c>
      <c r="B1451">
        <v>18074.597600000001</v>
      </c>
      <c r="C1451">
        <v>0</v>
      </c>
      <c r="D1451">
        <v>69999.628620000003</v>
      </c>
      <c r="E1451">
        <v>0</v>
      </c>
      <c r="F1451">
        <v>639155.77989999996</v>
      </c>
      <c r="G1451" s="1">
        <v>-2.9E-5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0</v>
      </c>
      <c r="M1451" s="1">
        <f t="shared" si="91"/>
        <v>0</v>
      </c>
      <c r="N1451" s="1">
        <f t="shared" si="92"/>
        <v>-2.6478784450750501E-2</v>
      </c>
      <c r="O1451" s="1"/>
    </row>
    <row r="1452" spans="1:15" x14ac:dyDescent="0.25">
      <c r="A1452">
        <v>2540</v>
      </c>
      <c r="B1452">
        <v>8536.5006649999996</v>
      </c>
      <c r="C1452">
        <v>0</v>
      </c>
      <c r="D1452">
        <v>60615.524550000002</v>
      </c>
      <c r="E1452">
        <v>0</v>
      </c>
      <c r="F1452">
        <v>456695.66100000002</v>
      </c>
      <c r="G1452" s="1">
        <v>3.4600000000000001E-5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0</v>
      </c>
      <c r="M1452" s="1">
        <f t="shared" si="91"/>
        <v>0</v>
      </c>
      <c r="N1452" s="1">
        <f t="shared" si="92"/>
        <v>3.8788930644571624E-2</v>
      </c>
      <c r="O1452" s="1"/>
    </row>
    <row r="1453" spans="1:15" x14ac:dyDescent="0.25">
      <c r="A1453">
        <v>2541</v>
      </c>
      <c r="B1453">
        <v>9243.7114320000001</v>
      </c>
      <c r="C1453">
        <v>0</v>
      </c>
      <c r="D1453">
        <v>47131.468390000002</v>
      </c>
      <c r="E1453">
        <v>0</v>
      </c>
      <c r="F1453">
        <v>252122.69279999999</v>
      </c>
      <c r="G1453" s="1">
        <v>-4.21E-5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0</v>
      </c>
      <c r="M1453" s="1">
        <f t="shared" si="91"/>
        <v>0</v>
      </c>
      <c r="N1453" s="1">
        <f t="shared" si="92"/>
        <v>-7.8271843571426289E-2</v>
      </c>
      <c r="O1453" s="1"/>
    </row>
    <row r="1454" spans="1:15" x14ac:dyDescent="0.25">
      <c r="A1454">
        <v>2542</v>
      </c>
      <c r="B1454">
        <v>13932.53816</v>
      </c>
      <c r="C1454">
        <v>0</v>
      </c>
      <c r="D1454">
        <v>65045.949719999997</v>
      </c>
      <c r="E1454">
        <v>0</v>
      </c>
      <c r="F1454">
        <v>258009.1476</v>
      </c>
      <c r="G1454" s="1">
        <v>1.4600000000000001E-5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0</v>
      </c>
      <c r="M1454" s="1">
        <f t="shared" si="91"/>
        <v>0</v>
      </c>
      <c r="N1454" s="1">
        <f t="shared" si="92"/>
        <v>3.6320380072873387E-2</v>
      </c>
      <c r="O1454" s="1"/>
    </row>
    <row r="1455" spans="1:15" x14ac:dyDescent="0.25">
      <c r="A1455">
        <v>2543</v>
      </c>
      <c r="B1455">
        <v>24823.393629999999</v>
      </c>
      <c r="C1455">
        <v>0</v>
      </c>
      <c r="D1455">
        <v>109142.33749999999</v>
      </c>
      <c r="E1455">
        <v>0</v>
      </c>
      <c r="F1455">
        <v>812017.7378</v>
      </c>
      <c r="G1455" s="1">
        <v>1.8199999999999999E-5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0</v>
      </c>
      <c r="M1455" s="1">
        <f t="shared" si="91"/>
        <v>0</v>
      </c>
      <c r="N1455" s="1">
        <f t="shared" si="92"/>
        <v>3.0283257480397743E-2</v>
      </c>
      <c r="O1455" s="1"/>
    </row>
    <row r="1456" spans="1:15" x14ac:dyDescent="0.25">
      <c r="A1456">
        <v>2544</v>
      </c>
      <c r="B1456">
        <v>26906.371459999998</v>
      </c>
      <c r="C1456">
        <v>0</v>
      </c>
      <c r="D1456">
        <v>85374.871109999993</v>
      </c>
      <c r="E1456">
        <v>0</v>
      </c>
      <c r="F1456">
        <v>254354.89309999999</v>
      </c>
      <c r="G1456" s="1">
        <v>9.8800000000000003E-6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0</v>
      </c>
      <c r="M1456" s="1">
        <f t="shared" si="91"/>
        <v>0</v>
      </c>
      <c r="N1456" s="1">
        <f t="shared" si="92"/>
        <v>2.2002619031978209E-2</v>
      </c>
      <c r="O1456" s="1"/>
    </row>
    <row r="1457" spans="1:15" x14ac:dyDescent="0.25">
      <c r="A1457">
        <v>2545</v>
      </c>
      <c r="B1457">
        <v>18377.9591</v>
      </c>
      <c r="C1457">
        <v>0</v>
      </c>
      <c r="D1457">
        <v>72599.067150000003</v>
      </c>
      <c r="E1457">
        <v>0</v>
      </c>
      <c r="F1457">
        <v>293182.32209999999</v>
      </c>
      <c r="G1457" s="1">
        <v>-3.8999999999999999E-5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0</v>
      </c>
      <c r="M1457" s="1">
        <f t="shared" si="91"/>
        <v>0</v>
      </c>
      <c r="N1457" s="1">
        <f t="shared" si="92"/>
        <v>-0.10753862160876121</v>
      </c>
      <c r="O1457" s="1"/>
    </row>
    <row r="1458" spans="1:15" x14ac:dyDescent="0.25">
      <c r="A1458">
        <v>2546</v>
      </c>
      <c r="B1458">
        <v>6579.0122460000002</v>
      </c>
      <c r="C1458">
        <v>0</v>
      </c>
      <c r="D1458">
        <v>47460.183499999999</v>
      </c>
      <c r="E1458">
        <v>0</v>
      </c>
      <c r="F1458">
        <v>156367.8259</v>
      </c>
      <c r="G1458" s="1">
        <v>-3.0499999999999999E-5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0</v>
      </c>
      <c r="M1458" s="1">
        <f t="shared" si="91"/>
        <v>0</v>
      </c>
      <c r="N1458" s="1">
        <f t="shared" si="92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>
        <v>0</v>
      </c>
      <c r="D1459">
        <v>46527.856820000001</v>
      </c>
      <c r="E1459">
        <v>0</v>
      </c>
      <c r="F1459">
        <v>156158.9547</v>
      </c>
      <c r="G1459" s="1">
        <v>2.12E-5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0</v>
      </c>
      <c r="M1459" s="1">
        <f t="shared" si="91"/>
        <v>0</v>
      </c>
      <c r="N1459" s="1">
        <f t="shared" si="92"/>
        <v>3.1422099024997444E-2</v>
      </c>
      <c r="O1459" s="1"/>
    </row>
    <row r="1460" spans="1:15" x14ac:dyDescent="0.25">
      <c r="A1460">
        <v>2548</v>
      </c>
      <c r="B1460">
        <v>7992.0134799999996</v>
      </c>
      <c r="C1460">
        <v>0</v>
      </c>
      <c r="D1460">
        <v>54154.776980000002</v>
      </c>
      <c r="E1460">
        <v>0</v>
      </c>
      <c r="F1460">
        <v>207540.14629999999</v>
      </c>
      <c r="G1460" s="1">
        <v>1.9400000000000001E-5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0</v>
      </c>
      <c r="M1460" s="1">
        <f t="shared" si="91"/>
        <v>0</v>
      </c>
      <c r="N1460" s="1">
        <f t="shared" si="92"/>
        <v>7.0196178263441336E-2</v>
      </c>
      <c r="O1460" s="1"/>
    </row>
    <row r="1461" spans="1:15" x14ac:dyDescent="0.25">
      <c r="A1461">
        <v>2549</v>
      </c>
      <c r="B1461">
        <v>5753.4970389999999</v>
      </c>
      <c r="C1461">
        <v>0</v>
      </c>
      <c r="D1461">
        <v>33534.738559999998</v>
      </c>
      <c r="E1461">
        <v>0</v>
      </c>
      <c r="F1461">
        <v>116890.06170000001</v>
      </c>
      <c r="G1461" s="1">
        <v>5.48E-6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0</v>
      </c>
      <c r="M1461" s="1">
        <f t="shared" si="91"/>
        <v>0</v>
      </c>
      <c r="N1461" s="1">
        <f t="shared" si="92"/>
        <v>2.3934000076824218E-2</v>
      </c>
      <c r="O1461" s="1"/>
    </row>
    <row r="1462" spans="1:15" x14ac:dyDescent="0.25">
      <c r="A1462">
        <v>2550</v>
      </c>
      <c r="B1462">
        <v>7974.5623240000004</v>
      </c>
      <c r="C1462">
        <v>0</v>
      </c>
      <c r="D1462">
        <v>52731.386939999997</v>
      </c>
      <c r="E1462">
        <v>0</v>
      </c>
      <c r="F1462">
        <v>272646.63929999998</v>
      </c>
      <c r="G1462" s="1">
        <v>1.1000000000000001E-7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0</v>
      </c>
      <c r="M1462" s="1">
        <f t="shared" si="91"/>
        <v>0</v>
      </c>
      <c r="N1462" s="1">
        <f t="shared" si="92"/>
        <v>1.8500558099083503E-4</v>
      </c>
      <c r="O1462" s="1"/>
    </row>
    <row r="1463" spans="1:15" x14ac:dyDescent="0.25">
      <c r="A1463">
        <v>2551</v>
      </c>
      <c r="B1463">
        <v>16938.841789999999</v>
      </c>
      <c r="C1463">
        <v>0</v>
      </c>
      <c r="D1463">
        <v>76557.628370000006</v>
      </c>
      <c r="E1463">
        <v>0</v>
      </c>
      <c r="F1463">
        <v>586562.06700000004</v>
      </c>
      <c r="G1463" s="1">
        <v>-2.2500000000000001E-5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0</v>
      </c>
      <c r="M1463" s="1">
        <f t="shared" si="91"/>
        <v>0</v>
      </c>
      <c r="N1463" s="1">
        <f t="shared" si="92"/>
        <v>-5.3935568471686512E-2</v>
      </c>
      <c r="O1463" s="1"/>
    </row>
    <row r="1464" spans="1:15" x14ac:dyDescent="0.25">
      <c r="A1464">
        <v>2552</v>
      </c>
      <c r="B1464">
        <v>6406.8752169999998</v>
      </c>
      <c r="C1464">
        <v>0</v>
      </c>
      <c r="D1464">
        <v>41305.722229999999</v>
      </c>
      <c r="E1464">
        <v>0</v>
      </c>
      <c r="F1464">
        <v>130901.3028</v>
      </c>
      <c r="G1464" s="1">
        <v>4.0399999999999999E-5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0</v>
      </c>
      <c r="M1464" s="1">
        <f t="shared" si="91"/>
        <v>0</v>
      </c>
      <c r="N1464" s="1">
        <f t="shared" si="92"/>
        <v>0.12178163533994603</v>
      </c>
      <c r="O1464" s="1"/>
    </row>
    <row r="1465" spans="1:15" x14ac:dyDescent="0.25">
      <c r="A1465">
        <v>2553</v>
      </c>
      <c r="B1465">
        <v>9801.7979149999992</v>
      </c>
      <c r="C1465">
        <v>0</v>
      </c>
      <c r="D1465">
        <v>55669.411070000002</v>
      </c>
      <c r="E1465">
        <v>0</v>
      </c>
      <c r="F1465">
        <v>160042.8824</v>
      </c>
      <c r="G1465" s="1">
        <v>1.03E-5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0</v>
      </c>
      <c r="M1465" s="1">
        <f t="shared" si="91"/>
        <v>0</v>
      </c>
      <c r="N1465" s="1">
        <f t="shared" si="92"/>
        <v>4.9768416352060293E-2</v>
      </c>
      <c r="O1465" s="1"/>
    </row>
    <row r="1466" spans="1:15" x14ac:dyDescent="0.25">
      <c r="A1466">
        <v>2554</v>
      </c>
      <c r="B1466">
        <v>12149.295550000001</v>
      </c>
      <c r="C1466">
        <v>0</v>
      </c>
      <c r="D1466">
        <v>87572.909360000005</v>
      </c>
      <c r="E1466">
        <v>0</v>
      </c>
      <c r="F1466">
        <v>355594.34850000002</v>
      </c>
      <c r="G1466" s="1">
        <v>4.6600000000000001E-5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0</v>
      </c>
      <c r="M1466" s="1">
        <f t="shared" si="91"/>
        <v>0</v>
      </c>
      <c r="N1466" s="1">
        <f t="shared" si="92"/>
        <v>0.18178672686544772</v>
      </c>
      <c r="O1466" s="1"/>
    </row>
    <row r="1467" spans="1:15" x14ac:dyDescent="0.25">
      <c r="A1467">
        <v>2555</v>
      </c>
      <c r="B1467">
        <v>8822.4464769999995</v>
      </c>
      <c r="C1467">
        <v>0</v>
      </c>
      <c r="D1467">
        <v>37952.585800000001</v>
      </c>
      <c r="E1467">
        <v>0</v>
      </c>
      <c r="F1467">
        <v>162952.55549999999</v>
      </c>
      <c r="G1467" s="1">
        <v>-3.3699999999999999E-5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0</v>
      </c>
      <c r="M1467" s="1">
        <f t="shared" si="91"/>
        <v>0</v>
      </c>
      <c r="N1467" s="1">
        <f t="shared" si="92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>
        <v>0</v>
      </c>
      <c r="D1468">
        <v>64676.354010000003</v>
      </c>
      <c r="E1468">
        <v>0</v>
      </c>
      <c r="F1468">
        <v>223189.23740000001</v>
      </c>
      <c r="G1468" s="1">
        <v>4.74E-5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0</v>
      </c>
      <c r="M1468" s="1">
        <f t="shared" si="91"/>
        <v>0</v>
      </c>
      <c r="N1468" s="1">
        <f t="shared" si="92"/>
        <v>0.20355853993694734</v>
      </c>
      <c r="O1468" s="1"/>
    </row>
    <row r="1469" spans="1:15" x14ac:dyDescent="0.25">
      <c r="A1469">
        <v>2557</v>
      </c>
      <c r="B1469">
        <v>10319.98539</v>
      </c>
      <c r="C1469">
        <v>0</v>
      </c>
      <c r="D1469">
        <v>61582.217100000002</v>
      </c>
      <c r="E1469">
        <v>0</v>
      </c>
      <c r="F1469">
        <v>384662.80570000003</v>
      </c>
      <c r="G1469" s="1">
        <v>3.8000000000000002E-5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0</v>
      </c>
      <c r="M1469" s="1">
        <f t="shared" si="91"/>
        <v>0</v>
      </c>
      <c r="N1469" s="1">
        <f t="shared" si="92"/>
        <v>5.064534970044781E-2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>
        <v>0</v>
      </c>
      <c r="F1470">
        <v>421192.19770000002</v>
      </c>
      <c r="G1470" s="1">
        <v>-1.3200000000000001E-5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0</v>
      </c>
      <c r="M1470" s="1">
        <f t="shared" si="91"/>
        <v>0</v>
      </c>
      <c r="N1470" s="1">
        <f t="shared" si="92"/>
        <v>-4.155424032637945E-2</v>
      </c>
      <c r="O1470" s="1"/>
    </row>
    <row r="1471" spans="1:15" x14ac:dyDescent="0.25">
      <c r="A1471">
        <v>2601</v>
      </c>
      <c r="B1471">
        <v>14699.03386</v>
      </c>
      <c r="C1471">
        <v>0</v>
      </c>
      <c r="D1471">
        <v>83718.275859999994</v>
      </c>
      <c r="E1471">
        <v>0</v>
      </c>
      <c r="F1471">
        <v>722865.95499999996</v>
      </c>
      <c r="G1471">
        <v>1940.5965349999999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0</v>
      </c>
      <c r="M1471" s="1">
        <f t="shared" si="91"/>
        <v>0</v>
      </c>
      <c r="N1471" s="1">
        <f t="shared" si="92"/>
        <v>4383920.2320864573</v>
      </c>
      <c r="O1471" s="1"/>
    </row>
    <row r="1472" spans="1:15" x14ac:dyDescent="0.25">
      <c r="A1472">
        <v>2602</v>
      </c>
      <c r="B1472">
        <v>15553.9167</v>
      </c>
      <c r="C1472">
        <v>0</v>
      </c>
      <c r="D1472">
        <v>58956.537709999997</v>
      </c>
      <c r="E1472">
        <v>0</v>
      </c>
      <c r="F1472">
        <v>614841.96290000004</v>
      </c>
      <c r="G1472" s="1">
        <v>-4.8399999999999997E-5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0</v>
      </c>
      <c r="M1472" s="1">
        <f t="shared" si="91"/>
        <v>0</v>
      </c>
      <c r="N1472" s="1">
        <f t="shared" si="92"/>
        <v>-0.16634397854884261</v>
      </c>
      <c r="O1472" s="1"/>
    </row>
    <row r="1473" spans="1:15" x14ac:dyDescent="0.25">
      <c r="A1473">
        <v>2603</v>
      </c>
      <c r="B1473">
        <v>16968.775269999998</v>
      </c>
      <c r="C1473">
        <v>0</v>
      </c>
      <c r="D1473">
        <v>121118.59819999999</v>
      </c>
      <c r="E1473">
        <v>0</v>
      </c>
      <c r="F1473">
        <v>809058.13989999995</v>
      </c>
      <c r="G1473">
        <v>7771.2191000000003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0</v>
      </c>
      <c r="M1473" s="1">
        <f t="shared" si="91"/>
        <v>0</v>
      </c>
      <c r="N1473" s="1">
        <f t="shared" si="92"/>
        <v>24326662.781349991</v>
      </c>
      <c r="O1473" s="1"/>
    </row>
    <row r="1474" spans="1:15" x14ac:dyDescent="0.25">
      <c r="A1474">
        <v>2604</v>
      </c>
      <c r="B1474">
        <v>28860.762299999999</v>
      </c>
      <c r="C1474">
        <v>0</v>
      </c>
      <c r="D1474">
        <v>373034.79969999997</v>
      </c>
      <c r="E1474">
        <v>0</v>
      </c>
      <c r="F1474">
        <v>979885.30460000003</v>
      </c>
      <c r="G1474">
        <v>7835.185074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0</v>
      </c>
      <c r="M1474" s="1">
        <f t="shared" si="91"/>
        <v>0</v>
      </c>
      <c r="N1474" s="1">
        <f t="shared" si="92"/>
        <v>9571955.7019438986</v>
      </c>
      <c r="O1474" s="1"/>
    </row>
    <row r="1475" spans="1:15" x14ac:dyDescent="0.25">
      <c r="A1475">
        <v>2605</v>
      </c>
      <c r="B1475">
        <v>33247.215369999998</v>
      </c>
      <c r="C1475">
        <v>0</v>
      </c>
      <c r="D1475">
        <v>154556.0312</v>
      </c>
      <c r="E1475">
        <v>0</v>
      </c>
      <c r="F1475">
        <v>840665.19140000001</v>
      </c>
      <c r="G1475">
        <v>830.83357769999998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0</v>
      </c>
      <c r="M1475" s="1">
        <f t="shared" ref="M1475:M1538" si="95">$U$3*$K1475*E1475</f>
        <v>0</v>
      </c>
      <c r="N1475" s="1">
        <f t="shared" ref="N1475:N1538" si="96">$U$4*$K1475*G1475</f>
        <v>1526495.4258300806</v>
      </c>
      <c r="O1475" s="1"/>
    </row>
    <row r="1476" spans="1:15" x14ac:dyDescent="0.25">
      <c r="A1476">
        <v>2606</v>
      </c>
      <c r="B1476">
        <v>32276.70534</v>
      </c>
      <c r="C1476">
        <v>0</v>
      </c>
      <c r="D1476">
        <v>461844.48469999997</v>
      </c>
      <c r="E1476">
        <v>0</v>
      </c>
      <c r="F1476">
        <v>1011263.6580000001</v>
      </c>
      <c r="G1476">
        <v>7704.6211240000002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0</v>
      </c>
      <c r="M1476" s="1">
        <f t="shared" si="95"/>
        <v>0</v>
      </c>
      <c r="N1476" s="1">
        <f t="shared" si="96"/>
        <v>7319520.3558432264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>
        <v>0</v>
      </c>
      <c r="F1477">
        <v>683082.11040000001</v>
      </c>
      <c r="G1477" s="1">
        <v>1.5099999999999999E-5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0</v>
      </c>
      <c r="M1477" s="1">
        <f t="shared" si="95"/>
        <v>0</v>
      </c>
      <c r="N1477" s="1">
        <f t="shared" si="96"/>
        <v>2.655461002039845E-2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>
        <v>0</v>
      </c>
      <c r="F1478">
        <v>983047.76919999998</v>
      </c>
      <c r="G1478">
        <v>8853.2450470000003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0</v>
      </c>
      <c r="M1478" s="1">
        <f t="shared" si="95"/>
        <v>0</v>
      </c>
      <c r="N1478" s="1">
        <f t="shared" si="96"/>
        <v>7008922.7252249904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>
        <v>0</v>
      </c>
      <c r="F1479">
        <v>601949.51899999997</v>
      </c>
      <c r="G1479" s="1">
        <v>4.2799999999999997E-5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0</v>
      </c>
      <c r="M1479" s="1">
        <f t="shared" si="95"/>
        <v>0</v>
      </c>
      <c r="N1479" s="1">
        <f t="shared" si="96"/>
        <v>0.16289684760011844</v>
      </c>
      <c r="O1479" s="1"/>
    </row>
    <row r="1480" spans="1:15" x14ac:dyDescent="0.25">
      <c r="A1480">
        <v>2610</v>
      </c>
      <c r="B1480">
        <v>17268.460230000001</v>
      </c>
      <c r="C1480">
        <v>0</v>
      </c>
      <c r="D1480">
        <v>72136.360480000003</v>
      </c>
      <c r="E1480">
        <v>0</v>
      </c>
      <c r="F1480">
        <v>748139.4068</v>
      </c>
      <c r="G1480" s="1">
        <v>1.59E-5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0</v>
      </c>
      <c r="M1480" s="1">
        <f t="shared" si="95"/>
        <v>0</v>
      </c>
      <c r="N1480" s="1">
        <f t="shared" si="96"/>
        <v>4.2756320081211663E-2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>
        <v>0</v>
      </c>
      <c r="F1481">
        <v>218933.10550000001</v>
      </c>
      <c r="G1481" s="1">
        <v>-7.1400000000000002E-6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0</v>
      </c>
      <c r="M1481" s="1">
        <f t="shared" si="95"/>
        <v>0</v>
      </c>
      <c r="N1481" s="1">
        <f t="shared" si="96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>
        <v>0</v>
      </c>
      <c r="D1482">
        <v>256296.24530000001</v>
      </c>
      <c r="E1482">
        <v>0</v>
      </c>
      <c r="F1482">
        <v>937820.60179999995</v>
      </c>
      <c r="G1482">
        <v>7517.3952300000001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0</v>
      </c>
      <c r="M1482" s="1">
        <f t="shared" si="95"/>
        <v>0</v>
      </c>
      <c r="N1482" s="1">
        <f t="shared" si="96"/>
        <v>15158422.530345721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>
        <v>0</v>
      </c>
      <c r="F1483">
        <v>754201.09920000006</v>
      </c>
      <c r="G1483" s="1">
        <v>-3.0800000000000003E-5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0</v>
      </c>
      <c r="M1483" s="1">
        <f t="shared" si="95"/>
        <v>0</v>
      </c>
      <c r="N1483" s="1">
        <f t="shared" si="96"/>
        <v>-9.3853284415413629E-2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>
        <v>0</v>
      </c>
      <c r="F1484">
        <v>962087.60549999995</v>
      </c>
      <c r="G1484">
        <v>8368.3125999999993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0</v>
      </c>
      <c r="M1484" s="1">
        <f t="shared" si="95"/>
        <v>0</v>
      </c>
      <c r="N1484" s="1">
        <f t="shared" si="96"/>
        <v>15270694.59461494</v>
      </c>
      <c r="O1484" s="1"/>
    </row>
    <row r="1485" spans="1:15" x14ac:dyDescent="0.25">
      <c r="A1485">
        <v>2615</v>
      </c>
      <c r="B1485">
        <v>2344.7554449999998</v>
      </c>
      <c r="C1485">
        <v>0</v>
      </c>
      <c r="D1485">
        <v>13945.722009999999</v>
      </c>
      <c r="E1485">
        <v>0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0</v>
      </c>
      <c r="M1485" s="1">
        <f t="shared" si="95"/>
        <v>0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>
        <v>0</v>
      </c>
      <c r="D1486">
        <v>58019.431689999998</v>
      </c>
      <c r="E1486">
        <v>0</v>
      </c>
      <c r="F1486">
        <v>650085.27049999998</v>
      </c>
      <c r="G1486" s="1">
        <v>4.4100000000000001E-6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0</v>
      </c>
      <c r="M1486" s="1">
        <f t="shared" si="95"/>
        <v>0</v>
      </c>
      <c r="N1486" s="1">
        <f t="shared" si="96"/>
        <v>1.7859234389398293E-2</v>
      </c>
      <c r="O1486" s="1"/>
    </row>
    <row r="1487" spans="1:15" x14ac:dyDescent="0.25">
      <c r="A1487">
        <v>2617</v>
      </c>
      <c r="B1487">
        <v>1925.5052969999999</v>
      </c>
      <c r="C1487">
        <v>0</v>
      </c>
      <c r="D1487">
        <v>16954.25332</v>
      </c>
      <c r="E1487">
        <v>0</v>
      </c>
      <c r="F1487">
        <v>114668.23510000001</v>
      </c>
      <c r="G1487" s="1">
        <v>-1.8600000000000001E-5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0</v>
      </c>
      <c r="M1487" s="1">
        <f t="shared" si="95"/>
        <v>0</v>
      </c>
      <c r="N1487" s="1">
        <f t="shared" si="96"/>
        <v>-0.13399837529158443</v>
      </c>
      <c r="O1487" s="1"/>
    </row>
    <row r="1488" spans="1:15" x14ac:dyDescent="0.25">
      <c r="A1488">
        <v>2620</v>
      </c>
      <c r="B1488">
        <v>7187.1150950000001</v>
      </c>
      <c r="C1488">
        <v>0</v>
      </c>
      <c r="D1488">
        <v>57800.222979999999</v>
      </c>
      <c r="E1488">
        <v>0</v>
      </c>
      <c r="F1488">
        <v>417801.0589</v>
      </c>
      <c r="G1488">
        <v>11731.74447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0</v>
      </c>
      <c r="M1488" s="1">
        <f t="shared" si="95"/>
        <v>0</v>
      </c>
      <c r="N1488" s="1">
        <f t="shared" si="96"/>
        <v>47155632.668622926</v>
      </c>
      <c r="O1488" s="1"/>
    </row>
    <row r="1489" spans="1:15" x14ac:dyDescent="0.25">
      <c r="A1489">
        <v>2621</v>
      </c>
      <c r="B1489">
        <v>16627.086630000002</v>
      </c>
      <c r="C1489">
        <v>0</v>
      </c>
      <c r="D1489">
        <v>125800.49739999999</v>
      </c>
      <c r="E1489">
        <v>0</v>
      </c>
      <c r="F1489">
        <v>722388.48389999999</v>
      </c>
      <c r="G1489">
        <v>13530.62213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0</v>
      </c>
      <c r="M1489" s="1">
        <f t="shared" si="95"/>
        <v>0</v>
      </c>
      <c r="N1489" s="1">
        <f t="shared" si="96"/>
        <v>50784734.061100699</v>
      </c>
      <c r="O1489" s="1"/>
    </row>
    <row r="1490" spans="1:15" x14ac:dyDescent="0.25">
      <c r="A1490">
        <v>2622</v>
      </c>
      <c r="B1490">
        <v>14405.836209999999</v>
      </c>
      <c r="C1490">
        <v>0</v>
      </c>
      <c r="D1490">
        <v>71600.675149999995</v>
      </c>
      <c r="E1490">
        <v>0</v>
      </c>
      <c r="F1490">
        <v>626952.97750000004</v>
      </c>
      <c r="G1490" s="1">
        <v>-2.83E-5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0</v>
      </c>
      <c r="M1490" s="1">
        <f t="shared" si="95"/>
        <v>0</v>
      </c>
      <c r="N1490" s="1">
        <f t="shared" si="96"/>
        <v>-6.0707363106165063E-2</v>
      </c>
      <c r="O1490" s="1"/>
    </row>
    <row r="1491" spans="1:15" x14ac:dyDescent="0.25">
      <c r="A1491">
        <v>2623</v>
      </c>
      <c r="B1491">
        <v>8345.2114569999994</v>
      </c>
      <c r="C1491">
        <v>0</v>
      </c>
      <c r="D1491">
        <v>76699.853080000001</v>
      </c>
      <c r="E1491">
        <v>0</v>
      </c>
      <c r="F1491">
        <v>651628.10800000001</v>
      </c>
      <c r="G1491" s="1">
        <v>-4.32E-5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0</v>
      </c>
      <c r="M1491" s="1">
        <f t="shared" si="95"/>
        <v>0</v>
      </c>
      <c r="N1491" s="1">
        <f t="shared" si="96"/>
        <v>-0.14089133619033842</v>
      </c>
      <c r="O1491" s="1"/>
    </row>
    <row r="1492" spans="1:15" x14ac:dyDescent="0.25">
      <c r="A1492">
        <v>2624</v>
      </c>
      <c r="B1492">
        <v>4634.5335610000002</v>
      </c>
      <c r="C1492">
        <v>0</v>
      </c>
      <c r="D1492">
        <v>42326.709340000001</v>
      </c>
      <c r="E1492">
        <v>0</v>
      </c>
      <c r="F1492">
        <v>311694.75319999998</v>
      </c>
      <c r="G1492" s="1">
        <v>-4.4100000000000001E-5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0</v>
      </c>
      <c r="M1492" s="1">
        <f t="shared" si="95"/>
        <v>0</v>
      </c>
      <c r="N1492" s="1">
        <f t="shared" si="96"/>
        <v>-0.18027054137404683</v>
      </c>
      <c r="O1492" s="1"/>
    </row>
    <row r="1493" spans="1:15" x14ac:dyDescent="0.25">
      <c r="A1493">
        <v>2627</v>
      </c>
      <c r="B1493">
        <v>17324.868880000002</v>
      </c>
      <c r="C1493">
        <v>0</v>
      </c>
      <c r="D1493">
        <v>305427.38439999998</v>
      </c>
      <c r="E1493">
        <v>0</v>
      </c>
      <c r="F1493">
        <v>947794.16040000005</v>
      </c>
      <c r="G1493">
        <v>8368.3126439999996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0</v>
      </c>
      <c r="M1493" s="1">
        <f t="shared" si="95"/>
        <v>0</v>
      </c>
      <c r="N1493" s="1">
        <f t="shared" si="96"/>
        <v>20010084.708451487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>
        <v>0</v>
      </c>
      <c r="F1494">
        <v>707657.99789999996</v>
      </c>
      <c r="G1494" s="1">
        <v>2.34E-6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0</v>
      </c>
      <c r="M1494" s="1">
        <f t="shared" si="95"/>
        <v>0</v>
      </c>
      <c r="N1494" s="1">
        <f t="shared" si="96"/>
        <v>7.0249076986149362E-3</v>
      </c>
      <c r="O1494" s="1"/>
    </row>
    <row r="1495" spans="1:15" x14ac:dyDescent="0.25">
      <c r="A1495">
        <v>2629</v>
      </c>
      <c r="B1495">
        <v>20334.49109</v>
      </c>
      <c r="C1495">
        <v>0</v>
      </c>
      <c r="D1495">
        <v>160714.70920000001</v>
      </c>
      <c r="E1495">
        <v>0</v>
      </c>
      <c r="F1495">
        <v>880748.20149999997</v>
      </c>
      <c r="G1495">
        <v>830.83357249999995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0</v>
      </c>
      <c r="M1495" s="1">
        <f t="shared" si="95"/>
        <v>0</v>
      </c>
      <c r="N1495" s="1">
        <f t="shared" si="96"/>
        <v>2686120.0268433783</v>
      </c>
      <c r="O1495" s="1"/>
    </row>
    <row r="1496" spans="1:15" x14ac:dyDescent="0.25">
      <c r="A1496">
        <v>2630</v>
      </c>
      <c r="B1496">
        <v>10046.067940000001</v>
      </c>
      <c r="C1496">
        <v>0</v>
      </c>
      <c r="D1496">
        <v>35789.766589999999</v>
      </c>
      <c r="E1496">
        <v>0</v>
      </c>
      <c r="F1496">
        <v>502287.27899999998</v>
      </c>
      <c r="G1496" s="1">
        <v>-3.4900000000000001E-5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0</v>
      </c>
      <c r="M1496" s="1">
        <f t="shared" si="95"/>
        <v>0</v>
      </c>
      <c r="N1496" s="1">
        <f t="shared" si="96"/>
        <v>-0.13965398737517409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>
        <v>0</v>
      </c>
      <c r="F1497">
        <v>743836.89450000005</v>
      </c>
      <c r="G1497" s="1">
        <v>3.5299999999999997E-5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0</v>
      </c>
      <c r="M1497" s="1">
        <f t="shared" si="95"/>
        <v>0</v>
      </c>
      <c r="N1497" s="1">
        <f t="shared" si="96"/>
        <v>0.10993622320127178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>
        <v>0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0</v>
      </c>
      <c r="M1498" s="1">
        <f t="shared" si="95"/>
        <v>0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>
        <v>0</v>
      </c>
      <c r="D1499">
        <v>11830.372149999999</v>
      </c>
      <c r="E1499">
        <v>0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0</v>
      </c>
      <c r="M1499" s="1">
        <f t="shared" si="95"/>
        <v>0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>
        <v>0</v>
      </c>
      <c r="D1500">
        <v>72141.157399999996</v>
      </c>
      <c r="E1500">
        <v>0</v>
      </c>
      <c r="F1500">
        <v>534515.23770000006</v>
      </c>
      <c r="G1500" s="1">
        <v>2.7100000000000001E-5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0</v>
      </c>
      <c r="M1500" s="1">
        <f t="shared" si="95"/>
        <v>0</v>
      </c>
      <c r="N1500" s="1">
        <f t="shared" si="96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>
        <v>0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0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>
        <v>0</v>
      </c>
      <c r="D1502">
        <v>43427.750160000003</v>
      </c>
      <c r="E1502">
        <v>0</v>
      </c>
      <c r="F1502">
        <v>276552.37170000002</v>
      </c>
      <c r="G1502" s="1">
        <v>2.3600000000000001E-5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0</v>
      </c>
      <c r="M1502" s="1">
        <f t="shared" si="95"/>
        <v>0</v>
      </c>
      <c r="N1502" s="1">
        <f t="shared" si="96"/>
        <v>3.5430101475625086E-2</v>
      </c>
      <c r="O1502" s="1"/>
    </row>
    <row r="1503" spans="1:15" x14ac:dyDescent="0.25">
      <c r="A1503">
        <v>2639</v>
      </c>
      <c r="B1503">
        <v>8711.7409790000002</v>
      </c>
      <c r="C1503">
        <v>0</v>
      </c>
      <c r="D1503">
        <v>42192.023780000003</v>
      </c>
      <c r="E1503">
        <v>0</v>
      </c>
      <c r="F1503">
        <v>172236.7439</v>
      </c>
      <c r="G1503" s="1">
        <v>-3.7499999999999997E-5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0</v>
      </c>
      <c r="M1503" s="1">
        <f t="shared" si="95"/>
        <v>0</v>
      </c>
      <c r="N1503" s="1">
        <f t="shared" si="96"/>
        <v>-0.14757604655268375</v>
      </c>
      <c r="O1503" s="1"/>
    </row>
    <row r="1504" spans="1:15" x14ac:dyDescent="0.25">
      <c r="A1504">
        <v>2640</v>
      </c>
      <c r="B1504">
        <v>5783.4597000000003</v>
      </c>
      <c r="C1504">
        <v>0</v>
      </c>
      <c r="D1504">
        <v>45711.297409999999</v>
      </c>
      <c r="E1504">
        <v>0</v>
      </c>
      <c r="F1504">
        <v>147273.20129999999</v>
      </c>
      <c r="G1504" s="1">
        <v>-2.5700000000000001E-5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0</v>
      </c>
      <c r="M1504" s="1">
        <f t="shared" si="95"/>
        <v>0</v>
      </c>
      <c r="N1504" s="1">
        <f t="shared" si="96"/>
        <v>-0.17228697428300851</v>
      </c>
      <c r="O1504" s="1"/>
    </row>
    <row r="1505" spans="1:15" x14ac:dyDescent="0.25">
      <c r="A1505">
        <v>2641</v>
      </c>
      <c r="B1505">
        <v>4465.2044329999999</v>
      </c>
      <c r="C1505">
        <v>0</v>
      </c>
      <c r="D1505">
        <v>25539.824560000001</v>
      </c>
      <c r="E1505">
        <v>0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0</v>
      </c>
      <c r="M1505" s="1">
        <f t="shared" si="95"/>
        <v>0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>
        <v>0</v>
      </c>
      <c r="D1506">
        <v>22762.840499999998</v>
      </c>
      <c r="E1506">
        <v>0</v>
      </c>
      <c r="F1506">
        <v>87046.777230000007</v>
      </c>
      <c r="G1506" s="1">
        <v>3.7699999999999999E-6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0</v>
      </c>
      <c r="M1506" s="1">
        <f t="shared" si="95"/>
        <v>0</v>
      </c>
      <c r="N1506" s="1">
        <f t="shared" si="96"/>
        <v>1.8134076722821683E-2</v>
      </c>
      <c r="O1506" s="1"/>
    </row>
    <row r="1507" spans="1:15" x14ac:dyDescent="0.25">
      <c r="A1507">
        <v>2643</v>
      </c>
      <c r="B1507">
        <v>1444.037822</v>
      </c>
      <c r="C1507">
        <v>0</v>
      </c>
      <c r="D1507">
        <v>21344.542290000001</v>
      </c>
      <c r="E1507">
        <v>0</v>
      </c>
      <c r="F1507">
        <v>79502.370349999997</v>
      </c>
      <c r="G1507" s="1">
        <v>1.61E-6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0</v>
      </c>
      <c r="M1507" s="1">
        <f t="shared" si="95"/>
        <v>0</v>
      </c>
      <c r="N1507" s="1">
        <f t="shared" si="96"/>
        <v>1.4213111806648021E-2</v>
      </c>
      <c r="O1507" s="1"/>
    </row>
    <row r="1508" spans="1:15" x14ac:dyDescent="0.25">
      <c r="A1508">
        <v>2646</v>
      </c>
      <c r="B1508">
        <v>4956.4249380000001</v>
      </c>
      <c r="C1508">
        <v>0</v>
      </c>
      <c r="D1508">
        <v>45529.836490000002</v>
      </c>
      <c r="E1508">
        <v>0</v>
      </c>
      <c r="F1508">
        <v>205102.23610000001</v>
      </c>
      <c r="G1508" s="1">
        <v>-2.62E-5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0</v>
      </c>
      <c r="M1508" s="1">
        <f t="shared" si="95"/>
        <v>0</v>
      </c>
      <c r="N1508" s="1">
        <f t="shared" si="96"/>
        <v>-0.10221467768708137</v>
      </c>
      <c r="O1508" s="1"/>
    </row>
    <row r="1509" spans="1:15" x14ac:dyDescent="0.25">
      <c r="A1509">
        <v>2647</v>
      </c>
      <c r="B1509">
        <v>8930.063881</v>
      </c>
      <c r="C1509">
        <v>0</v>
      </c>
      <c r="D1509">
        <v>60750.298179999998</v>
      </c>
      <c r="E1509">
        <v>0</v>
      </c>
      <c r="F1509">
        <v>273979.99609999999</v>
      </c>
      <c r="G1509">
        <v>5486.814867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0</v>
      </c>
      <c r="M1509" s="1">
        <f t="shared" si="95"/>
        <v>0</v>
      </c>
      <c r="N1509" s="1">
        <f t="shared" si="96"/>
        <v>18528942.81632534</v>
      </c>
      <c r="O1509" s="1"/>
    </row>
    <row r="1510" spans="1:15" x14ac:dyDescent="0.25">
      <c r="A1510">
        <v>2648</v>
      </c>
      <c r="B1510">
        <v>10606.85801</v>
      </c>
      <c r="C1510">
        <v>0</v>
      </c>
      <c r="D1510">
        <v>92755.869250000003</v>
      </c>
      <c r="E1510">
        <v>0</v>
      </c>
      <c r="F1510">
        <v>651021.35629999998</v>
      </c>
      <c r="G1510" s="1">
        <v>1.5E-5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0</v>
      </c>
      <c r="M1510" s="1">
        <f t="shared" si="95"/>
        <v>0</v>
      </c>
      <c r="N1510" s="1">
        <f t="shared" si="96"/>
        <v>4.991423592551851E-2</v>
      </c>
      <c r="O1510" s="1"/>
    </row>
    <row r="1511" spans="1:15" x14ac:dyDescent="0.25">
      <c r="A1511">
        <v>2649</v>
      </c>
      <c r="B1511">
        <v>17965.790529999998</v>
      </c>
      <c r="C1511">
        <v>0</v>
      </c>
      <c r="D1511">
        <v>98489.695600000006</v>
      </c>
      <c r="E1511">
        <v>0</v>
      </c>
      <c r="F1511">
        <v>688158.57629999996</v>
      </c>
      <c r="G1511">
        <v>1446.2417069999999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0</v>
      </c>
      <c r="M1511" s="1">
        <f t="shared" si="95"/>
        <v>0</v>
      </c>
      <c r="N1511" s="1">
        <f t="shared" si="96"/>
        <v>5076711.6848971331</v>
      </c>
      <c r="O1511" s="1"/>
    </row>
    <row r="1512" spans="1:15" x14ac:dyDescent="0.25">
      <c r="A1512">
        <v>2652</v>
      </c>
      <c r="B1512">
        <v>32126.06567</v>
      </c>
      <c r="C1512">
        <v>0</v>
      </c>
      <c r="D1512">
        <v>573840.0723</v>
      </c>
      <c r="E1512">
        <v>0</v>
      </c>
      <c r="F1512">
        <v>1076702.3910000001</v>
      </c>
      <c r="G1512">
        <v>7009.0896030000004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0</v>
      </c>
      <c r="M1512" s="1">
        <f t="shared" si="95"/>
        <v>0</v>
      </c>
      <c r="N1512" s="1">
        <f t="shared" si="96"/>
        <v>14604633.23057667</v>
      </c>
      <c r="O1512" s="1"/>
    </row>
    <row r="1513" spans="1:15" x14ac:dyDescent="0.25">
      <c r="A1513">
        <v>2653</v>
      </c>
      <c r="B1513">
        <v>29148.543519999999</v>
      </c>
      <c r="C1513">
        <v>0</v>
      </c>
      <c r="D1513">
        <v>446086.0797</v>
      </c>
      <c r="E1513">
        <v>0</v>
      </c>
      <c r="F1513">
        <v>1000574.583</v>
      </c>
      <c r="G1513">
        <v>7704.6214840000002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0</v>
      </c>
      <c r="M1513" s="1">
        <f t="shared" si="95"/>
        <v>0</v>
      </c>
      <c r="N1513" s="1">
        <f t="shared" si="96"/>
        <v>11811109.326717313</v>
      </c>
      <c r="O1513" s="1"/>
    </row>
    <row r="1514" spans="1:15" x14ac:dyDescent="0.25">
      <c r="A1514">
        <v>2654</v>
      </c>
      <c r="B1514">
        <v>15872.29919</v>
      </c>
      <c r="C1514">
        <v>0</v>
      </c>
      <c r="D1514">
        <v>107329.65519999999</v>
      </c>
      <c r="E1514">
        <v>0</v>
      </c>
      <c r="F1514">
        <v>755375.74580000003</v>
      </c>
      <c r="G1514" s="1">
        <v>-2.76E-5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0</v>
      </c>
      <c r="M1514" s="1">
        <f t="shared" si="95"/>
        <v>0</v>
      </c>
      <c r="N1514" s="1">
        <f t="shared" si="96"/>
        <v>-8.0118534405087732E-2</v>
      </c>
      <c r="O1514" s="1"/>
    </row>
    <row r="1515" spans="1:15" x14ac:dyDescent="0.25">
      <c r="A1515">
        <v>2655</v>
      </c>
      <c r="B1515">
        <v>4148.2722059999996</v>
      </c>
      <c r="C1515">
        <v>0</v>
      </c>
      <c r="D1515">
        <v>35214.756549999998</v>
      </c>
      <c r="E1515">
        <v>0</v>
      </c>
      <c r="F1515">
        <v>367468.70380000002</v>
      </c>
      <c r="G1515" s="1">
        <v>-3.04E-5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0</v>
      </c>
      <c r="M1515" s="1">
        <f t="shared" si="95"/>
        <v>0</v>
      </c>
      <c r="N1515" s="1">
        <f t="shared" si="96"/>
        <v>-0.15386261398393297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>
        <v>0</v>
      </c>
      <c r="F1516">
        <v>484597.30680000002</v>
      </c>
      <c r="G1516" s="1">
        <v>-4.1100000000000003E-5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0</v>
      </c>
      <c r="M1516" s="1">
        <f t="shared" si="95"/>
        <v>0</v>
      </c>
      <c r="N1516" s="1">
        <f t="shared" si="96"/>
        <v>-8.6928451614372057E-2</v>
      </c>
      <c r="O1516" s="1"/>
    </row>
    <row r="1517" spans="1:15" x14ac:dyDescent="0.25">
      <c r="A1517">
        <v>2657</v>
      </c>
      <c r="B1517">
        <v>6076.5165429999997</v>
      </c>
      <c r="C1517">
        <v>0</v>
      </c>
      <c r="D1517">
        <v>36676.445599999999</v>
      </c>
      <c r="E1517">
        <v>0</v>
      </c>
      <c r="F1517">
        <v>321728.07819999999</v>
      </c>
      <c r="G1517" s="1">
        <v>-2.2900000000000001E-5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0</v>
      </c>
      <c r="M1517" s="1">
        <f t="shared" si="95"/>
        <v>0</v>
      </c>
      <c r="N1517" s="1">
        <f t="shared" si="96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>
        <v>0</v>
      </c>
      <c r="D1518">
        <v>36295.742639999997</v>
      </c>
      <c r="E1518">
        <v>0</v>
      </c>
      <c r="F1518">
        <v>83513.481759999995</v>
      </c>
      <c r="G1518" s="1">
        <v>2.5399999999999998E-6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0</v>
      </c>
      <c r="M1518" s="1">
        <f t="shared" si="95"/>
        <v>0</v>
      </c>
      <c r="N1518" s="1">
        <f t="shared" si="96"/>
        <v>1.031250934526391E-2</v>
      </c>
      <c r="O1518" s="1"/>
    </row>
    <row r="1519" spans="1:15" x14ac:dyDescent="0.25">
      <c r="A1519">
        <v>2659</v>
      </c>
      <c r="B1519">
        <v>1912.127984</v>
      </c>
      <c r="C1519">
        <v>0</v>
      </c>
      <c r="D1519">
        <v>13712.873509999999</v>
      </c>
      <c r="E1519">
        <v>0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0</v>
      </c>
      <c r="M1519" s="1">
        <f t="shared" si="95"/>
        <v>0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>
        <v>0</v>
      </c>
      <c r="F1520">
        <v>144472.59299999999</v>
      </c>
      <c r="G1520" s="1">
        <v>-3.7700000000000002E-5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0</v>
      </c>
      <c r="M1520" s="1">
        <f t="shared" si="95"/>
        <v>0</v>
      </c>
      <c r="N1520" s="1">
        <f t="shared" si="96"/>
        <v>-0.21335180053974931</v>
      </c>
      <c r="O1520" s="1"/>
    </row>
    <row r="1521" spans="1:15" x14ac:dyDescent="0.25">
      <c r="A1521">
        <v>2699</v>
      </c>
      <c r="B1521">
        <v>64730.126279999997</v>
      </c>
      <c r="C1521">
        <v>0</v>
      </c>
      <c r="D1521">
        <v>707072.83490000002</v>
      </c>
      <c r="E1521">
        <v>0</v>
      </c>
      <c r="F1521">
        <v>1168832.662</v>
      </c>
      <c r="G1521">
        <v>1528.8821869999999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0</v>
      </c>
      <c r="M1521" s="1">
        <f t="shared" si="95"/>
        <v>0</v>
      </c>
      <c r="N1521" s="1">
        <f t="shared" si="96"/>
        <v>1216338.2987707781</v>
      </c>
      <c r="O1521" s="1"/>
    </row>
    <row r="1522" spans="1:15" x14ac:dyDescent="0.25">
      <c r="A1522">
        <v>2700</v>
      </c>
      <c r="B1522">
        <v>29707.486400000002</v>
      </c>
      <c r="C1522">
        <v>0</v>
      </c>
      <c r="D1522">
        <v>653290.28879999998</v>
      </c>
      <c r="E1522">
        <v>0</v>
      </c>
      <c r="F1522">
        <v>1122352.827</v>
      </c>
      <c r="G1522">
        <v>2245.9008979999999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0</v>
      </c>
      <c r="M1522" s="1">
        <f t="shared" si="95"/>
        <v>0</v>
      </c>
      <c r="N1522" s="1">
        <f t="shared" si="96"/>
        <v>1837261.8131679718</v>
      </c>
      <c r="O1522" s="1"/>
    </row>
    <row r="1523" spans="1:15" x14ac:dyDescent="0.25">
      <c r="A1523">
        <v>2701</v>
      </c>
      <c r="B1523">
        <v>22674.325700000001</v>
      </c>
      <c r="C1523">
        <v>0</v>
      </c>
      <c r="D1523">
        <v>523671.45319999999</v>
      </c>
      <c r="E1523">
        <v>0</v>
      </c>
      <c r="F1523">
        <v>985686.48719999997</v>
      </c>
      <c r="G1523">
        <v>3673.097561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0</v>
      </c>
      <c r="M1523" s="1">
        <f t="shared" si="95"/>
        <v>0</v>
      </c>
      <c r="N1523" s="1">
        <f t="shared" si="96"/>
        <v>9642668.6916301157</v>
      </c>
      <c r="O1523" s="1"/>
    </row>
    <row r="1524" spans="1:15" x14ac:dyDescent="0.25">
      <c r="A1524">
        <v>2702</v>
      </c>
      <c r="B1524">
        <v>425740.00020000001</v>
      </c>
      <c r="C1524">
        <v>0</v>
      </c>
      <c r="D1524">
        <v>941538.07109999994</v>
      </c>
      <c r="E1524">
        <v>2679.2728000000002</v>
      </c>
      <c r="F1524">
        <v>1411547.01</v>
      </c>
      <c r="G1524">
        <v>420.41210740000002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0</v>
      </c>
      <c r="M1524" s="1">
        <f t="shared" si="95"/>
        <v>3095259.0076773525</v>
      </c>
      <c r="N1524" s="1">
        <f t="shared" si="96"/>
        <v>227247.41613610997</v>
      </c>
      <c r="O1524" s="1"/>
    </row>
    <row r="1525" spans="1:15" x14ac:dyDescent="0.25">
      <c r="A1525">
        <v>2703</v>
      </c>
      <c r="B1525">
        <v>8388.5535469999995</v>
      </c>
      <c r="C1525">
        <v>0</v>
      </c>
      <c r="D1525">
        <v>306527.68089999998</v>
      </c>
      <c r="E1525">
        <v>11095.447899999999</v>
      </c>
      <c r="F1525">
        <v>918165.39800000004</v>
      </c>
      <c r="G1525">
        <v>4180.7093349999996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0</v>
      </c>
      <c r="M1525" s="1">
        <f t="shared" si="95"/>
        <v>49025670.997858077</v>
      </c>
      <c r="N1525" s="1">
        <f t="shared" si="96"/>
        <v>8643156.1714904401</v>
      </c>
      <c r="O1525" s="1"/>
    </row>
    <row r="1526" spans="1:15" x14ac:dyDescent="0.25">
      <c r="A1526">
        <v>2704</v>
      </c>
      <c r="B1526">
        <v>25825.07764</v>
      </c>
      <c r="C1526">
        <v>0</v>
      </c>
      <c r="D1526">
        <v>636907.76560000004</v>
      </c>
      <c r="E1526">
        <v>0</v>
      </c>
      <c r="F1526">
        <v>1083670.6399999999</v>
      </c>
      <c r="G1526">
        <v>5974.0237999999999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0</v>
      </c>
      <c r="M1526" s="1">
        <f t="shared" si="95"/>
        <v>0</v>
      </c>
      <c r="N1526" s="1">
        <f t="shared" si="96"/>
        <v>6167582.7847962175</v>
      </c>
      <c r="O1526" s="1"/>
    </row>
    <row r="1527" spans="1:15" x14ac:dyDescent="0.25">
      <c r="A1527">
        <v>2705</v>
      </c>
      <c r="B1527">
        <v>29013.265749999999</v>
      </c>
      <c r="C1527">
        <v>0</v>
      </c>
      <c r="D1527">
        <v>636430.74399999995</v>
      </c>
      <c r="E1527">
        <v>0</v>
      </c>
      <c r="F1527">
        <v>1061271.909</v>
      </c>
      <c r="G1527">
        <v>9343.3871209999998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0</v>
      </c>
      <c r="M1527" s="1">
        <f t="shared" si="95"/>
        <v>0</v>
      </c>
      <c r="N1527" s="1">
        <f t="shared" si="96"/>
        <v>14364512.861575076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>
        <v>0</v>
      </c>
      <c r="F1528">
        <v>828437.98549999995</v>
      </c>
      <c r="G1528">
        <v>6687.0160029999997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0</v>
      </c>
      <c r="N1528" s="1">
        <f t="shared" si="96"/>
        <v>5608886.149212081</v>
      </c>
      <c r="O1528" s="1"/>
    </row>
    <row r="1529" spans="1:15" x14ac:dyDescent="0.25">
      <c r="A1529">
        <v>2707</v>
      </c>
      <c r="B1529">
        <v>21956.945090000001</v>
      </c>
      <c r="C1529">
        <v>0</v>
      </c>
      <c r="D1529">
        <v>604971.45510000002</v>
      </c>
      <c r="E1529">
        <v>0</v>
      </c>
      <c r="F1529">
        <v>1031576.595</v>
      </c>
      <c r="G1529">
        <v>8114.02243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0</v>
      </c>
      <c r="M1529" s="1">
        <f t="shared" si="95"/>
        <v>0</v>
      </c>
      <c r="N1529" s="1">
        <f t="shared" si="96"/>
        <v>12640151.701289834</v>
      </c>
      <c r="O1529" s="1"/>
    </row>
    <row r="1530" spans="1:15" x14ac:dyDescent="0.25">
      <c r="A1530">
        <v>2708</v>
      </c>
      <c r="B1530">
        <v>1204.829164</v>
      </c>
      <c r="C1530">
        <v>0</v>
      </c>
      <c r="D1530">
        <v>33136.317969999996</v>
      </c>
      <c r="E1530">
        <v>0</v>
      </c>
      <c r="F1530">
        <v>615323.80969999998</v>
      </c>
      <c r="G1530" s="1">
        <v>-2.19E-5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0</v>
      </c>
      <c r="M1530" s="1">
        <f t="shared" si="95"/>
        <v>0</v>
      </c>
      <c r="N1530" s="1">
        <f t="shared" si="96"/>
        <v>-5.1105918002734535E-2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>
        <v>0</v>
      </c>
      <c r="F1531">
        <v>477632.16590000002</v>
      </c>
      <c r="G1531" s="1">
        <v>-1.8E-5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0</v>
      </c>
      <c r="M1531" s="1">
        <f t="shared" si="95"/>
        <v>0</v>
      </c>
      <c r="N1531" s="1">
        <f t="shared" si="96"/>
        <v>-4.3310986644209404E-2</v>
      </c>
      <c r="O1531" s="1"/>
    </row>
    <row r="1532" spans="1:15" x14ac:dyDescent="0.25">
      <c r="A1532">
        <v>2710</v>
      </c>
      <c r="B1532">
        <v>3940.2162619999999</v>
      </c>
      <c r="C1532">
        <v>0</v>
      </c>
      <c r="D1532">
        <v>60383.741959999999</v>
      </c>
      <c r="E1532">
        <v>0</v>
      </c>
      <c r="F1532">
        <v>641424.59230000002</v>
      </c>
      <c r="G1532" s="1">
        <v>3.4799999999999999E-5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0</v>
      </c>
      <c r="M1532" s="1">
        <f t="shared" si="95"/>
        <v>0</v>
      </c>
      <c r="N1532" s="1">
        <f t="shared" si="96"/>
        <v>5.5843907155223048E-2</v>
      </c>
      <c r="O1532" s="1"/>
    </row>
    <row r="1533" spans="1:15" x14ac:dyDescent="0.25">
      <c r="A1533">
        <v>2711</v>
      </c>
      <c r="B1533">
        <v>12224.387290000001</v>
      </c>
      <c r="C1533">
        <v>0</v>
      </c>
      <c r="D1533">
        <v>200200.201</v>
      </c>
      <c r="E1533">
        <v>0</v>
      </c>
      <c r="F1533">
        <v>839296.03330000001</v>
      </c>
      <c r="G1533">
        <v>6687.0159620000004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0</v>
      </c>
      <c r="M1533" s="1">
        <f t="shared" si="95"/>
        <v>0</v>
      </c>
      <c r="N1533" s="1">
        <f t="shared" si="96"/>
        <v>8488137.3683166914</v>
      </c>
      <c r="O1533" s="1"/>
    </row>
    <row r="1534" spans="1:15" x14ac:dyDescent="0.25">
      <c r="A1534">
        <v>2712</v>
      </c>
      <c r="B1534">
        <v>17029.880929999999</v>
      </c>
      <c r="C1534">
        <v>0</v>
      </c>
      <c r="D1534">
        <v>442708.97619999998</v>
      </c>
      <c r="E1534">
        <v>0</v>
      </c>
      <c r="F1534">
        <v>937190.68590000004</v>
      </c>
      <c r="G1534">
        <v>9805.8607109999994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0</v>
      </c>
      <c r="M1534" s="1">
        <f t="shared" si="95"/>
        <v>0</v>
      </c>
      <c r="N1534" s="1">
        <f t="shared" si="96"/>
        <v>12293675.781030759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>
        <v>0</v>
      </c>
      <c r="F1535">
        <v>762532.4669</v>
      </c>
      <c r="G1535">
        <v>6940.3855100000001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0</v>
      </c>
      <c r="M1535" s="1">
        <f t="shared" si="95"/>
        <v>0</v>
      </c>
      <c r="N1535" s="1">
        <f t="shared" si="96"/>
        <v>32891400.057502251</v>
      </c>
      <c r="O1535" s="1"/>
    </row>
    <row r="1536" spans="1:15" x14ac:dyDescent="0.25">
      <c r="A1536">
        <v>2716</v>
      </c>
      <c r="B1536">
        <v>6936.658171</v>
      </c>
      <c r="C1536">
        <v>0</v>
      </c>
      <c r="D1536">
        <v>75218.636880000005</v>
      </c>
      <c r="E1536">
        <v>0</v>
      </c>
      <c r="F1536">
        <v>647476.4118</v>
      </c>
      <c r="G1536" s="1">
        <v>-4.1300000000000001E-5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0</v>
      </c>
      <c r="M1536" s="1">
        <f t="shared" si="95"/>
        <v>0</v>
      </c>
      <c r="N1536" s="1">
        <f t="shared" si="96"/>
        <v>-7.9363911249343139E-2</v>
      </c>
      <c r="O1536" s="1"/>
    </row>
    <row r="1537" spans="1:15" x14ac:dyDescent="0.25">
      <c r="A1537">
        <v>2717</v>
      </c>
      <c r="B1537">
        <v>4989.0788549999997</v>
      </c>
      <c r="C1537">
        <v>0</v>
      </c>
      <c r="D1537">
        <v>56616.0242</v>
      </c>
      <c r="E1537">
        <v>0</v>
      </c>
      <c r="F1537">
        <v>539322.62849999999</v>
      </c>
      <c r="G1537" s="1">
        <v>-1.5800000000000001E-5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0</v>
      </c>
      <c r="M1537" s="1">
        <f t="shared" si="95"/>
        <v>0</v>
      </c>
      <c r="N1537" s="1">
        <f t="shared" si="96"/>
        <v>-4.5771047151742274E-2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>
        <v>0</v>
      </c>
      <c r="F1538">
        <v>490734.4877</v>
      </c>
      <c r="G1538" s="1">
        <v>4.9799999999999998E-5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0</v>
      </c>
      <c r="M1538" s="1">
        <f t="shared" si="95"/>
        <v>0</v>
      </c>
      <c r="N1538" s="1">
        <f t="shared" si="96"/>
        <v>0.16800908632322636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>
        <v>0</v>
      </c>
      <c r="F1539">
        <v>709040.32440000004</v>
      </c>
      <c r="G1539" s="1">
        <v>-3.9100000000000002E-5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0</v>
      </c>
      <c r="M1539" s="1">
        <f t="shared" ref="M1539:M1602" si="99">$U$3*$K1539*E1539</f>
        <v>0</v>
      </c>
      <c r="N1539" s="1">
        <f t="shared" ref="N1539:N1602" si="100">$U$4*$K1539*G1539</f>
        <v>-8.125173123576683E-2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>
        <v>0</v>
      </c>
      <c r="F1540">
        <v>578597.91810000001</v>
      </c>
      <c r="G1540" s="1">
        <v>-3.3300000000000003E-5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0</v>
      </c>
      <c r="M1540" s="1">
        <f t="shared" si="99"/>
        <v>0</v>
      </c>
      <c r="N1540" s="1">
        <f t="shared" si="100"/>
        <v>-0.1647586207631126</v>
      </c>
      <c r="O1540" s="1"/>
    </row>
    <row r="1541" spans="1:15" x14ac:dyDescent="0.25">
      <c r="A1541">
        <v>2721</v>
      </c>
      <c r="B1541">
        <v>11026.39481</v>
      </c>
      <c r="C1541">
        <v>0</v>
      </c>
      <c r="D1541">
        <v>44937.054700000001</v>
      </c>
      <c r="E1541">
        <v>0</v>
      </c>
      <c r="F1541">
        <v>315997.68190000003</v>
      </c>
      <c r="G1541" s="1">
        <v>3.9799999999999998E-5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0</v>
      </c>
      <c r="M1541" s="1">
        <f t="shared" si="99"/>
        <v>0</v>
      </c>
      <c r="N1541" s="1">
        <f t="shared" si="100"/>
        <v>7.9703452176178191E-2</v>
      </c>
      <c r="O1541" s="1"/>
    </row>
    <row r="1542" spans="1:15" x14ac:dyDescent="0.25">
      <c r="A1542">
        <v>2722</v>
      </c>
      <c r="B1542">
        <v>18800.202929999999</v>
      </c>
      <c r="C1542">
        <v>0</v>
      </c>
      <c r="D1542">
        <v>57088.19023</v>
      </c>
      <c r="E1542">
        <v>0</v>
      </c>
      <c r="F1542">
        <v>636172.21860000002</v>
      </c>
      <c r="G1542" s="1">
        <v>-4.8199999999999999E-5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0</v>
      </c>
      <c r="M1542" s="1">
        <f t="shared" si="99"/>
        <v>0</v>
      </c>
      <c r="N1542" s="1">
        <f t="shared" si="100"/>
        <v>-0.11447134171319952</v>
      </c>
      <c r="O1542" s="1"/>
    </row>
    <row r="1543" spans="1:15" x14ac:dyDescent="0.25">
      <c r="A1543">
        <v>2723</v>
      </c>
      <c r="B1543">
        <v>36084.583630000001</v>
      </c>
      <c r="C1543">
        <v>0</v>
      </c>
      <c r="D1543">
        <v>369149.9963</v>
      </c>
      <c r="E1543">
        <v>0</v>
      </c>
      <c r="F1543">
        <v>946962.74210000003</v>
      </c>
      <c r="G1543">
        <v>8853.2450869999993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0</v>
      </c>
      <c r="M1543" s="1">
        <f t="shared" si="99"/>
        <v>0</v>
      </c>
      <c r="N1543" s="1">
        <f t="shared" si="100"/>
        <v>17528995.965108156</v>
      </c>
      <c r="O1543" s="1"/>
    </row>
    <row r="1544" spans="1:15" x14ac:dyDescent="0.25">
      <c r="A1544">
        <v>2724</v>
      </c>
      <c r="B1544">
        <v>23823.465800000002</v>
      </c>
      <c r="C1544">
        <v>0</v>
      </c>
      <c r="D1544">
        <v>57512.71312</v>
      </c>
      <c r="E1544">
        <v>0</v>
      </c>
      <c r="F1544">
        <v>631732.54249999998</v>
      </c>
      <c r="G1544" s="1">
        <v>-9.0699999999999996E-6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0</v>
      </c>
      <c r="M1544" s="1">
        <f t="shared" si="99"/>
        <v>0</v>
      </c>
      <c r="N1544" s="1">
        <f t="shared" si="100"/>
        <v>-2.6273716129885511E-2</v>
      </c>
      <c r="O1544" s="1"/>
    </row>
    <row r="1545" spans="1:15" x14ac:dyDescent="0.25">
      <c r="A1545">
        <v>2725</v>
      </c>
      <c r="B1545">
        <v>32112.014429999999</v>
      </c>
      <c r="C1545">
        <v>0</v>
      </c>
      <c r="D1545">
        <v>367702.76659999997</v>
      </c>
      <c r="E1545">
        <v>0</v>
      </c>
      <c r="F1545">
        <v>937441.35560000001</v>
      </c>
      <c r="G1545">
        <v>8853.2450349999999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0</v>
      </c>
      <c r="M1545" s="1">
        <f t="shared" si="99"/>
        <v>0</v>
      </c>
      <c r="N1545" s="1">
        <f t="shared" si="100"/>
        <v>21230887.706834454</v>
      </c>
      <c r="O1545" s="1"/>
    </row>
    <row r="1546" spans="1:15" x14ac:dyDescent="0.25">
      <c r="A1546">
        <v>2728</v>
      </c>
      <c r="B1546">
        <v>7561.3926179999999</v>
      </c>
      <c r="C1546">
        <v>0</v>
      </c>
      <c r="D1546">
        <v>261968.16099999999</v>
      </c>
      <c r="E1546">
        <v>0</v>
      </c>
      <c r="F1546">
        <v>916635.02099999995</v>
      </c>
      <c r="G1546">
        <v>13719.256880000001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0</v>
      </c>
      <c r="M1546" s="1">
        <f t="shared" si="99"/>
        <v>0</v>
      </c>
      <c r="N1546" s="1">
        <f t="shared" si="100"/>
        <v>52260221.299037702</v>
      </c>
      <c r="O1546" s="1"/>
    </row>
    <row r="1547" spans="1:15" x14ac:dyDescent="0.25">
      <c r="A1547">
        <v>2729</v>
      </c>
      <c r="B1547">
        <v>18597.072759999999</v>
      </c>
      <c r="C1547">
        <v>0</v>
      </c>
      <c r="D1547">
        <v>340240.69589999999</v>
      </c>
      <c r="E1547">
        <v>6980.6233000000002</v>
      </c>
      <c r="F1547">
        <v>979750.39939999999</v>
      </c>
      <c r="G1547">
        <v>2056.8234200000002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0</v>
      </c>
      <c r="M1547" s="1">
        <f t="shared" si="99"/>
        <v>43519798.885854729</v>
      </c>
      <c r="N1547" s="1">
        <f t="shared" si="100"/>
        <v>5999752.897237191</v>
      </c>
      <c r="O1547" s="1"/>
    </row>
    <row r="1548" spans="1:15" x14ac:dyDescent="0.25">
      <c r="A1548">
        <v>2730</v>
      </c>
      <c r="B1548">
        <v>8524.568894</v>
      </c>
      <c r="C1548">
        <v>0</v>
      </c>
      <c r="D1548">
        <v>73698.357610000006</v>
      </c>
      <c r="E1548">
        <v>0</v>
      </c>
      <c r="F1548">
        <v>601630.18909999996</v>
      </c>
      <c r="G1548">
        <v>9724.5269200000002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0</v>
      </c>
      <c r="M1548" s="1">
        <f t="shared" si="99"/>
        <v>0</v>
      </c>
      <c r="N1548" s="1">
        <f t="shared" si="100"/>
        <v>42071752.971461907</v>
      </c>
      <c r="O1548" s="1"/>
    </row>
    <row r="1549" spans="1:15" x14ac:dyDescent="0.25">
      <c r="A1549">
        <v>2731</v>
      </c>
      <c r="B1549">
        <v>9251.2660410000008</v>
      </c>
      <c r="C1549">
        <v>0</v>
      </c>
      <c r="D1549">
        <v>81611.776379999996</v>
      </c>
      <c r="E1549">
        <v>0</v>
      </c>
      <c r="F1549">
        <v>648416.3996</v>
      </c>
      <c r="G1549" s="1">
        <v>-8.2500000000000006E-6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0</v>
      </c>
      <c r="M1549" s="1">
        <f t="shared" si="99"/>
        <v>0</v>
      </c>
      <c r="N1549" s="1">
        <f t="shared" si="100"/>
        <v>-2.118970991437245E-2</v>
      </c>
      <c r="O1549" s="1"/>
    </row>
    <row r="1550" spans="1:15" x14ac:dyDescent="0.25">
      <c r="A1550">
        <v>2732</v>
      </c>
      <c r="B1550">
        <v>14081.61716</v>
      </c>
      <c r="C1550">
        <v>0</v>
      </c>
      <c r="D1550">
        <v>127427.6303</v>
      </c>
      <c r="E1550">
        <v>0</v>
      </c>
      <c r="F1550">
        <v>720654.62419999996</v>
      </c>
      <c r="G1550">
        <v>13530.622170000001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0</v>
      </c>
      <c r="M1550" s="1">
        <f t="shared" si="99"/>
        <v>0</v>
      </c>
      <c r="N1550" s="1">
        <f t="shared" si="100"/>
        <v>49179731.237602293</v>
      </c>
      <c r="O1550" s="1"/>
    </row>
    <row r="1551" spans="1:15" x14ac:dyDescent="0.25">
      <c r="A1551">
        <v>2733</v>
      </c>
      <c r="B1551">
        <v>4618.554016</v>
      </c>
      <c r="C1551">
        <v>0</v>
      </c>
      <c r="D1551">
        <v>45504.538560000001</v>
      </c>
      <c r="E1551">
        <v>0</v>
      </c>
      <c r="F1551">
        <v>351169.75400000002</v>
      </c>
      <c r="G1551">
        <v>14474.93158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0</v>
      </c>
      <c r="M1551" s="1">
        <f t="shared" si="99"/>
        <v>0</v>
      </c>
      <c r="N1551" s="1">
        <f t="shared" si="100"/>
        <v>29303837.122893054</v>
      </c>
      <c r="O1551" s="1"/>
    </row>
    <row r="1552" spans="1:15" x14ac:dyDescent="0.25">
      <c r="A1552">
        <v>2736</v>
      </c>
      <c r="B1552">
        <v>39128.527220000004</v>
      </c>
      <c r="C1552">
        <v>0</v>
      </c>
      <c r="D1552">
        <v>430755.3149</v>
      </c>
      <c r="E1552">
        <v>0</v>
      </c>
      <c r="F1552">
        <v>974259.37600000005</v>
      </c>
      <c r="G1552">
        <v>9261.5015739999999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0</v>
      </c>
      <c r="M1552" s="1">
        <f t="shared" si="99"/>
        <v>0</v>
      </c>
      <c r="N1552" s="1">
        <f t="shared" si="100"/>
        <v>20088517.900906686</v>
      </c>
      <c r="O1552" s="1"/>
    </row>
    <row r="1553" spans="1:15" x14ac:dyDescent="0.25">
      <c r="A1553">
        <v>2737</v>
      </c>
      <c r="B1553">
        <v>22221.072069999998</v>
      </c>
      <c r="C1553">
        <v>0</v>
      </c>
      <c r="D1553">
        <v>55785.996019999999</v>
      </c>
      <c r="E1553">
        <v>0</v>
      </c>
      <c r="F1553">
        <v>675373.7426</v>
      </c>
      <c r="G1553" s="1">
        <v>-3.5599999999999998E-5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0</v>
      </c>
      <c r="M1553" s="1">
        <f t="shared" si="99"/>
        <v>0</v>
      </c>
      <c r="N1553" s="1">
        <f t="shared" si="100"/>
        <v>-4.6817191349312157E-2</v>
      </c>
      <c r="O1553" s="1"/>
    </row>
    <row r="1554" spans="1:15" x14ac:dyDescent="0.25">
      <c r="A1554">
        <v>2738</v>
      </c>
      <c r="B1554">
        <v>22449.219239999999</v>
      </c>
      <c r="C1554">
        <v>0</v>
      </c>
      <c r="D1554">
        <v>95421.059989999994</v>
      </c>
      <c r="E1554">
        <v>0</v>
      </c>
      <c r="F1554">
        <v>738883.60060000001</v>
      </c>
      <c r="G1554">
        <v>723.46585700000003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0</v>
      </c>
      <c r="M1554" s="1">
        <f t="shared" si="99"/>
        <v>0</v>
      </c>
      <c r="N1554" s="1">
        <f t="shared" si="100"/>
        <v>1401491.2662401777</v>
      </c>
      <c r="O1554" s="1"/>
    </row>
    <row r="1555" spans="1:15" x14ac:dyDescent="0.25">
      <c r="A1555">
        <v>2739</v>
      </c>
      <c r="B1555">
        <v>16946.8109</v>
      </c>
      <c r="C1555">
        <v>0</v>
      </c>
      <c r="D1555">
        <v>39776.07258</v>
      </c>
      <c r="E1555">
        <v>0</v>
      </c>
      <c r="F1555">
        <v>282959.43930000003</v>
      </c>
      <c r="G1555" s="1">
        <v>1.45E-5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0</v>
      </c>
      <c r="M1555" s="1">
        <f t="shared" si="99"/>
        <v>0</v>
      </c>
      <c r="N1555" s="1">
        <f t="shared" si="100"/>
        <v>4.4183483078832304E-2</v>
      </c>
      <c r="O1555" s="1"/>
    </row>
    <row r="1556" spans="1:15" x14ac:dyDescent="0.25">
      <c r="A1556">
        <v>2740</v>
      </c>
      <c r="B1556">
        <v>22907.432280000001</v>
      </c>
      <c r="C1556">
        <v>0</v>
      </c>
      <c r="D1556">
        <v>68487.655660000004</v>
      </c>
      <c r="E1556">
        <v>0</v>
      </c>
      <c r="F1556">
        <v>676231.48739999998</v>
      </c>
      <c r="G1556" s="1">
        <v>-3.9900000000000001E-5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0</v>
      </c>
      <c r="M1556" s="1">
        <f t="shared" si="99"/>
        <v>0</v>
      </c>
      <c r="N1556" s="1">
        <f t="shared" si="100"/>
        <v>-2.1861022833760322E-2</v>
      </c>
      <c r="O1556" s="1"/>
    </row>
    <row r="1557" spans="1:15" x14ac:dyDescent="0.25">
      <c r="A1557">
        <v>2741</v>
      </c>
      <c r="B1557">
        <v>16569.181329999999</v>
      </c>
      <c r="C1557">
        <v>0</v>
      </c>
      <c r="D1557">
        <v>51233.807099999998</v>
      </c>
      <c r="E1557">
        <v>0</v>
      </c>
      <c r="F1557">
        <v>370071.96169999999</v>
      </c>
      <c r="G1557" s="1">
        <v>-3.6000000000000001E-5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0</v>
      </c>
      <c r="M1557" s="1">
        <f t="shared" si="99"/>
        <v>0</v>
      </c>
      <c r="N1557" s="1">
        <f t="shared" si="100"/>
        <v>-8.2256137002154811E-2</v>
      </c>
      <c r="O1557" s="1"/>
    </row>
    <row r="1558" spans="1:15" x14ac:dyDescent="0.25">
      <c r="A1558">
        <v>2744</v>
      </c>
      <c r="B1558">
        <v>30327.48201</v>
      </c>
      <c r="C1558">
        <v>0</v>
      </c>
      <c r="D1558">
        <v>193509.889</v>
      </c>
      <c r="E1558">
        <v>0</v>
      </c>
      <c r="F1558">
        <v>874448.66870000004</v>
      </c>
      <c r="G1558">
        <v>6687.0159739999999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0</v>
      </c>
      <c r="M1558" s="1">
        <f t="shared" si="99"/>
        <v>0</v>
      </c>
      <c r="N1558" s="1">
        <f t="shared" si="100"/>
        <v>13567113.62154091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>
        <v>0</v>
      </c>
      <c r="F1559">
        <v>798083.47919999994</v>
      </c>
      <c r="G1559">
        <v>830.83354670000006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0</v>
      </c>
      <c r="M1559" s="1">
        <f t="shared" si="99"/>
        <v>0</v>
      </c>
      <c r="N1559" s="1">
        <f t="shared" si="100"/>
        <v>2534323.8680526731</v>
      </c>
      <c r="O1559" s="1"/>
    </row>
    <row r="1560" spans="1:15" x14ac:dyDescent="0.25">
      <c r="A1560">
        <v>2746</v>
      </c>
      <c r="B1560">
        <v>18652.122340000002</v>
      </c>
      <c r="C1560">
        <v>0</v>
      </c>
      <c r="D1560">
        <v>55738.766369999998</v>
      </c>
      <c r="E1560">
        <v>0</v>
      </c>
      <c r="F1560">
        <v>579726.424</v>
      </c>
      <c r="G1560" s="1">
        <v>4.9400000000000001E-5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0</v>
      </c>
      <c r="M1560" s="1">
        <f t="shared" si="99"/>
        <v>0</v>
      </c>
      <c r="N1560" s="1">
        <f t="shared" si="100"/>
        <v>6.9842613902894826E-2</v>
      </c>
      <c r="O1560" s="1"/>
    </row>
    <row r="1561" spans="1:15" x14ac:dyDescent="0.25">
      <c r="A1561">
        <v>2747</v>
      </c>
      <c r="B1561">
        <v>4914.7591350000002</v>
      </c>
      <c r="C1561">
        <v>0</v>
      </c>
      <c r="D1561">
        <v>42772.899649999999</v>
      </c>
      <c r="E1561">
        <v>0</v>
      </c>
      <c r="F1561">
        <v>396881.88549999997</v>
      </c>
      <c r="G1561" s="1">
        <v>-4.8600000000000002E-5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0</v>
      </c>
      <c r="M1561" s="1">
        <f t="shared" si="99"/>
        <v>0</v>
      </c>
      <c r="N1561" s="1">
        <f t="shared" si="100"/>
        <v>-0.13804301319732723</v>
      </c>
      <c r="O1561" s="1"/>
    </row>
    <row r="1562" spans="1:15" x14ac:dyDescent="0.25">
      <c r="A1562">
        <v>2748</v>
      </c>
      <c r="B1562">
        <v>17602.857459999999</v>
      </c>
      <c r="C1562">
        <v>0</v>
      </c>
      <c r="D1562">
        <v>49759.36565</v>
      </c>
      <c r="E1562">
        <v>0</v>
      </c>
      <c r="F1562">
        <v>249568.429</v>
      </c>
      <c r="G1562" s="1">
        <v>4.1900000000000002E-5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0</v>
      </c>
      <c r="M1562" s="1">
        <f t="shared" si="99"/>
        <v>0</v>
      </c>
      <c r="N1562" s="1">
        <f t="shared" si="100"/>
        <v>7.6774544486627488E-2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>
        <v>0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0</v>
      </c>
      <c r="M1563" s="1">
        <f t="shared" si="99"/>
        <v>0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>
        <v>0</v>
      </c>
      <c r="D1564">
        <v>34983.460509999997</v>
      </c>
      <c r="E1564">
        <v>0</v>
      </c>
      <c r="F1564">
        <v>135776.10010000001</v>
      </c>
      <c r="G1564" s="1">
        <v>-2.1800000000000001E-5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0</v>
      </c>
      <c r="M1564" s="1">
        <f t="shared" si="99"/>
        <v>0</v>
      </c>
      <c r="N1564" s="1">
        <f t="shared" si="100"/>
        <v>-5.8729953376065187E-2</v>
      </c>
      <c r="O1564" s="1"/>
    </row>
    <row r="1565" spans="1:15" x14ac:dyDescent="0.25">
      <c r="A1565">
        <v>2753</v>
      </c>
      <c r="B1565">
        <v>2629.7879750000002</v>
      </c>
      <c r="C1565">
        <v>0</v>
      </c>
      <c r="D1565">
        <v>22880.47249</v>
      </c>
      <c r="E1565">
        <v>0</v>
      </c>
      <c r="F1565">
        <v>199016.7458</v>
      </c>
      <c r="G1565" s="1">
        <v>-2.2799999999999999E-5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0</v>
      </c>
      <c r="M1565" s="1">
        <f t="shared" si="99"/>
        <v>0</v>
      </c>
      <c r="N1565" s="1">
        <f t="shared" si="100"/>
        <v>-6.9019255863350643E-2</v>
      </c>
      <c r="O1565" s="1"/>
    </row>
    <row r="1566" spans="1:15" x14ac:dyDescent="0.25">
      <c r="A1566">
        <v>2754</v>
      </c>
      <c r="B1566">
        <v>2629.7879750000002</v>
      </c>
      <c r="C1566">
        <v>0</v>
      </c>
      <c r="D1566">
        <v>25749.316360000001</v>
      </c>
      <c r="E1566">
        <v>0</v>
      </c>
      <c r="F1566">
        <v>202766.9167</v>
      </c>
      <c r="G1566" s="1">
        <v>2.69E-5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0</v>
      </c>
      <c r="M1566" s="1">
        <f t="shared" si="99"/>
        <v>0</v>
      </c>
      <c r="N1566" s="1">
        <f t="shared" si="100"/>
        <v>8.4596871124111142E-2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>
        <v>0</v>
      </c>
      <c r="F1567">
        <v>617978.6801</v>
      </c>
      <c r="G1567" s="1">
        <v>-3.6799999999999999E-6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0</v>
      </c>
      <c r="N1567" s="1">
        <f t="shared" si="100"/>
        <v>-6.8355512831984166E-3</v>
      </c>
      <c r="O1567" s="1"/>
    </row>
    <row r="1568" spans="1:15" x14ac:dyDescent="0.25">
      <c r="A1568">
        <v>2756</v>
      </c>
      <c r="B1568">
        <v>8441.9192359999997</v>
      </c>
      <c r="C1568">
        <v>0</v>
      </c>
      <c r="D1568">
        <v>41557.589249999997</v>
      </c>
      <c r="E1568">
        <v>0</v>
      </c>
      <c r="F1568">
        <v>454643.239</v>
      </c>
      <c r="G1568" s="1">
        <v>-2.6100000000000001E-5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0</v>
      </c>
      <c r="M1568" s="1">
        <f t="shared" si="99"/>
        <v>0</v>
      </c>
      <c r="N1568" s="1">
        <f t="shared" si="100"/>
        <v>-8.6533922900462593E-2</v>
      </c>
      <c r="O1568" s="1"/>
    </row>
    <row r="1569" spans="1:15" x14ac:dyDescent="0.25">
      <c r="A1569">
        <v>2757</v>
      </c>
      <c r="B1569">
        <v>7664.8786419999997</v>
      </c>
      <c r="C1569">
        <v>0</v>
      </c>
      <c r="D1569">
        <v>34842.485269999997</v>
      </c>
      <c r="E1569">
        <v>0</v>
      </c>
      <c r="F1569">
        <v>336292.25510000001</v>
      </c>
      <c r="G1569" s="1">
        <v>4.9400000000000001E-5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0</v>
      </c>
      <c r="M1569" s="1">
        <f t="shared" si="99"/>
        <v>0</v>
      </c>
      <c r="N1569" s="1">
        <f t="shared" si="100"/>
        <v>0.16975882680263754</v>
      </c>
      <c r="O1569" s="1"/>
    </row>
    <row r="1570" spans="1:15" x14ac:dyDescent="0.25">
      <c r="A1570">
        <v>2758</v>
      </c>
      <c r="B1570">
        <v>4709.1140750000004</v>
      </c>
      <c r="C1570">
        <v>0</v>
      </c>
      <c r="D1570">
        <v>30166.248940000001</v>
      </c>
      <c r="E1570">
        <v>0</v>
      </c>
      <c r="F1570">
        <v>181991.70619999999</v>
      </c>
      <c r="G1570" s="1">
        <v>2.02E-5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0</v>
      </c>
      <c r="M1570" s="1">
        <f t="shared" si="99"/>
        <v>0</v>
      </c>
      <c r="N1570" s="1">
        <f t="shared" si="100"/>
        <v>4.908826621724046E-2</v>
      </c>
      <c r="O1570" s="1"/>
    </row>
    <row r="1571" spans="1:15" x14ac:dyDescent="0.25">
      <c r="A1571">
        <v>2761</v>
      </c>
      <c r="B1571">
        <v>25112.154750000002</v>
      </c>
      <c r="C1571">
        <v>0</v>
      </c>
      <c r="D1571">
        <v>489705.64549999998</v>
      </c>
      <c r="E1571">
        <v>0</v>
      </c>
      <c r="F1571">
        <v>981474.29269999999</v>
      </c>
      <c r="G1571">
        <v>3818.041913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0</v>
      </c>
      <c r="M1571" s="1">
        <f t="shared" si="99"/>
        <v>0</v>
      </c>
      <c r="N1571" s="1">
        <f t="shared" si="100"/>
        <v>4974761.7924980288</v>
      </c>
      <c r="O1571" s="1"/>
    </row>
    <row r="1572" spans="1:15" x14ac:dyDescent="0.25">
      <c r="A1572">
        <v>2762</v>
      </c>
      <c r="B1572">
        <v>12458.548070000001</v>
      </c>
      <c r="C1572">
        <v>0</v>
      </c>
      <c r="D1572">
        <v>74727.879060000007</v>
      </c>
      <c r="E1572">
        <v>0</v>
      </c>
      <c r="F1572">
        <v>714288.50569999998</v>
      </c>
      <c r="G1572">
        <v>3925.9696140000001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0</v>
      </c>
      <c r="M1572" s="1">
        <f t="shared" si="99"/>
        <v>0</v>
      </c>
      <c r="N1572" s="1">
        <f t="shared" si="100"/>
        <v>5066287.2686457261</v>
      </c>
      <c r="O1572" s="1"/>
    </row>
    <row r="1573" spans="1:15" x14ac:dyDescent="0.25">
      <c r="A1573">
        <v>2763</v>
      </c>
      <c r="B1573">
        <v>15043.398639999999</v>
      </c>
      <c r="C1573">
        <v>0</v>
      </c>
      <c r="D1573">
        <v>112123.54790000001</v>
      </c>
      <c r="E1573">
        <v>0</v>
      </c>
      <c r="F1573">
        <v>789134.57239999995</v>
      </c>
      <c r="G1573">
        <v>830.83356089999995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0</v>
      </c>
      <c r="M1573" s="1">
        <f t="shared" si="99"/>
        <v>0</v>
      </c>
      <c r="N1573" s="1">
        <f t="shared" si="100"/>
        <v>3255365.7028021379</v>
      </c>
      <c r="O1573" s="1"/>
    </row>
    <row r="1574" spans="1:15" x14ac:dyDescent="0.25">
      <c r="A1574">
        <v>2764</v>
      </c>
      <c r="B1574">
        <v>37830.34446</v>
      </c>
      <c r="C1574">
        <v>0</v>
      </c>
      <c r="D1574">
        <v>460443.28249999997</v>
      </c>
      <c r="E1574">
        <v>0</v>
      </c>
      <c r="F1574">
        <v>981248.4902</v>
      </c>
      <c r="G1574">
        <v>9805.8607260000008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0</v>
      </c>
      <c r="M1574" s="1">
        <f t="shared" si="99"/>
        <v>0</v>
      </c>
      <c r="N1574" s="1">
        <f t="shared" si="100"/>
        <v>14545706.222921368</v>
      </c>
      <c r="O1574" s="1"/>
    </row>
    <row r="1575" spans="1:15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6687.0160249999999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0</v>
      </c>
      <c r="M1575" s="1">
        <f t="shared" si="99"/>
        <v>0</v>
      </c>
      <c r="N1575" s="1">
        <f t="shared" si="100"/>
        <v>9518866.7574115861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>
        <v>0</v>
      </c>
      <c r="F1576">
        <v>880387.55500000005</v>
      </c>
      <c r="G1576">
        <v>7517.3951569999999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0</v>
      </c>
      <c r="M1576" s="1">
        <f t="shared" si="99"/>
        <v>0</v>
      </c>
      <c r="N1576" s="1">
        <f t="shared" si="100"/>
        <v>15816676.74117134</v>
      </c>
      <c r="O1576" s="1"/>
    </row>
    <row r="1577" spans="1:15" x14ac:dyDescent="0.25">
      <c r="A1577">
        <v>2767</v>
      </c>
      <c r="B1577">
        <v>14512.20638</v>
      </c>
      <c r="C1577">
        <v>0</v>
      </c>
      <c r="D1577">
        <v>47304.012719999999</v>
      </c>
      <c r="E1577">
        <v>0</v>
      </c>
      <c r="F1577">
        <v>590223.73329999996</v>
      </c>
      <c r="G1577" s="1">
        <v>3.3800000000000002E-5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0</v>
      </c>
      <c r="M1577" s="1">
        <f t="shared" si="99"/>
        <v>0</v>
      </c>
      <c r="N1577" s="1">
        <f t="shared" si="100"/>
        <v>7.5694500662868369E-2</v>
      </c>
      <c r="O1577" s="1"/>
    </row>
    <row r="1578" spans="1:15" x14ac:dyDescent="0.25">
      <c r="A1578">
        <v>2768</v>
      </c>
      <c r="B1578">
        <v>26571.21084</v>
      </c>
      <c r="C1578">
        <v>0</v>
      </c>
      <c r="D1578">
        <v>306639.65600000002</v>
      </c>
      <c r="E1578">
        <v>0</v>
      </c>
      <c r="F1578">
        <v>910878.42260000005</v>
      </c>
      <c r="G1578">
        <v>7835.185144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0</v>
      </c>
      <c r="M1578" s="1">
        <f t="shared" si="99"/>
        <v>0</v>
      </c>
      <c r="N1578" s="1">
        <f t="shared" si="100"/>
        <v>10596122.112932133</v>
      </c>
      <c r="O1578" s="1"/>
    </row>
    <row r="1579" spans="1:15" x14ac:dyDescent="0.25">
      <c r="A1579">
        <v>2769</v>
      </c>
      <c r="B1579">
        <v>20872.414209999999</v>
      </c>
      <c r="C1579">
        <v>0</v>
      </c>
      <c r="D1579">
        <v>46709.683149999997</v>
      </c>
      <c r="E1579">
        <v>0</v>
      </c>
      <c r="F1579">
        <v>531849.94979999994</v>
      </c>
      <c r="G1579" s="1">
        <v>3.3500000000000001E-5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0</v>
      </c>
      <c r="M1579" s="1">
        <f t="shared" si="99"/>
        <v>0</v>
      </c>
      <c r="N1579" s="1">
        <f t="shared" si="100"/>
        <v>0.10356681405807346</v>
      </c>
      <c r="O1579" s="1"/>
    </row>
    <row r="1580" spans="1:15" x14ac:dyDescent="0.25">
      <c r="A1580">
        <v>2772</v>
      </c>
      <c r="B1580">
        <v>2786.5389519999999</v>
      </c>
      <c r="C1580">
        <v>0</v>
      </c>
      <c r="D1580">
        <v>34906.257409999998</v>
      </c>
      <c r="E1580">
        <v>0</v>
      </c>
      <c r="F1580">
        <v>103167.9935</v>
      </c>
      <c r="G1580" s="1">
        <v>-2.0699999999999998E-5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0</v>
      </c>
      <c r="M1580" s="1">
        <f t="shared" si="99"/>
        <v>0</v>
      </c>
      <c r="N1580" s="1">
        <f t="shared" si="100"/>
        <v>-7.9526531805689873E-2</v>
      </c>
      <c r="O1580" s="1"/>
    </row>
    <row r="1581" spans="1:15" x14ac:dyDescent="0.25">
      <c r="A1581">
        <v>2773</v>
      </c>
      <c r="B1581">
        <v>4427.4121329999998</v>
      </c>
      <c r="C1581">
        <v>0</v>
      </c>
      <c r="D1581">
        <v>44211.761100000003</v>
      </c>
      <c r="E1581">
        <v>0</v>
      </c>
      <c r="F1581">
        <v>90155.646179999996</v>
      </c>
      <c r="G1581" s="1">
        <v>-5.6000000000000004E-7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0</v>
      </c>
      <c r="M1581" s="1">
        <f t="shared" si="99"/>
        <v>0</v>
      </c>
      <c r="N1581" s="1">
        <f t="shared" si="100"/>
        <v>-2.6688827791990564E-3</v>
      </c>
      <c r="O1581" s="1"/>
    </row>
    <row r="1582" spans="1:15" x14ac:dyDescent="0.25">
      <c r="A1582">
        <v>2774</v>
      </c>
      <c r="B1582">
        <v>9713.3339969999997</v>
      </c>
      <c r="C1582">
        <v>0</v>
      </c>
      <c r="D1582">
        <v>47629.700660000002</v>
      </c>
      <c r="E1582">
        <v>0</v>
      </c>
      <c r="F1582">
        <v>104915.7319</v>
      </c>
      <c r="G1582" s="1">
        <v>3.8699999999999999E-5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0</v>
      </c>
      <c r="M1582" s="1">
        <f t="shared" si="99"/>
        <v>0</v>
      </c>
      <c r="N1582" s="1">
        <f t="shared" si="100"/>
        <v>0.18991252493370306</v>
      </c>
      <c r="O1582" s="1"/>
    </row>
    <row r="1583" spans="1:15" x14ac:dyDescent="0.25">
      <c r="A1583">
        <v>2775</v>
      </c>
      <c r="B1583">
        <v>3789.738589</v>
      </c>
      <c r="C1583">
        <v>0</v>
      </c>
      <c r="D1583">
        <v>35706.254529999998</v>
      </c>
      <c r="E1583">
        <v>0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0</v>
      </c>
      <c r="M1583" s="1">
        <f t="shared" si="99"/>
        <v>0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>
        <v>0</v>
      </c>
      <c r="D1584">
        <v>40740.267930000002</v>
      </c>
      <c r="E1584">
        <v>0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0</v>
      </c>
      <c r="M1584" s="1">
        <f t="shared" si="99"/>
        <v>0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 s="1">
        <v>9.9999999999999995E-8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0</v>
      </c>
      <c r="N1585" s="1">
        <f t="shared" si="100"/>
        <v>1.5973243783398E-3</v>
      </c>
      <c r="O1585" s="1"/>
    </row>
    <row r="1586" spans="1:15" x14ac:dyDescent="0.25">
      <c r="A1586">
        <v>2801</v>
      </c>
      <c r="B1586">
        <v>3754.3216769999999</v>
      </c>
      <c r="C1586">
        <v>0</v>
      </c>
      <c r="D1586">
        <v>4704.8635839999997</v>
      </c>
      <c r="E1586">
        <v>0</v>
      </c>
      <c r="F1586">
        <v>9738.3746599999995</v>
      </c>
      <c r="G1586" s="1">
        <v>3.9999999999999998E-7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0</v>
      </c>
      <c r="M1586" s="1">
        <f t="shared" si="99"/>
        <v>0</v>
      </c>
      <c r="N1586" s="1">
        <f t="shared" si="100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>
        <v>0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0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0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>
        <v>0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0</v>
      </c>
      <c r="M1589" s="1">
        <f t="shared" si="99"/>
        <v>0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>
        <v>0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0</v>
      </c>
      <c r="M1590" s="1">
        <f t="shared" si="99"/>
        <v>0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>
        <v>0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0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>
        <v>0</v>
      </c>
      <c r="D1592">
        <v>12632.15408</v>
      </c>
      <c r="E1592">
        <v>0</v>
      </c>
      <c r="F1592">
        <v>59461.475339999997</v>
      </c>
      <c r="G1592" s="1">
        <v>2.6000000000000001E-6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0</v>
      </c>
      <c r="M1592" s="1">
        <f t="shared" si="99"/>
        <v>0</v>
      </c>
      <c r="N1592" s="1">
        <f t="shared" si="100"/>
        <v>1.5616101955264201E-2</v>
      </c>
      <c r="O1592" s="1"/>
    </row>
    <row r="1593" spans="1:15" x14ac:dyDescent="0.25">
      <c r="A1593">
        <v>2808</v>
      </c>
      <c r="B1593">
        <v>2990.6467520000001</v>
      </c>
      <c r="C1593">
        <v>0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0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 s="1">
        <v>2.9999999999999999E-7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1.4345225329275001E-2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>
        <v>0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0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>
        <v>0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0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>
        <v>0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0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>
        <v>0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0</v>
      </c>
      <c r="M1599" s="1">
        <f t="shared" si="99"/>
        <v>0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>
        <v>0</v>
      </c>
      <c r="D1600">
        <v>21603.86997</v>
      </c>
      <c r="E1600">
        <v>0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0</v>
      </c>
      <c r="M1600" s="1">
        <f t="shared" si="99"/>
        <v>0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>
        <v>0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0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>
        <v>0</v>
      </c>
      <c r="F1602">
        <v>117527.1189</v>
      </c>
      <c r="G1602" s="1">
        <v>1.2099999999999999E-5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0</v>
      </c>
      <c r="M1602" s="1">
        <f t="shared" si="99"/>
        <v>0</v>
      </c>
      <c r="N1602" s="1">
        <f t="shared" si="100"/>
        <v>0.10555676948443111</v>
      </c>
      <c r="O1602" s="1"/>
    </row>
    <row r="1603" spans="1:15" x14ac:dyDescent="0.25">
      <c r="A1603">
        <v>2824</v>
      </c>
      <c r="B1603">
        <v>4042.7800069999998</v>
      </c>
      <c r="C1603">
        <v>0</v>
      </c>
      <c r="D1603">
        <v>20492.630359999999</v>
      </c>
      <c r="E1603">
        <v>0</v>
      </c>
      <c r="F1603">
        <v>85456.073569999993</v>
      </c>
      <c r="G1603" s="1">
        <v>2.9799999999999998E-6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0</v>
      </c>
      <c r="M1603" s="1">
        <f t="shared" ref="M1603:M1666" si="103">$U$3*$K1603*E1603</f>
        <v>0</v>
      </c>
      <c r="N1603" s="1">
        <f t="shared" ref="N1603:N1666" si="104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>
        <v>0</v>
      </c>
      <c r="F1604">
        <v>12122.4437</v>
      </c>
      <c r="G1604" s="1">
        <v>5.9999999999999997E-7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0</v>
      </c>
      <c r="N1604" s="1">
        <f t="shared" si="104"/>
        <v>7.9612068288024002E-3</v>
      </c>
      <c r="O1604" s="1"/>
    </row>
    <row r="1605" spans="1:15" x14ac:dyDescent="0.25">
      <c r="A1605">
        <v>2826</v>
      </c>
      <c r="B1605">
        <v>2040.935457</v>
      </c>
      <c r="C1605">
        <v>0</v>
      </c>
      <c r="D1605">
        <v>27173.71269</v>
      </c>
      <c r="E1605">
        <v>0</v>
      </c>
      <c r="F1605">
        <v>100145.7999</v>
      </c>
      <c r="G1605" s="1">
        <v>-1.13E-5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0</v>
      </c>
      <c r="M1605" s="1">
        <f t="shared" si="103"/>
        <v>0</v>
      </c>
      <c r="N1605" s="1">
        <f t="shared" si="104"/>
        <v>-0.17115418798055193</v>
      </c>
      <c r="O1605" s="1"/>
    </row>
    <row r="1606" spans="1:15" x14ac:dyDescent="0.25">
      <c r="A1606">
        <v>2827</v>
      </c>
      <c r="B1606">
        <v>4673.1157439999997</v>
      </c>
      <c r="C1606">
        <v>0</v>
      </c>
      <c r="D1606">
        <v>16989.997899999998</v>
      </c>
      <c r="E1606">
        <v>0</v>
      </c>
      <c r="F1606">
        <v>99617.517860000007</v>
      </c>
      <c r="G1606" s="1">
        <v>-1.9199999999999998E-6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0</v>
      </c>
      <c r="M1606" s="1">
        <f t="shared" si="103"/>
        <v>0</v>
      </c>
      <c r="N1606" s="1">
        <f t="shared" si="104"/>
        <v>-1.023853096081152E-2</v>
      </c>
      <c r="O1606" s="1"/>
    </row>
    <row r="1607" spans="1:15" x14ac:dyDescent="0.25">
      <c r="A1607">
        <v>2828</v>
      </c>
      <c r="B1607">
        <v>4042.7800069999998</v>
      </c>
      <c r="C1607">
        <v>0</v>
      </c>
      <c r="D1607">
        <v>22434.06437</v>
      </c>
      <c r="E1607">
        <v>0</v>
      </c>
      <c r="F1607">
        <v>103195.54059999999</v>
      </c>
      <c r="G1607" s="1">
        <v>1.3699999999999999E-5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0</v>
      </c>
      <c r="M1607" s="1">
        <f t="shared" si="103"/>
        <v>0</v>
      </c>
      <c r="N1607" s="1">
        <f t="shared" si="104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>
        <v>0</v>
      </c>
      <c r="D1609">
        <v>4016.8590129999998</v>
      </c>
      <c r="E1609">
        <v>0</v>
      </c>
      <c r="F1609">
        <v>16107.839040000001</v>
      </c>
      <c r="G1609" s="1">
        <v>1.3999999999999999E-6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0</v>
      </c>
      <c r="M1609" s="1">
        <f t="shared" si="103"/>
        <v>0</v>
      </c>
      <c r="N1609" s="1">
        <f t="shared" si="104"/>
        <v>2.3773852250547001E-2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>
        <v>0</v>
      </c>
      <c r="D1611">
        <v>17407.235789999999</v>
      </c>
      <c r="E1611">
        <v>0</v>
      </c>
      <c r="F1611">
        <v>56234.699460000003</v>
      </c>
      <c r="G1611" s="1">
        <v>4.8999999999999997E-6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0</v>
      </c>
      <c r="M1611" s="1">
        <f t="shared" si="103"/>
        <v>0</v>
      </c>
      <c r="N1611" s="1">
        <f t="shared" si="104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>
        <v>0</v>
      </c>
      <c r="F1612">
        <v>153529.22630000001</v>
      </c>
      <c r="G1612" s="1">
        <v>2.0800000000000001E-5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0</v>
      </c>
      <c r="N1612" s="1">
        <f t="shared" si="104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 s="1">
        <v>5.0999999999999999E-7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0</v>
      </c>
      <c r="N1613" s="1">
        <f t="shared" si="104"/>
        <v>2.5811000226512097E-3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0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>
        <v>0</v>
      </c>
      <c r="F1615">
        <v>65791.762959999993</v>
      </c>
      <c r="G1615" s="1">
        <v>-1.9999999999999999E-7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0</v>
      </c>
      <c r="M1615" s="1">
        <f t="shared" si="103"/>
        <v>0</v>
      </c>
      <c r="N1615" s="1">
        <f t="shared" si="104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>
        <v>0</v>
      </c>
      <c r="D1616">
        <v>48986.614090000003</v>
      </c>
      <c r="E1616">
        <v>0</v>
      </c>
      <c r="F1616">
        <v>351392.68160000001</v>
      </c>
      <c r="G1616" s="1">
        <v>4.71E-5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0</v>
      </c>
      <c r="M1616" s="1">
        <f t="shared" si="103"/>
        <v>0</v>
      </c>
      <c r="N1616" s="1">
        <f t="shared" si="104"/>
        <v>0.34431365318826057</v>
      </c>
      <c r="O1616" s="1"/>
    </row>
    <row r="1617" spans="1:15" x14ac:dyDescent="0.25">
      <c r="A1617">
        <v>2840</v>
      </c>
      <c r="B1617">
        <v>12206.37686</v>
      </c>
      <c r="C1617">
        <v>0</v>
      </c>
      <c r="D1617">
        <v>81882.414000000004</v>
      </c>
      <c r="E1617">
        <v>0</v>
      </c>
      <c r="F1617">
        <v>703417.31180000002</v>
      </c>
      <c r="G1617" s="1">
        <v>-9.1999999999999998E-7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</v>
      </c>
      <c r="M1617" s="1">
        <f t="shared" si="103"/>
        <v>0</v>
      </c>
      <c r="N1617" s="1">
        <f t="shared" si="104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>
        <v>0</v>
      </c>
      <c r="D1618">
        <v>33740.103969999996</v>
      </c>
      <c r="E1618">
        <v>0</v>
      </c>
      <c r="F1618">
        <v>73124.523350000003</v>
      </c>
      <c r="G1618" s="1">
        <v>1.61E-6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0</v>
      </c>
      <c r="M1618" s="1">
        <f t="shared" si="103"/>
        <v>0</v>
      </c>
      <c r="N1618" s="1">
        <f t="shared" si="104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>
        <v>0</v>
      </c>
      <c r="D1621">
        <v>28265.282930000001</v>
      </c>
      <c r="E1621">
        <v>0</v>
      </c>
      <c r="F1621">
        <v>68248.351370000004</v>
      </c>
      <c r="G1621" s="1">
        <v>1.5099999999999999E-6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0</v>
      </c>
      <c r="M1621" s="1">
        <f t="shared" si="103"/>
        <v>0</v>
      </c>
      <c r="N1621" s="1">
        <f t="shared" si="104"/>
        <v>4.9171964158611272E-3</v>
      </c>
      <c r="O1621" s="1"/>
    </row>
    <row r="1622" spans="1:15" x14ac:dyDescent="0.25">
      <c r="A1622">
        <v>2849</v>
      </c>
      <c r="B1622">
        <v>12022.320669999999</v>
      </c>
      <c r="C1622">
        <v>0</v>
      </c>
      <c r="D1622">
        <v>43449.06048</v>
      </c>
      <c r="E1622">
        <v>0</v>
      </c>
      <c r="F1622">
        <v>128198.9026</v>
      </c>
      <c r="G1622" s="1">
        <v>-1.33E-5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0</v>
      </c>
      <c r="M1622" s="1">
        <f t="shared" si="103"/>
        <v>0</v>
      </c>
      <c r="N1622" s="1">
        <f t="shared" si="104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>
        <v>0</v>
      </c>
      <c r="D1623">
        <v>30730.605469999999</v>
      </c>
      <c r="E1623">
        <v>0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0</v>
      </c>
      <c r="M1623" s="1">
        <f t="shared" si="103"/>
        <v>0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>
        <v>0</v>
      </c>
      <c r="D1624">
        <v>46043.1181</v>
      </c>
      <c r="E1624">
        <v>0</v>
      </c>
      <c r="F1624">
        <v>100438.0904</v>
      </c>
      <c r="G1624" s="1">
        <v>-1.01E-5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0</v>
      </c>
      <c r="M1624" s="1">
        <f t="shared" si="103"/>
        <v>0</v>
      </c>
      <c r="N1624" s="1">
        <f t="shared" si="104"/>
        <v>-4.6594217037231753E-2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>
        <v>0</v>
      </c>
      <c r="F1625">
        <v>580354.11259999999</v>
      </c>
      <c r="G1625" s="1">
        <v>-4.6E-6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0</v>
      </c>
      <c r="M1625" s="1">
        <f t="shared" si="103"/>
        <v>0</v>
      </c>
      <c r="N1625" s="1">
        <f t="shared" si="104"/>
        <v>-1.00132419905358E-2</v>
      </c>
      <c r="O1625" s="1"/>
    </row>
    <row r="1626" spans="1:15" x14ac:dyDescent="0.25">
      <c r="A1626">
        <v>2853</v>
      </c>
      <c r="B1626">
        <v>6507.5959309999998</v>
      </c>
      <c r="C1626">
        <v>0</v>
      </c>
      <c r="D1626">
        <v>35785.375679999997</v>
      </c>
      <c r="E1626">
        <v>0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0</v>
      </c>
      <c r="M1626" s="1">
        <f t="shared" si="103"/>
        <v>0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>
        <v>0</v>
      </c>
      <c r="D1627">
        <v>68283.538719999997</v>
      </c>
      <c r="E1627">
        <v>0</v>
      </c>
      <c r="F1627">
        <v>337141.91529999999</v>
      </c>
      <c r="G1627" s="1">
        <v>-3.1199999999999999E-5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0</v>
      </c>
      <c r="M1627" s="1">
        <f t="shared" si="103"/>
        <v>0</v>
      </c>
      <c r="N1627" s="1">
        <f t="shared" si="104"/>
        <v>-9.6252880375426328E-2</v>
      </c>
      <c r="O1627" s="1"/>
    </row>
    <row r="1628" spans="1:15" x14ac:dyDescent="0.25">
      <c r="A1628">
        <v>2855</v>
      </c>
      <c r="B1628">
        <v>4755.1441320000004</v>
      </c>
      <c r="C1628">
        <v>0</v>
      </c>
      <c r="D1628">
        <v>43021.265520000001</v>
      </c>
      <c r="E1628">
        <v>0</v>
      </c>
      <c r="F1628">
        <v>134312.37109999999</v>
      </c>
      <c r="G1628" s="1">
        <v>3.1600000000000002E-5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0</v>
      </c>
      <c r="M1628" s="1">
        <f t="shared" si="103"/>
        <v>0</v>
      </c>
      <c r="N1628" s="1">
        <f t="shared" si="104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>
        <v>0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0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>
        <v>0</v>
      </c>
      <c r="D1630">
        <v>63410.920980000003</v>
      </c>
      <c r="E1630">
        <v>0</v>
      </c>
      <c r="F1630">
        <v>253573.22810000001</v>
      </c>
      <c r="G1630" s="1">
        <v>9.7699999999999996E-6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0</v>
      </c>
      <c r="M1630" s="1">
        <f t="shared" si="103"/>
        <v>0</v>
      </c>
      <c r="N1630" s="1">
        <f t="shared" si="104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 s="1">
        <v>-3.9999999999999998E-7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-2.0659093175543999E-2</v>
      </c>
      <c r="O1631" s="1"/>
    </row>
    <row r="1632" spans="1:15" x14ac:dyDescent="0.25">
      <c r="A1632">
        <v>2896</v>
      </c>
      <c r="B1632">
        <v>4131.9943409999996</v>
      </c>
      <c r="C1632">
        <v>0</v>
      </c>
      <c r="D1632">
        <v>25906.60241</v>
      </c>
      <c r="E1632">
        <v>0</v>
      </c>
      <c r="F1632">
        <v>69722.517389999994</v>
      </c>
      <c r="G1632" s="1">
        <v>2.1100000000000001E-6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0</v>
      </c>
      <c r="M1632" s="1">
        <f t="shared" si="103"/>
        <v>0</v>
      </c>
      <c r="N1632" s="1">
        <f t="shared" si="104"/>
        <v>2.584553179164552E-3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>
        <v>0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0</v>
      </c>
      <c r="M1633" s="1">
        <f t="shared" si="103"/>
        <v>0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>
        <v>0</v>
      </c>
      <c r="D1634">
        <v>25351.834289999999</v>
      </c>
      <c r="E1634">
        <v>0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0</v>
      </c>
      <c r="M1634" s="1">
        <f t="shared" si="103"/>
        <v>0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>
        <v>0</v>
      </c>
      <c r="D1635">
        <v>43521.421020000002</v>
      </c>
      <c r="E1635">
        <v>0</v>
      </c>
      <c r="F1635">
        <v>76246.938290000006</v>
      </c>
      <c r="G1635" s="1">
        <v>9.0999999999999997E-7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0</v>
      </c>
      <c r="M1635" s="1">
        <f t="shared" si="103"/>
        <v>0</v>
      </c>
      <c r="N1635" s="1">
        <f t="shared" si="104"/>
        <v>2.8752746424199984E-3</v>
      </c>
      <c r="O1635" s="1"/>
    </row>
    <row r="1636" spans="1:15" x14ac:dyDescent="0.25">
      <c r="A1636">
        <v>2900</v>
      </c>
      <c r="B1636">
        <v>23505.467799999999</v>
      </c>
      <c r="C1636">
        <v>0</v>
      </c>
      <c r="D1636">
        <v>58341.90825</v>
      </c>
      <c r="E1636">
        <v>0</v>
      </c>
      <c r="F1636">
        <v>100125.9716</v>
      </c>
      <c r="G1636" s="1">
        <v>-2.0699999999999998E-5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0</v>
      </c>
      <c r="M1636" s="1">
        <f t="shared" si="103"/>
        <v>0</v>
      </c>
      <c r="N1636" s="1">
        <f t="shared" si="104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>
        <v>0</v>
      </c>
      <c r="D1637">
        <v>34933.044909999997</v>
      </c>
      <c r="E1637">
        <v>0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0</v>
      </c>
      <c r="M1637" s="1">
        <f t="shared" si="103"/>
        <v>0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>
        <v>0</v>
      </c>
      <c r="D1638">
        <v>57854.675139999999</v>
      </c>
      <c r="E1638">
        <v>0</v>
      </c>
      <c r="F1638">
        <v>102257.3187</v>
      </c>
      <c r="G1638" s="1">
        <v>3.9700000000000003E-5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0</v>
      </c>
      <c r="M1638" s="1">
        <f t="shared" si="103"/>
        <v>0</v>
      </c>
      <c r="N1638" s="1">
        <f t="shared" si="104"/>
        <v>0.20902871170811013</v>
      </c>
      <c r="O1638" s="1"/>
    </row>
    <row r="1639" spans="1:15" x14ac:dyDescent="0.25">
      <c r="A1639">
        <v>2903</v>
      </c>
      <c r="B1639">
        <v>14765.540220000001</v>
      </c>
      <c r="C1639">
        <v>0</v>
      </c>
      <c r="D1639">
        <v>48035.496270000003</v>
      </c>
      <c r="E1639">
        <v>0</v>
      </c>
      <c r="F1639">
        <v>88898.00288</v>
      </c>
      <c r="G1639" s="1">
        <v>8.0999999999999997E-7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</v>
      </c>
      <c r="M1639" s="1">
        <f t="shared" si="103"/>
        <v>0</v>
      </c>
      <c r="N1639" s="1">
        <f t="shared" si="104"/>
        <v>3.3480609111328683E-3</v>
      </c>
      <c r="O1639" s="1"/>
    </row>
    <row r="1640" spans="1:15" x14ac:dyDescent="0.25">
      <c r="A1640">
        <v>2904</v>
      </c>
      <c r="B1640">
        <v>27389.770700000001</v>
      </c>
      <c r="C1640">
        <v>0</v>
      </c>
      <c r="D1640">
        <v>60901.323250000001</v>
      </c>
      <c r="E1640">
        <v>0</v>
      </c>
      <c r="F1640">
        <v>114591.03509999999</v>
      </c>
      <c r="G1640" s="1">
        <v>-4.1399999999999997E-5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0</v>
      </c>
      <c r="M1640" s="1">
        <f t="shared" si="103"/>
        <v>0</v>
      </c>
      <c r="N1640" s="1">
        <f t="shared" si="104"/>
        <v>-0.13823185083981859</v>
      </c>
      <c r="O1640" s="1"/>
    </row>
    <row r="1641" spans="1:15" x14ac:dyDescent="0.25">
      <c r="A1641">
        <v>2905</v>
      </c>
      <c r="B1641">
        <v>18325.649580000001</v>
      </c>
      <c r="C1641">
        <v>0</v>
      </c>
      <c r="D1641">
        <v>53194.646540000002</v>
      </c>
      <c r="E1641">
        <v>0</v>
      </c>
      <c r="F1641">
        <v>96883.362699999998</v>
      </c>
      <c r="G1641" s="1">
        <v>-8.9999999999999999E-8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0</v>
      </c>
      <c r="M1641" s="1">
        <f t="shared" si="103"/>
        <v>0</v>
      </c>
      <c r="N1641" s="1">
        <f t="shared" si="104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>
        <v>0</v>
      </c>
      <c r="D1642">
        <v>34857.8992</v>
      </c>
      <c r="E1642">
        <v>0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0</v>
      </c>
      <c r="M1642" s="1">
        <f t="shared" si="103"/>
        <v>0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>
        <v>0</v>
      </c>
      <c r="D1643">
        <v>22640.356530000001</v>
      </c>
      <c r="E1643">
        <v>0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0</v>
      </c>
      <c r="M1643" s="1">
        <f t="shared" si="103"/>
        <v>0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>
        <v>0</v>
      </c>
      <c r="D1644">
        <v>21934.17454</v>
      </c>
      <c r="E1644">
        <v>0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0</v>
      </c>
      <c r="M1644" s="1">
        <f t="shared" si="103"/>
        <v>0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>
        <v>0</v>
      </c>
      <c r="D1645">
        <v>22372.843509999999</v>
      </c>
      <c r="E1645">
        <v>0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0</v>
      </c>
      <c r="M1645" s="1">
        <f t="shared" si="103"/>
        <v>0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>
        <v>0</v>
      </c>
      <c r="D1646">
        <v>17478.684229999999</v>
      </c>
      <c r="E1646">
        <v>0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0</v>
      </c>
      <c r="M1646" s="1">
        <f t="shared" si="103"/>
        <v>0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 s="1">
        <v>3.4999999999999999E-6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0</v>
      </c>
      <c r="N1647" s="1">
        <f t="shared" si="104"/>
        <v>0.16982583296166598</v>
      </c>
      <c r="O1647" s="1"/>
    </row>
    <row r="1648" spans="1:15" x14ac:dyDescent="0.25">
      <c r="A1648">
        <v>2914</v>
      </c>
      <c r="B1648">
        <v>8619.4140709999992</v>
      </c>
      <c r="C1648">
        <v>0</v>
      </c>
      <c r="D1648">
        <v>41356.501479999999</v>
      </c>
      <c r="E1648">
        <v>0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0</v>
      </c>
      <c r="M1648" s="1">
        <f t="shared" si="103"/>
        <v>0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>
        <v>0</v>
      </c>
      <c r="D1649">
        <v>31554.767169999999</v>
      </c>
      <c r="E1649">
        <v>0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0</v>
      </c>
      <c r="M1649" s="1">
        <f t="shared" si="103"/>
        <v>0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0</v>
      </c>
      <c r="M1650" s="1">
        <f t="shared" si="103"/>
        <v>0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>
        <v>0</v>
      </c>
      <c r="D1651">
        <v>36142.209990000003</v>
      </c>
      <c r="E1651">
        <v>0</v>
      </c>
      <c r="F1651">
        <v>71128.006670000002</v>
      </c>
      <c r="G1651" s="1">
        <v>-2.1900000000000002E-6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0</v>
      </c>
      <c r="M1651" s="1">
        <f t="shared" si="103"/>
        <v>0</v>
      </c>
      <c r="N1651" s="1">
        <f t="shared" si="104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>
        <v>0</v>
      </c>
      <c r="D1652">
        <v>41415.596949999999</v>
      </c>
      <c r="E1652">
        <v>0</v>
      </c>
      <c r="F1652">
        <v>74419.813819999996</v>
      </c>
      <c r="G1652" s="1">
        <v>1.11E-6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0</v>
      </c>
      <c r="M1652" s="1">
        <f t="shared" si="103"/>
        <v>0</v>
      </c>
      <c r="N1652" s="1">
        <f t="shared" si="104"/>
        <v>4.849255045725121E-3</v>
      </c>
      <c r="O1652" s="1"/>
    </row>
    <row r="1653" spans="1:15" x14ac:dyDescent="0.25">
      <c r="A1653">
        <v>2919</v>
      </c>
      <c r="B1653">
        <v>23763.848389999999</v>
      </c>
      <c r="C1653">
        <v>0</v>
      </c>
      <c r="D1653">
        <v>53398.185010000001</v>
      </c>
      <c r="E1653">
        <v>0</v>
      </c>
      <c r="F1653">
        <v>101608.1041</v>
      </c>
      <c r="G1653" s="1">
        <v>-4.6100000000000002E-5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0</v>
      </c>
      <c r="M1653" s="1">
        <f t="shared" si="103"/>
        <v>0</v>
      </c>
      <c r="N1653" s="1">
        <f t="shared" si="104"/>
        <v>-0.18516644766146115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>
        <v>0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0</v>
      </c>
      <c r="M1654" s="1">
        <f t="shared" si="103"/>
        <v>0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>
        <v>0</v>
      </c>
      <c r="D1655">
        <v>9941.6516630000006</v>
      </c>
      <c r="E1655">
        <v>0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0</v>
      </c>
      <c r="M1655" s="1">
        <f t="shared" si="103"/>
        <v>0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>
        <v>0</v>
      </c>
      <c r="D1656">
        <v>18795.254000000001</v>
      </c>
      <c r="E1656">
        <v>0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0</v>
      </c>
      <c r="M1656" s="1">
        <f t="shared" si="103"/>
        <v>0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>
        <v>0</v>
      </c>
      <c r="D1659">
        <v>69055.778879999998</v>
      </c>
      <c r="E1659">
        <v>0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0</v>
      </c>
      <c r="M1659" s="1">
        <f t="shared" si="103"/>
        <v>0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>
        <v>0</v>
      </c>
      <c r="D1660">
        <v>64262.567739999999</v>
      </c>
      <c r="E1660">
        <v>0</v>
      </c>
      <c r="F1660">
        <v>184324.769</v>
      </c>
      <c r="G1660" s="1">
        <v>4.3000000000000002E-5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</v>
      </c>
      <c r="M1660" s="1">
        <f t="shared" si="103"/>
        <v>0</v>
      </c>
      <c r="N1660" s="1">
        <f t="shared" si="104"/>
        <v>0.18044258016659312</v>
      </c>
      <c r="O1660" s="1"/>
    </row>
    <row r="1661" spans="1:15" x14ac:dyDescent="0.25">
      <c r="A1661">
        <v>2929</v>
      </c>
      <c r="B1661">
        <v>2075.1454250000002</v>
      </c>
      <c r="C1661">
        <v>0</v>
      </c>
      <c r="D1661">
        <v>26752.1486</v>
      </c>
      <c r="E1661">
        <v>0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0</v>
      </c>
      <c r="M1661" s="1">
        <f t="shared" si="103"/>
        <v>0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>
        <v>0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0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0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>
        <v>0</v>
      </c>
      <c r="D1664">
        <v>49726.632810000003</v>
      </c>
      <c r="E1664">
        <v>0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0</v>
      </c>
      <c r="M1664" s="1">
        <f t="shared" si="103"/>
        <v>0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>
        <v>0</v>
      </c>
      <c r="D1665">
        <v>40628.602529999996</v>
      </c>
      <c r="E1665">
        <v>0</v>
      </c>
      <c r="F1665">
        <v>80003.867199999993</v>
      </c>
      <c r="G1665" s="1">
        <v>4.42E-6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</v>
      </c>
      <c r="M1665" s="1">
        <f t="shared" si="103"/>
        <v>0</v>
      </c>
      <c r="N1665" s="1">
        <f t="shared" si="104"/>
        <v>2.2331409859479321E-2</v>
      </c>
      <c r="O1665" s="1"/>
    </row>
    <row r="1666" spans="1:15" x14ac:dyDescent="0.25">
      <c r="A1666">
        <v>2935</v>
      </c>
      <c r="B1666">
        <v>19418.41518</v>
      </c>
      <c r="C1666">
        <v>0</v>
      </c>
      <c r="D1666">
        <v>40601.895550000001</v>
      </c>
      <c r="E1666">
        <v>0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0</v>
      </c>
      <c r="M1666" s="1">
        <f t="shared" si="103"/>
        <v>0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>
        <v>0</v>
      </c>
      <c r="D1667">
        <v>77912.586259999996</v>
      </c>
      <c r="E1667">
        <v>0</v>
      </c>
      <c r="F1667">
        <v>147447.08050000001</v>
      </c>
      <c r="G1667" s="1">
        <v>1.52E-5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0</v>
      </c>
      <c r="M1667" s="1">
        <f t="shared" ref="M1667:M1730" si="107">$U$3*$K1667*E1667</f>
        <v>0</v>
      </c>
      <c r="N1667" s="1">
        <f t="shared" ref="N1667:N1730" si="108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>
        <v>0</v>
      </c>
      <c r="D1668">
        <v>63783.063970000003</v>
      </c>
      <c r="E1668">
        <v>0</v>
      </c>
      <c r="F1668">
        <v>108691.14260000001</v>
      </c>
      <c r="G1668" s="1">
        <v>-2.8E-5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0</v>
      </c>
      <c r="M1668" s="1">
        <f t="shared" si="107"/>
        <v>0</v>
      </c>
      <c r="N1668" s="1">
        <f t="shared" si="108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>
        <v>0</v>
      </c>
      <c r="D1669">
        <v>47836.159930000002</v>
      </c>
      <c r="E1669">
        <v>0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0</v>
      </c>
      <c r="M1669" s="1">
        <f t="shared" si="107"/>
        <v>0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>
        <v>0</v>
      </c>
      <c r="D1670">
        <v>52051.670579999998</v>
      </c>
      <c r="E1670">
        <v>0</v>
      </c>
      <c r="F1670">
        <v>93625.517860000007</v>
      </c>
      <c r="G1670" s="1">
        <v>3.2200000000000001E-6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0</v>
      </c>
      <c r="M1670" s="1">
        <f t="shared" si="107"/>
        <v>0</v>
      </c>
      <c r="N1670" s="1">
        <f t="shared" si="108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>
        <v>0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0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>
        <v>0</v>
      </c>
      <c r="D1672">
        <v>38957.369989999999</v>
      </c>
      <c r="E1672">
        <v>0</v>
      </c>
      <c r="F1672">
        <v>100571.3746</v>
      </c>
      <c r="G1672" s="1">
        <v>3.3399999999999999E-5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0</v>
      </c>
      <c r="M1672" s="1">
        <f t="shared" si="107"/>
        <v>0</v>
      </c>
      <c r="N1672" s="1">
        <f t="shared" si="108"/>
        <v>0.1089264885672027</v>
      </c>
      <c r="O1672" s="1"/>
    </row>
    <row r="1673" spans="1:15" x14ac:dyDescent="0.25">
      <c r="A1673">
        <v>2944</v>
      </c>
      <c r="B1673">
        <v>9977.048487</v>
      </c>
      <c r="C1673">
        <v>0</v>
      </c>
      <c r="D1673">
        <v>29492.004850000001</v>
      </c>
      <c r="E1673">
        <v>0</v>
      </c>
      <c r="F1673">
        <v>80806.422460000002</v>
      </c>
      <c r="G1673" s="1">
        <v>-7.8999999999999995E-7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0</v>
      </c>
      <c r="M1673" s="1">
        <f t="shared" si="107"/>
        <v>0</v>
      </c>
      <c r="N1673" s="1">
        <f t="shared" si="108"/>
        <v>-2.3243449166716742E-3</v>
      </c>
      <c r="O1673" s="1"/>
    </row>
    <row r="1674" spans="1:15" x14ac:dyDescent="0.25">
      <c r="A1674">
        <v>2945</v>
      </c>
      <c r="B1674">
        <v>2983.3131509999998</v>
      </c>
      <c r="C1674">
        <v>0</v>
      </c>
      <c r="D1674">
        <v>14574.31054</v>
      </c>
      <c r="E1674">
        <v>0</v>
      </c>
      <c r="F1674">
        <v>48171.780339999998</v>
      </c>
      <c r="G1674" s="1">
        <v>6.0999999999999998E-7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0</v>
      </c>
      <c r="M1674" s="1">
        <f t="shared" si="107"/>
        <v>0</v>
      </c>
      <c r="N1674" s="1">
        <f t="shared" si="108"/>
        <v>3.8669554124903709E-3</v>
      </c>
      <c r="O1674" s="1"/>
    </row>
    <row r="1675" spans="1:15" x14ac:dyDescent="0.25">
      <c r="A1675">
        <v>2946</v>
      </c>
      <c r="B1675">
        <v>5316.4438060000002</v>
      </c>
      <c r="C1675">
        <v>0</v>
      </c>
      <c r="D1675">
        <v>19353.101180000001</v>
      </c>
      <c r="E1675">
        <v>0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0</v>
      </c>
      <c r="M1675" s="1">
        <f t="shared" si="107"/>
        <v>0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 s="1">
        <v>-1.1000000000000001E-6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0</v>
      </c>
      <c r="M1676" s="1">
        <f t="shared" si="107"/>
        <v>0</v>
      </c>
      <c r="N1676" s="1">
        <f t="shared" si="108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>
        <v>0</v>
      </c>
      <c r="F1677">
        <v>67111.515530000004</v>
      </c>
      <c r="G1677" s="1">
        <v>-2.2900000000000001E-6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0</v>
      </c>
      <c r="N1677" s="1">
        <f t="shared" si="108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>
        <v>0</v>
      </c>
      <c r="F1678">
        <v>68365.691829999996</v>
      </c>
      <c r="G1678" s="1">
        <v>4.7999999999999998E-6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0</v>
      </c>
      <c r="M1678" s="1">
        <f t="shared" si="107"/>
        <v>0</v>
      </c>
      <c r="N1678" s="1">
        <f t="shared" si="108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 s="1">
        <v>-2.9999999999999999E-7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-4.0892413866498001E-2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 s="1">
        <v>-9.9999999999999995E-8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-1.0930987752282E-3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 s="1">
        <v>1.9999999999999999E-7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5.3973854166611997E-3</v>
      </c>
      <c r="O1703" s="1"/>
    </row>
    <row r="1704" spans="1:15" x14ac:dyDescent="0.25">
      <c r="A1704">
        <v>3101</v>
      </c>
      <c r="B1704">
        <v>8460.5485430000008</v>
      </c>
      <c r="C1704">
        <v>0</v>
      </c>
      <c r="D1704">
        <v>12480.358899999999</v>
      </c>
      <c r="E1704">
        <v>0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0</v>
      </c>
      <c r="M1704" s="1">
        <f t="shared" si="107"/>
        <v>0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>
        <v>0</v>
      </c>
      <c r="D1705">
        <v>9862.8547209999997</v>
      </c>
      <c r="E1705">
        <v>0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0</v>
      </c>
      <c r="M1705" s="1">
        <f t="shared" si="107"/>
        <v>0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>
        <v>0</v>
      </c>
      <c r="D1706">
        <v>9416.9626509999998</v>
      </c>
      <c r="E1706">
        <v>0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0</v>
      </c>
      <c r="M1706" s="1">
        <f t="shared" si="107"/>
        <v>0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>
        <v>0</v>
      </c>
      <c r="F1707">
        <v>8755.907792</v>
      </c>
      <c r="G1707" s="1">
        <v>-3.9999999999999998E-7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0</v>
      </c>
      <c r="N1707" s="1">
        <f t="shared" si="108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>
        <v>0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0</v>
      </c>
      <c r="M1708" s="1">
        <f t="shared" si="107"/>
        <v>0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 s="1">
        <v>3.9999999999999998E-7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0</v>
      </c>
      <c r="N1709" s="1">
        <f t="shared" si="108"/>
        <v>1.8187128696049199E-3</v>
      </c>
      <c r="O1709" s="1"/>
    </row>
    <row r="1710" spans="1:15" x14ac:dyDescent="0.25">
      <c r="A1710">
        <v>3108</v>
      </c>
      <c r="B1710">
        <v>1060.8278379999999</v>
      </c>
      <c r="C1710">
        <v>0</v>
      </c>
      <c r="D1710">
        <v>5966.0228100000004</v>
      </c>
      <c r="E1710">
        <v>0</v>
      </c>
      <c r="F1710">
        <v>23863.419129999998</v>
      </c>
      <c r="G1710" s="1">
        <v>3.3999999999999997E-7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0</v>
      </c>
      <c r="M1710" s="1">
        <f t="shared" si="107"/>
        <v>0</v>
      </c>
      <c r="N1710" s="1">
        <f t="shared" si="108"/>
        <v>1.081292883144528E-3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>
        <v>0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0</v>
      </c>
      <c r="M1711" s="1">
        <f t="shared" si="107"/>
        <v>0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>
        <v>0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0</v>
      </c>
      <c r="M1712" s="1">
        <f t="shared" si="107"/>
        <v>0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>
        <v>0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0</v>
      </c>
      <c r="M1713" s="1">
        <f t="shared" si="107"/>
        <v>0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>
        <v>0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0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>
        <v>0</v>
      </c>
      <c r="D1716">
        <v>17420.737730000001</v>
      </c>
      <c r="E1716">
        <v>0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0</v>
      </c>
      <c r="M1716" s="1">
        <f t="shared" si="107"/>
        <v>0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>
        <v>0</v>
      </c>
      <c r="D1717">
        <v>11321.759679999999</v>
      </c>
      <c r="E1717">
        <v>0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0</v>
      </c>
      <c r="M1717" s="1">
        <f t="shared" si="107"/>
        <v>0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>
        <v>0</v>
      </c>
      <c r="D1718">
        <v>14320.856309999999</v>
      </c>
      <c r="E1718">
        <v>0</v>
      </c>
      <c r="F1718">
        <v>36792.577080000003</v>
      </c>
      <c r="G1718" s="1">
        <v>1.9000000000000001E-7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0</v>
      </c>
      <c r="M1718" s="1">
        <f t="shared" si="107"/>
        <v>0</v>
      </c>
      <c r="N1718" s="1">
        <f t="shared" si="108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>
        <v>0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0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>
        <v>0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0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>
        <v>0</v>
      </c>
      <c r="D1721">
        <v>31950.286100000001</v>
      </c>
      <c r="E1721">
        <v>0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0</v>
      </c>
      <c r="M1721" s="1">
        <f t="shared" si="107"/>
        <v>0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>
        <v>0</v>
      </c>
      <c r="D1722">
        <v>8653.8970590000008</v>
      </c>
      <c r="E1722">
        <v>0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0</v>
      </c>
      <c r="M1722" s="1">
        <f t="shared" si="107"/>
        <v>0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>
        <v>0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0</v>
      </c>
      <c r="M1723" s="1">
        <f t="shared" si="107"/>
        <v>0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>
        <v>0</v>
      </c>
      <c r="F1724">
        <v>40885.728909999998</v>
      </c>
      <c r="G1724" s="1">
        <v>4.3000000000000001E-7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0</v>
      </c>
      <c r="M1724" s="1">
        <f t="shared" si="107"/>
        <v>0</v>
      </c>
      <c r="N1724" s="1">
        <f t="shared" si="108"/>
        <v>2.62892237018001E-3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>
        <v>0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0</v>
      </c>
      <c r="M1725" s="1">
        <f t="shared" si="107"/>
        <v>0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>
        <v>0</v>
      </c>
      <c r="F1726">
        <v>15286.311240000001</v>
      </c>
      <c r="G1726" s="1">
        <v>3.3999999999999997E-7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0</v>
      </c>
      <c r="N1726" s="1">
        <f t="shared" si="108"/>
        <v>2.4142853055192002E-3</v>
      </c>
      <c r="O1726" s="1"/>
    </row>
    <row r="1727" spans="1:15" x14ac:dyDescent="0.25">
      <c r="A1727">
        <v>3128</v>
      </c>
      <c r="B1727">
        <v>635.10474420000003</v>
      </c>
      <c r="C1727">
        <v>0</v>
      </c>
      <c r="D1727">
        <v>5113.980321</v>
      </c>
      <c r="E1727">
        <v>0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0</v>
      </c>
      <c r="M1727" s="1">
        <f t="shared" si="107"/>
        <v>0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>
        <v>0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0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>
        <v>0</v>
      </c>
      <c r="D1729">
        <v>3188.8025619999999</v>
      </c>
      <c r="E1729">
        <v>0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0</v>
      </c>
      <c r="M1729" s="1">
        <f t="shared" si="107"/>
        <v>0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>
        <v>0</v>
      </c>
      <c r="F1730">
        <v>5502.8343889999996</v>
      </c>
      <c r="G1730" s="1">
        <v>-1.6E-7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0</v>
      </c>
      <c r="N1730" s="1">
        <f t="shared" si="108"/>
        <v>-4.8569920311456009E-3</v>
      </c>
      <c r="O1730" s="1"/>
    </row>
    <row r="1731" spans="1:15" x14ac:dyDescent="0.25">
      <c r="A1731">
        <v>3200</v>
      </c>
      <c r="B1731">
        <v>10935.17598</v>
      </c>
      <c r="C1731">
        <v>0</v>
      </c>
      <c r="D1731">
        <v>18209.35529</v>
      </c>
      <c r="E1731">
        <v>0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</v>
      </c>
      <c r="M1731" s="1">
        <f t="shared" ref="M1731:M1794" si="111">$U$3*$K1731*E1731</f>
        <v>0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>
        <v>0</v>
      </c>
      <c r="D1732">
        <v>16892.785810000001</v>
      </c>
      <c r="E1732">
        <v>0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0</v>
      </c>
      <c r="M1732" s="1">
        <f t="shared" si="111"/>
        <v>0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>
        <v>0</v>
      </c>
      <c r="D1733">
        <v>25093.718690000002</v>
      </c>
      <c r="E1733">
        <v>0</v>
      </c>
      <c r="F1733">
        <v>51288.332119999999</v>
      </c>
      <c r="G1733" s="1">
        <v>3.4400000000000001E-6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0</v>
      </c>
      <c r="M1733" s="1">
        <f t="shared" si="111"/>
        <v>0</v>
      </c>
      <c r="N1733" s="1">
        <f t="shared" si="112"/>
        <v>2.0158471633500478E-2</v>
      </c>
      <c r="O1733" s="1"/>
    </row>
    <row r="1734" spans="1:15" x14ac:dyDescent="0.25">
      <c r="A1734">
        <v>3203</v>
      </c>
      <c r="B1734">
        <v>1073.728288</v>
      </c>
      <c r="C1734">
        <v>0</v>
      </c>
      <c r="D1734">
        <v>17059.419150000002</v>
      </c>
      <c r="E1734">
        <v>0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0</v>
      </c>
      <c r="M1734" s="1">
        <f t="shared" si="111"/>
        <v>0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>
        <v>0</v>
      </c>
      <c r="D1735">
        <v>17376.96833</v>
      </c>
      <c r="E1735">
        <v>0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0</v>
      </c>
      <c r="M1735" s="1">
        <f t="shared" si="111"/>
        <v>0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>
        <v>0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0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>
        <v>0</v>
      </c>
      <c r="D1737">
        <v>8957.7045600000001</v>
      </c>
      <c r="E1737">
        <v>0</v>
      </c>
      <c r="F1737">
        <v>18682.275689999999</v>
      </c>
      <c r="G1737" s="1">
        <v>3.0299999999999998E-6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0</v>
      </c>
      <c r="M1737" s="1">
        <f t="shared" si="111"/>
        <v>0</v>
      </c>
      <c r="N1737" s="1">
        <f t="shared" si="112"/>
        <v>1.7167834980597332E-2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>
        <v>0</v>
      </c>
      <c r="F1738">
        <v>8361.3827369999999</v>
      </c>
      <c r="G1738" s="1">
        <v>-2.9999999999999997E-8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0</v>
      </c>
      <c r="M1738" s="1">
        <f t="shared" si="111"/>
        <v>0</v>
      </c>
      <c r="N1738" s="1">
        <f t="shared" si="112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>
        <v>0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0</v>
      </c>
      <c r="M1740" s="1">
        <f t="shared" si="111"/>
        <v>0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>
        <v>0</v>
      </c>
      <c r="D1741">
        <v>36605.103620000002</v>
      </c>
      <c r="E1741">
        <v>0</v>
      </c>
      <c r="F1741">
        <v>66988.57849</v>
      </c>
      <c r="G1741" s="1">
        <v>2.48E-6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0</v>
      </c>
      <c r="M1741" s="1">
        <f t="shared" si="111"/>
        <v>0</v>
      </c>
      <c r="N1741" s="1">
        <f t="shared" si="112"/>
        <v>6.6535590218146081E-3</v>
      </c>
      <c r="O1741" s="1"/>
    </row>
    <row r="1742" spans="1:15" x14ac:dyDescent="0.25">
      <c r="A1742">
        <v>3211</v>
      </c>
      <c r="B1742">
        <v>4362.4895489999999</v>
      </c>
      <c r="C1742">
        <v>0</v>
      </c>
      <c r="D1742">
        <v>29424.995849999999</v>
      </c>
      <c r="E1742">
        <v>0</v>
      </c>
      <c r="F1742">
        <v>56204.768819999998</v>
      </c>
      <c r="G1742" s="1">
        <v>3.1200000000000002E-6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0</v>
      </c>
      <c r="M1742" s="1">
        <f t="shared" si="111"/>
        <v>0</v>
      </c>
      <c r="N1742" s="1">
        <f t="shared" si="112"/>
        <v>2.6296866248094006E-2</v>
      </c>
      <c r="O1742" s="1"/>
    </row>
    <row r="1743" spans="1:15" x14ac:dyDescent="0.25">
      <c r="A1743">
        <v>3212</v>
      </c>
      <c r="B1743">
        <v>9862.0537179999992</v>
      </c>
      <c r="C1743">
        <v>0</v>
      </c>
      <c r="D1743">
        <v>37423.793720000001</v>
      </c>
      <c r="E1743">
        <v>0</v>
      </c>
      <c r="F1743">
        <v>64956.561450000001</v>
      </c>
      <c r="G1743" s="1">
        <v>-4.4299999999999999E-6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0</v>
      </c>
      <c r="M1743" s="1">
        <f t="shared" si="111"/>
        <v>0</v>
      </c>
      <c r="N1743" s="1">
        <f t="shared" si="112"/>
        <v>-1.736643841605429E-2</v>
      </c>
      <c r="O1743" s="1"/>
    </row>
    <row r="1744" spans="1:15" x14ac:dyDescent="0.25">
      <c r="A1744">
        <v>3213</v>
      </c>
      <c r="B1744">
        <v>5033.0379190000003</v>
      </c>
      <c r="C1744">
        <v>0</v>
      </c>
      <c r="D1744">
        <v>22954.585429999999</v>
      </c>
      <c r="E1744">
        <v>0</v>
      </c>
      <c r="F1744">
        <v>51588.341569999997</v>
      </c>
      <c r="G1744" s="1">
        <v>2.5399999999999998E-6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0</v>
      </c>
      <c r="M1744" s="1">
        <f t="shared" si="111"/>
        <v>0</v>
      </c>
      <c r="N1744" s="1">
        <f t="shared" si="112"/>
        <v>2.1375597058026961E-2</v>
      </c>
      <c r="O1744" s="1"/>
    </row>
    <row r="1745" spans="1:15" x14ac:dyDescent="0.25">
      <c r="A1745">
        <v>3214</v>
      </c>
      <c r="B1745">
        <v>10768.625899999999</v>
      </c>
      <c r="C1745">
        <v>0</v>
      </c>
      <c r="D1745">
        <v>26501.144410000001</v>
      </c>
      <c r="E1745">
        <v>0</v>
      </c>
      <c r="F1745">
        <v>51591.722549999999</v>
      </c>
      <c r="G1745" s="1">
        <v>2.3E-6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0</v>
      </c>
      <c r="M1745" s="1">
        <f t="shared" si="111"/>
        <v>0</v>
      </c>
      <c r="N1745" s="1">
        <f t="shared" si="112"/>
        <v>6.9699926271821096E-3</v>
      </c>
      <c r="O1745" s="1"/>
    </row>
    <row r="1746" spans="1:15" x14ac:dyDescent="0.25">
      <c r="A1746">
        <v>3215</v>
      </c>
      <c r="B1746">
        <v>19314.033879999999</v>
      </c>
      <c r="C1746">
        <v>0</v>
      </c>
      <c r="D1746">
        <v>44311.166169999997</v>
      </c>
      <c r="E1746">
        <v>0</v>
      </c>
      <c r="F1746">
        <v>82161.809399999998</v>
      </c>
      <c r="G1746" s="1">
        <v>-2.5100000000000001E-6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0</v>
      </c>
      <c r="M1746" s="1">
        <f t="shared" si="111"/>
        <v>0</v>
      </c>
      <c r="N1746" s="1">
        <f t="shared" si="112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>
        <v>0</v>
      </c>
      <c r="D1747">
        <v>24489.432239999998</v>
      </c>
      <c r="E1747">
        <v>0</v>
      </c>
      <c r="F1747">
        <v>51239.690269999999</v>
      </c>
      <c r="G1747" s="1">
        <v>6.3900000000000004E-7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0</v>
      </c>
      <c r="M1747" s="1">
        <f t="shared" si="111"/>
        <v>0</v>
      </c>
      <c r="N1747" s="1">
        <f t="shared" si="112"/>
        <v>2.1161790847741414E-3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>
        <v>0</v>
      </c>
      <c r="F1748">
        <v>41730.401299999998</v>
      </c>
      <c r="G1748" s="1">
        <v>-4.8999999999999997E-6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0</v>
      </c>
      <c r="M1748" s="1">
        <f t="shared" si="111"/>
        <v>0</v>
      </c>
      <c r="N1748" s="1">
        <f t="shared" si="112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>
        <v>0</v>
      </c>
      <c r="D1749">
        <v>19420.81595</v>
      </c>
      <c r="E1749">
        <v>0</v>
      </c>
      <c r="F1749">
        <v>41856.188609999997</v>
      </c>
      <c r="G1749" s="1">
        <v>-2.6299999999999998E-6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0</v>
      </c>
      <c r="M1749" s="1">
        <f t="shared" si="111"/>
        <v>0</v>
      </c>
      <c r="N1749" s="1">
        <f t="shared" si="112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>
        <v>0</v>
      </c>
      <c r="F1750">
        <v>51508.012390000004</v>
      </c>
      <c r="G1750" s="1">
        <v>2.34E-6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0</v>
      </c>
      <c r="M1750" s="1">
        <f t="shared" si="111"/>
        <v>0</v>
      </c>
      <c r="N1750" s="1">
        <f t="shared" si="112"/>
        <v>1.4356207251205561E-2</v>
      </c>
      <c r="O1750" s="1"/>
    </row>
    <row r="1751" spans="1:15" x14ac:dyDescent="0.25">
      <c r="A1751">
        <v>3220</v>
      </c>
      <c r="B1751">
        <v>18806.266879999999</v>
      </c>
      <c r="C1751">
        <v>0</v>
      </c>
      <c r="D1751">
        <v>52405.17899</v>
      </c>
      <c r="E1751">
        <v>0</v>
      </c>
      <c r="F1751">
        <v>83394.022140000001</v>
      </c>
      <c r="G1751" s="1">
        <v>-3.54E-6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0</v>
      </c>
      <c r="M1751" s="1">
        <f t="shared" si="111"/>
        <v>0</v>
      </c>
      <c r="N1751" s="1">
        <f t="shared" si="112"/>
        <v>-5.5711866806619848E-3</v>
      </c>
      <c r="O1751" s="1"/>
    </row>
    <row r="1752" spans="1:15" x14ac:dyDescent="0.25">
      <c r="A1752">
        <v>3221</v>
      </c>
      <c r="B1752">
        <v>16104.98782</v>
      </c>
      <c r="C1752">
        <v>0</v>
      </c>
      <c r="D1752">
        <v>39681.426829999997</v>
      </c>
      <c r="E1752">
        <v>0</v>
      </c>
      <c r="F1752">
        <v>72790.420140000002</v>
      </c>
      <c r="G1752" s="1">
        <v>-2.0700000000000001E-6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0</v>
      </c>
      <c r="M1752" s="1">
        <f t="shared" si="111"/>
        <v>0</v>
      </c>
      <c r="N1752" s="1">
        <f t="shared" si="112"/>
        <v>-7.8140152899100167E-3</v>
      </c>
      <c r="O1752" s="1"/>
    </row>
    <row r="1753" spans="1:15" x14ac:dyDescent="0.25">
      <c r="A1753">
        <v>3222</v>
      </c>
      <c r="B1753">
        <v>13339.6121</v>
      </c>
      <c r="C1753">
        <v>0</v>
      </c>
      <c r="D1753">
        <v>37675.033259999997</v>
      </c>
      <c r="E1753">
        <v>0</v>
      </c>
      <c r="F1753">
        <v>71941.736069999999</v>
      </c>
      <c r="G1753" s="1">
        <v>-7.9100000000000003E-7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0</v>
      </c>
      <c r="M1753" s="1">
        <f t="shared" si="111"/>
        <v>0</v>
      </c>
      <c r="N1753" s="1">
        <f t="shared" si="112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>
        <v>0</v>
      </c>
      <c r="D1755">
        <v>4495.3543529999997</v>
      </c>
      <c r="E1755">
        <v>0</v>
      </c>
      <c r="F1755">
        <v>33562.514219999997</v>
      </c>
      <c r="G1755" s="1">
        <v>5.6899999999999997E-7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0</v>
      </c>
      <c r="M1755" s="1">
        <f t="shared" si="111"/>
        <v>0</v>
      </c>
      <c r="N1755" s="1">
        <f t="shared" si="112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0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0</v>
      </c>
      <c r="M1757" s="1">
        <f t="shared" si="111"/>
        <v>0</v>
      </c>
      <c r="N1757" s="1">
        <f t="shared" si="112"/>
        <v>2.7060446114423761E-2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>
        <v>0</v>
      </c>
      <c r="F1758">
        <v>41812.495430000003</v>
      </c>
      <c r="G1758" s="1">
        <v>2.9399999999999998E-6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0</v>
      </c>
      <c r="M1758" s="1">
        <f t="shared" si="111"/>
        <v>0</v>
      </c>
      <c r="N1758" s="1">
        <f t="shared" si="112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>
        <v>0</v>
      </c>
      <c r="F1759">
        <v>4468.2026059999998</v>
      </c>
      <c r="G1759" s="1">
        <v>2.9999999999999999E-7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0</v>
      </c>
      <c r="N1759" s="1">
        <f t="shared" si="112"/>
        <v>4.0131982519937999E-3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>
        <v>0</v>
      </c>
      <c r="F1760">
        <v>44491.007680000002</v>
      </c>
      <c r="G1760" s="1">
        <v>2.0900000000000001E-7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0</v>
      </c>
      <c r="M1760" s="1">
        <f t="shared" si="111"/>
        <v>0</v>
      </c>
      <c r="N1760" s="1">
        <f t="shared" si="112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 s="1">
        <v>5.0000000000000004E-6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0</v>
      </c>
      <c r="N1761" s="1">
        <f t="shared" si="112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>
        <v>0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0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>
        <v>0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0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>
        <v>0</v>
      </c>
      <c r="D1764">
        <v>63824.687680000003</v>
      </c>
      <c r="E1764">
        <v>0</v>
      </c>
      <c r="F1764">
        <v>225310.08309999999</v>
      </c>
      <c r="G1764" s="1">
        <v>1.2500000000000001E-5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0</v>
      </c>
      <c r="M1764" s="1">
        <f t="shared" si="111"/>
        <v>0</v>
      </c>
      <c r="N1764" s="1">
        <f t="shared" si="112"/>
        <v>7.3510683746437516E-2</v>
      </c>
      <c r="O1764" s="1"/>
    </row>
    <row r="1765" spans="1:15" x14ac:dyDescent="0.25">
      <c r="A1765">
        <v>3240</v>
      </c>
      <c r="B1765">
        <v>90.230443230000006</v>
      </c>
      <c r="C1765">
        <v>0</v>
      </c>
      <c r="D1765">
        <v>978.02045510000005</v>
      </c>
      <c r="E1765">
        <v>0</v>
      </c>
      <c r="F1765">
        <v>26323.37528</v>
      </c>
      <c r="G1765" s="1">
        <v>-1.5E-6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0</v>
      </c>
      <c r="M1765" s="1">
        <f t="shared" si="111"/>
        <v>0</v>
      </c>
      <c r="N1765" s="1">
        <f t="shared" si="112"/>
        <v>-3.91884749452395E-3</v>
      </c>
      <c r="O1765" s="1"/>
    </row>
    <row r="1766" spans="1:15" x14ac:dyDescent="0.25">
      <c r="A1766">
        <v>3241</v>
      </c>
      <c r="B1766">
        <v>129.54364770000001</v>
      </c>
      <c r="C1766">
        <v>0</v>
      </c>
      <c r="D1766">
        <v>17847.816159999998</v>
      </c>
      <c r="E1766">
        <v>0</v>
      </c>
      <c r="F1766">
        <v>60538.504439999997</v>
      </c>
      <c r="G1766" s="1">
        <v>-4.5900000000000001E-6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0</v>
      </c>
      <c r="M1766" s="1">
        <f t="shared" si="111"/>
        <v>0</v>
      </c>
      <c r="N1766" s="1">
        <f t="shared" si="112"/>
        <v>-2.3850598908209758E-2</v>
      </c>
      <c r="O1766" s="1"/>
    </row>
    <row r="1767" spans="1:15" x14ac:dyDescent="0.25">
      <c r="A1767">
        <v>3242</v>
      </c>
      <c r="B1767">
        <v>104.9280256</v>
      </c>
      <c r="C1767">
        <v>0</v>
      </c>
      <c r="D1767">
        <v>12944.147489999999</v>
      </c>
      <c r="E1767">
        <v>0</v>
      </c>
      <c r="F1767">
        <v>48492.297850000003</v>
      </c>
      <c r="G1767" s="1">
        <v>2.2299999999999998E-6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0</v>
      </c>
      <c r="M1767" s="1">
        <f t="shared" si="111"/>
        <v>0</v>
      </c>
      <c r="N1767" s="1">
        <f t="shared" si="112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0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>
        <v>0</v>
      </c>
      <c r="D1769">
        <v>12798.382100000001</v>
      </c>
      <c r="E1769">
        <v>0</v>
      </c>
      <c r="F1769">
        <v>27613.23645</v>
      </c>
      <c r="G1769" s="1">
        <v>1.6300000000000001E-6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</v>
      </c>
      <c r="M1769" s="1">
        <f t="shared" si="111"/>
        <v>0</v>
      </c>
      <c r="N1769" s="1">
        <f t="shared" si="112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>
        <v>0</v>
      </c>
      <c r="D1771">
        <v>13313.295899999999</v>
      </c>
      <c r="E1771">
        <v>0</v>
      </c>
      <c r="F1771">
        <v>49200.93361</v>
      </c>
      <c r="G1771" s="1">
        <v>3.6399999999999998E-7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</v>
      </c>
      <c r="M1771" s="1">
        <f t="shared" si="111"/>
        <v>0</v>
      </c>
      <c r="N1771" s="1">
        <f t="shared" si="112"/>
        <v>2.4739975925978041E-3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>
        <v>0</v>
      </c>
      <c r="F1772">
        <v>123912.1597</v>
      </c>
      <c r="G1772" s="1">
        <v>-1.59E-6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</v>
      </c>
      <c r="M1772" s="1">
        <f t="shared" si="111"/>
        <v>0</v>
      </c>
      <c r="N1772" s="1">
        <f t="shared" si="112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>
        <v>0</v>
      </c>
      <c r="D1773">
        <v>31044.070729999999</v>
      </c>
      <c r="E1773">
        <v>0</v>
      </c>
      <c r="F1773">
        <v>80968.752909999996</v>
      </c>
      <c r="G1773" s="1">
        <v>-2.6299999999999998E-6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0</v>
      </c>
      <c r="M1773" s="1">
        <f t="shared" si="111"/>
        <v>0</v>
      </c>
      <c r="N1773" s="1">
        <f t="shared" si="112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>
        <v>0</v>
      </c>
      <c r="D1774">
        <v>13213.24677</v>
      </c>
      <c r="E1774">
        <v>0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0</v>
      </c>
      <c r="M1774" s="1">
        <f t="shared" si="111"/>
        <v>0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>
        <v>0</v>
      </c>
      <c r="F1776">
        <v>61227.793109999999</v>
      </c>
      <c r="G1776" s="1">
        <v>2.9699999999999999E-6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0</v>
      </c>
      <c r="N1776" s="1">
        <f t="shared" si="112"/>
        <v>1.9831584088413901E-2</v>
      </c>
      <c r="O1776" s="1"/>
    </row>
    <row r="1777" spans="1:15" x14ac:dyDescent="0.25">
      <c r="A1777">
        <v>3252</v>
      </c>
      <c r="B1777">
        <v>7502.545889</v>
      </c>
      <c r="C1777">
        <v>0</v>
      </c>
      <c r="D1777">
        <v>15112.83044</v>
      </c>
      <c r="E1777">
        <v>0</v>
      </c>
      <c r="F1777">
        <v>40096.033309999999</v>
      </c>
      <c r="G1777" s="1">
        <v>-3.5700000000000001E-6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0</v>
      </c>
      <c r="M1777" s="1">
        <f t="shared" si="111"/>
        <v>0</v>
      </c>
      <c r="N1777" s="1">
        <f t="shared" si="112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>
        <v>0</v>
      </c>
      <c r="F1778">
        <v>43178.567730000002</v>
      </c>
      <c r="G1778" s="1">
        <v>-1.3200000000000001E-6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0</v>
      </c>
      <c r="N1778" s="1">
        <f t="shared" si="112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>
        <v>0</v>
      </c>
      <c r="F1779">
        <v>56168.757769999997</v>
      </c>
      <c r="G1779" s="1">
        <v>-3.6600000000000001E-6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0</v>
      </c>
      <c r="N1779" s="1">
        <f t="shared" si="112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>
        <v>0</v>
      </c>
      <c r="D1781">
        <v>33927.245459999998</v>
      </c>
      <c r="E1781">
        <v>0</v>
      </c>
      <c r="F1781">
        <v>59064.21529</v>
      </c>
      <c r="G1781" s="1">
        <v>3.6600000000000001E-6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0</v>
      </c>
      <c r="M1781" s="1">
        <f t="shared" si="111"/>
        <v>0</v>
      </c>
      <c r="N1781" s="1">
        <f t="shared" si="112"/>
        <v>1.7007761392925241E-2</v>
      </c>
      <c r="O1781" s="1"/>
    </row>
    <row r="1782" spans="1:15" x14ac:dyDescent="0.25">
      <c r="A1782">
        <v>3272</v>
      </c>
      <c r="B1782">
        <v>2935.9743480000002</v>
      </c>
      <c r="C1782">
        <v>0</v>
      </c>
      <c r="D1782">
        <v>20356.840219999998</v>
      </c>
      <c r="E1782">
        <v>0</v>
      </c>
      <c r="F1782">
        <v>48385.598980000002</v>
      </c>
      <c r="G1782" s="1">
        <v>2.9399999999999998E-6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0</v>
      </c>
      <c r="M1782" s="1">
        <f t="shared" si="111"/>
        <v>0</v>
      </c>
      <c r="N1782" s="1">
        <f t="shared" si="112"/>
        <v>7.9628019517811507E-3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>
        <v>0</v>
      </c>
      <c r="F1783">
        <v>22520.449110000001</v>
      </c>
      <c r="G1783" s="1">
        <v>-6.0999999999999998E-7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0</v>
      </c>
      <c r="M1783" s="1">
        <f t="shared" si="111"/>
        <v>0</v>
      </c>
      <c r="N1783" s="1">
        <f t="shared" si="112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0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>
        <v>0</v>
      </c>
      <c r="F1786">
        <v>48893.733970000001</v>
      </c>
      <c r="G1786" s="1">
        <v>3.6200000000000001E-6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0</v>
      </c>
      <c r="N1786" s="1">
        <f t="shared" si="112"/>
        <v>2.2526594954610481E-2</v>
      </c>
      <c r="O1786" s="1"/>
    </row>
    <row r="1787" spans="1:15" x14ac:dyDescent="0.25">
      <c r="A1787">
        <v>3279</v>
      </c>
      <c r="B1787">
        <v>11306.558440000001</v>
      </c>
      <c r="C1787">
        <v>0</v>
      </c>
      <c r="D1787">
        <v>53801.384530000003</v>
      </c>
      <c r="E1787">
        <v>0</v>
      </c>
      <c r="F1787">
        <v>192016.38620000001</v>
      </c>
      <c r="G1787" s="1">
        <v>4.3600000000000003E-5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0</v>
      </c>
      <c r="M1787" s="1">
        <f t="shared" si="111"/>
        <v>0</v>
      </c>
      <c r="N1787" s="1">
        <f t="shared" si="112"/>
        <v>0.25477161424508288</v>
      </c>
      <c r="O1787" s="1"/>
    </row>
    <row r="1788" spans="1:15" x14ac:dyDescent="0.25">
      <c r="A1788">
        <v>3280</v>
      </c>
      <c r="B1788">
        <v>1046.844288</v>
      </c>
      <c r="C1788">
        <v>0</v>
      </c>
      <c r="D1788">
        <v>22750.350009999998</v>
      </c>
      <c r="E1788">
        <v>0</v>
      </c>
      <c r="F1788">
        <v>79707.522389999998</v>
      </c>
      <c r="G1788" s="1">
        <v>4.2899999999999996E-6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0</v>
      </c>
      <c r="M1788" s="1">
        <f t="shared" si="111"/>
        <v>0</v>
      </c>
      <c r="N1788" s="1">
        <f t="shared" si="112"/>
        <v>2.2859329448125167E-2</v>
      </c>
      <c r="O1788" s="1"/>
    </row>
    <row r="1789" spans="1:15" x14ac:dyDescent="0.25">
      <c r="A1789">
        <v>3281</v>
      </c>
      <c r="B1789">
        <v>2245.0644090000001</v>
      </c>
      <c r="C1789">
        <v>0</v>
      </c>
      <c r="D1789">
        <v>40433.024039999997</v>
      </c>
      <c r="E1789">
        <v>0</v>
      </c>
      <c r="F1789">
        <v>111162.73299999999</v>
      </c>
      <c r="G1789" s="1">
        <v>-3.4700000000000003E-5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0</v>
      </c>
      <c r="M1789" s="1">
        <f t="shared" si="111"/>
        <v>0</v>
      </c>
      <c r="N1789" s="1">
        <f t="shared" si="112"/>
        <v>-0.23139885707334423</v>
      </c>
      <c r="O1789" s="1"/>
    </row>
    <row r="1790" spans="1:15" x14ac:dyDescent="0.25">
      <c r="A1790">
        <v>3282</v>
      </c>
      <c r="B1790">
        <v>2245.0644090000001</v>
      </c>
      <c r="C1790">
        <v>0</v>
      </c>
      <c r="D1790">
        <v>28097.022079999999</v>
      </c>
      <c r="E1790">
        <v>0</v>
      </c>
      <c r="F1790">
        <v>81075.601240000004</v>
      </c>
      <c r="G1790" s="1">
        <v>2.79E-6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0</v>
      </c>
      <c r="M1790" s="1">
        <f t="shared" si="111"/>
        <v>0</v>
      </c>
      <c r="N1790" s="1">
        <f t="shared" si="112"/>
        <v>3.2035856267194296E-2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>
        <v>0</v>
      </c>
      <c r="F1791">
        <v>74933.915120000005</v>
      </c>
      <c r="G1791" s="1">
        <v>4.6199999999999998E-6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0</v>
      </c>
      <c r="M1791" s="1">
        <f t="shared" si="111"/>
        <v>0</v>
      </c>
      <c r="N1791" s="1">
        <f t="shared" si="112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>
        <v>0</v>
      </c>
      <c r="F1792">
        <v>16121.303550000001</v>
      </c>
      <c r="G1792" s="1">
        <v>-3.2399999999999999E-6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0</v>
      </c>
      <c r="N1792" s="1">
        <f t="shared" si="112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>
        <v>0</v>
      </c>
      <c r="F1793">
        <v>43356.593200000003</v>
      </c>
      <c r="G1793" s="1">
        <v>-1.2500000000000001E-6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0</v>
      </c>
      <c r="N1793" s="1">
        <f t="shared" si="112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>
        <v>0</v>
      </c>
      <c r="D1794">
        <v>16367.19146</v>
      </c>
      <c r="E1794">
        <v>0</v>
      </c>
      <c r="F1794">
        <v>45734.428440000003</v>
      </c>
      <c r="G1794" s="1">
        <v>-3.0400000000000001E-6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0</v>
      </c>
      <c r="M1794" s="1">
        <f t="shared" si="111"/>
        <v>0</v>
      </c>
      <c r="N1794" s="1">
        <f t="shared" si="112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>
        <v>0</v>
      </c>
      <c r="D1795">
        <v>37649.661319999999</v>
      </c>
      <c r="E1795">
        <v>0</v>
      </c>
      <c r="F1795">
        <v>82618.278219999993</v>
      </c>
      <c r="G1795" s="1">
        <v>4.6400000000000003E-7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0</v>
      </c>
      <c r="M1795" s="1">
        <f t="shared" ref="M1795:M1858" si="115">$U$3*$K1795*E1795</f>
        <v>0</v>
      </c>
      <c r="N1795" s="1">
        <f t="shared" ref="N1795:N1858" si="116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>
        <v>0</v>
      </c>
      <c r="D1796">
        <v>37334.939619999997</v>
      </c>
      <c r="E1796">
        <v>0</v>
      </c>
      <c r="F1796">
        <v>64674.503299999997</v>
      </c>
      <c r="G1796" s="1">
        <v>-1.2599999999999999E-7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0</v>
      </c>
      <c r="M1796" s="1">
        <f t="shared" si="115"/>
        <v>0</v>
      </c>
      <c r="N1796" s="1">
        <f t="shared" si="116"/>
        <v>-6.1913683406077027E-4</v>
      </c>
      <c r="O1796" s="1"/>
    </row>
    <row r="1797" spans="1:15" x14ac:dyDescent="0.25">
      <c r="A1797">
        <v>3291</v>
      </c>
      <c r="B1797">
        <v>2518.646021</v>
      </c>
      <c r="C1797">
        <v>0</v>
      </c>
      <c r="D1797">
        <v>18103.396140000001</v>
      </c>
      <c r="E1797">
        <v>0</v>
      </c>
      <c r="F1797">
        <v>48678.488619999996</v>
      </c>
      <c r="G1797" s="1">
        <v>-3.1599999999999998E-6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0</v>
      </c>
      <c r="M1797" s="1">
        <f t="shared" si="115"/>
        <v>0</v>
      </c>
      <c r="N1797" s="1">
        <f t="shared" si="116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>
        <v>0</v>
      </c>
      <c r="D1798">
        <v>25023.6404</v>
      </c>
      <c r="E1798">
        <v>0</v>
      </c>
      <c r="F1798">
        <v>50188.622280000003</v>
      </c>
      <c r="G1798" s="1">
        <v>4.3100000000000002E-6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0</v>
      </c>
      <c r="M1798" s="1">
        <f t="shared" si="115"/>
        <v>0</v>
      </c>
      <c r="N1798" s="1">
        <f t="shared" si="116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>
        <v>0</v>
      </c>
      <c r="F1799">
        <v>37649.661319999999</v>
      </c>
      <c r="G1799" s="1">
        <v>1.11E-6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0</v>
      </c>
      <c r="N1799" s="1">
        <f t="shared" si="116"/>
        <v>1.0896032906943211E-2</v>
      </c>
      <c r="O1799" s="1"/>
    </row>
    <row r="1800" spans="1:15" x14ac:dyDescent="0.25">
      <c r="A1800">
        <v>3294</v>
      </c>
      <c r="B1800">
        <v>6657.1496639999996</v>
      </c>
      <c r="C1800">
        <v>0</v>
      </c>
      <c r="D1800">
        <v>31649.462230000001</v>
      </c>
      <c r="E1800">
        <v>0</v>
      </c>
      <c r="F1800">
        <v>53960.475209999997</v>
      </c>
      <c r="G1800" s="1">
        <v>3.3400000000000002E-6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0</v>
      </c>
      <c r="M1800" s="1">
        <f t="shared" si="115"/>
        <v>0</v>
      </c>
      <c r="N1800" s="1">
        <f t="shared" si="116"/>
        <v>2.5756789242430921E-2</v>
      </c>
      <c r="O1800" s="1"/>
    </row>
    <row r="1801" spans="1:15" x14ac:dyDescent="0.25">
      <c r="A1801">
        <v>3295</v>
      </c>
      <c r="B1801">
        <v>2758.0471120000002</v>
      </c>
      <c r="C1801">
        <v>0</v>
      </c>
      <c r="D1801">
        <v>29716.180670000002</v>
      </c>
      <c r="E1801">
        <v>0</v>
      </c>
      <c r="F1801">
        <v>49596.066800000001</v>
      </c>
      <c r="G1801" s="1">
        <v>-3.5599999999999998E-6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0</v>
      </c>
      <c r="M1801" s="1">
        <f t="shared" si="115"/>
        <v>0</v>
      </c>
      <c r="N1801" s="1">
        <f t="shared" si="116"/>
        <v>-1.8512453376067682E-2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>
        <v>0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0</v>
      </c>
      <c r="M1802" s="1">
        <f t="shared" si="115"/>
        <v>0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>
        <v>0</v>
      </c>
      <c r="D1803">
        <v>19194.699919999999</v>
      </c>
      <c r="E1803">
        <v>0</v>
      </c>
      <c r="F1803">
        <v>42853.368219999997</v>
      </c>
      <c r="G1803" s="1">
        <v>5.2E-7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0</v>
      </c>
      <c r="M1803" s="1">
        <f t="shared" si="115"/>
        <v>0</v>
      </c>
      <c r="N1803" s="1">
        <f t="shared" si="116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>
        <v>0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0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>
        <v>0</v>
      </c>
      <c r="F1806">
        <v>31078.289219999999</v>
      </c>
      <c r="G1806" s="1">
        <v>3.9299999999999996E-6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0</v>
      </c>
      <c r="M1806" s="1">
        <f t="shared" si="115"/>
        <v>0</v>
      </c>
      <c r="N1806" s="1">
        <f t="shared" si="116"/>
        <v>2.8433794461657121E-2</v>
      </c>
      <c r="O1806" s="1"/>
    </row>
    <row r="1807" spans="1:15" x14ac:dyDescent="0.25">
      <c r="A1807">
        <v>3303</v>
      </c>
      <c r="B1807">
        <v>8209.8329560000002</v>
      </c>
      <c r="C1807">
        <v>0</v>
      </c>
      <c r="D1807">
        <v>14948.22385</v>
      </c>
      <c r="E1807">
        <v>0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0</v>
      </c>
      <c r="M1807" s="1">
        <f t="shared" si="115"/>
        <v>0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>
        <v>0</v>
      </c>
      <c r="D1808">
        <v>9191.1606680000004</v>
      </c>
      <c r="E1808">
        <v>0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0</v>
      </c>
      <c r="M1808" s="1">
        <f t="shared" si="115"/>
        <v>0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>
        <v>0</v>
      </c>
      <c r="D1810">
        <v>14200.35225</v>
      </c>
      <c r="E1810">
        <v>0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0</v>
      </c>
      <c r="M1810" s="1">
        <f t="shared" si="115"/>
        <v>0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>
        <v>0</v>
      </c>
      <c r="D1812">
        <v>61141.693679999997</v>
      </c>
      <c r="E1812">
        <v>0</v>
      </c>
      <c r="F1812">
        <v>129625.4795</v>
      </c>
      <c r="G1812" s="1">
        <v>1.3699999999999999E-5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0</v>
      </c>
      <c r="M1812" s="1">
        <f t="shared" si="115"/>
        <v>0</v>
      </c>
      <c r="N1812" s="1">
        <f t="shared" si="116"/>
        <v>4.7135917210152818E-2</v>
      </c>
      <c r="O1812" s="1"/>
    </row>
    <row r="1813" spans="1:15" x14ac:dyDescent="0.25">
      <c r="A1813">
        <v>3401</v>
      </c>
      <c r="B1813">
        <v>3168.3311659999999</v>
      </c>
      <c r="C1813">
        <v>0</v>
      </c>
      <c r="D1813">
        <v>16757.60194</v>
      </c>
      <c r="E1813">
        <v>0</v>
      </c>
      <c r="F1813">
        <v>94425.199890000004</v>
      </c>
      <c r="G1813" s="1">
        <v>4.9599999999999999E-7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0</v>
      </c>
      <c r="M1813" s="1">
        <f t="shared" si="115"/>
        <v>0</v>
      </c>
      <c r="N1813" s="1">
        <f t="shared" si="116"/>
        <v>2.4158441548753299E-3</v>
      </c>
      <c r="O1813" s="1"/>
    </row>
    <row r="1814" spans="1:15" x14ac:dyDescent="0.25">
      <c r="A1814">
        <v>3402</v>
      </c>
      <c r="B1814">
        <v>5353.463726</v>
      </c>
      <c r="C1814">
        <v>0</v>
      </c>
      <c r="D1814">
        <v>67892.942349999998</v>
      </c>
      <c r="E1814">
        <v>0</v>
      </c>
      <c r="F1814">
        <v>115380.0763</v>
      </c>
      <c r="G1814" s="1">
        <v>3.1999999999999999E-6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0</v>
      </c>
      <c r="M1814" s="1">
        <f t="shared" si="115"/>
        <v>0</v>
      </c>
      <c r="N1814" s="1">
        <f t="shared" si="116"/>
        <v>1.9495371626678401E-2</v>
      </c>
      <c r="O1814" s="1"/>
    </row>
    <row r="1815" spans="1:15" x14ac:dyDescent="0.25">
      <c r="A1815">
        <v>3403</v>
      </c>
      <c r="B1815">
        <v>4213.5072369999998</v>
      </c>
      <c r="C1815">
        <v>0</v>
      </c>
      <c r="D1815">
        <v>28143.143889999999</v>
      </c>
      <c r="E1815">
        <v>0</v>
      </c>
      <c r="F1815">
        <v>109939.3401</v>
      </c>
      <c r="G1815" s="1">
        <v>3.3300000000000003E-5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0</v>
      </c>
      <c r="M1815" s="1">
        <f t="shared" si="115"/>
        <v>0</v>
      </c>
      <c r="N1815" s="1">
        <f t="shared" si="116"/>
        <v>0.14473526572744669</v>
      </c>
      <c r="O1815" s="1"/>
    </row>
    <row r="1816" spans="1:15" x14ac:dyDescent="0.25">
      <c r="A1816">
        <v>3404</v>
      </c>
      <c r="B1816">
        <v>11779.82286</v>
      </c>
      <c r="C1816">
        <v>0</v>
      </c>
      <c r="D1816">
        <v>80419.225850000003</v>
      </c>
      <c r="E1816">
        <v>0</v>
      </c>
      <c r="F1816">
        <v>136709.4417</v>
      </c>
      <c r="G1816" s="1">
        <v>2.7100000000000001E-5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0</v>
      </c>
      <c r="M1816" s="1">
        <f t="shared" si="115"/>
        <v>0</v>
      </c>
      <c r="N1816" s="1">
        <f t="shared" si="116"/>
        <v>9.1304327936858401E-2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>
        <v>0</v>
      </c>
      <c r="F1817">
        <v>100951.6456</v>
      </c>
      <c r="G1817" s="1">
        <v>2.97E-5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0</v>
      </c>
      <c r="M1817" s="1">
        <f t="shared" si="115"/>
        <v>0</v>
      </c>
      <c r="N1817" s="1">
        <f t="shared" si="116"/>
        <v>0.12753234185564169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>
        <v>0</v>
      </c>
      <c r="F1818">
        <v>33453.032370000001</v>
      </c>
      <c r="G1818" s="1">
        <v>2.5299999999999999E-6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0</v>
      </c>
      <c r="N1818" s="1">
        <f t="shared" si="116"/>
        <v>2.0699662748143173E-2</v>
      </c>
      <c r="O1818" s="1"/>
    </row>
    <row r="1819" spans="1:15" x14ac:dyDescent="0.25">
      <c r="A1819">
        <v>3409</v>
      </c>
      <c r="B1819">
        <v>5633.454436</v>
      </c>
      <c r="C1819">
        <v>0</v>
      </c>
      <c r="D1819">
        <v>37224.609470000003</v>
      </c>
      <c r="E1819">
        <v>0</v>
      </c>
      <c r="F1819">
        <v>94727.077170000004</v>
      </c>
      <c r="G1819" s="1">
        <v>9.2600000000000001E-7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0</v>
      </c>
      <c r="M1819" s="1">
        <f t="shared" si="115"/>
        <v>0</v>
      </c>
      <c r="N1819" s="1">
        <f t="shared" si="116"/>
        <v>5.6917754943984359E-3</v>
      </c>
      <c r="O1819" s="1"/>
    </row>
    <row r="1820" spans="1:15" x14ac:dyDescent="0.25">
      <c r="A1820">
        <v>3410</v>
      </c>
      <c r="B1820">
        <v>5392.3036529999999</v>
      </c>
      <c r="C1820">
        <v>0</v>
      </c>
      <c r="D1820">
        <v>56729.849979999999</v>
      </c>
      <c r="E1820">
        <v>0</v>
      </c>
      <c r="F1820">
        <v>152843.17050000001</v>
      </c>
      <c r="G1820" s="1">
        <v>-1.75E-6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0</v>
      </c>
      <c r="M1820" s="1">
        <f t="shared" si="115"/>
        <v>0</v>
      </c>
      <c r="N1820" s="1">
        <f t="shared" si="116"/>
        <v>-9.6707970333292509E-3</v>
      </c>
      <c r="O1820" s="1"/>
    </row>
    <row r="1821" spans="1:15" x14ac:dyDescent="0.25">
      <c r="A1821">
        <v>3411</v>
      </c>
      <c r="B1821">
        <v>5797.0388999999996</v>
      </c>
      <c r="C1821">
        <v>0</v>
      </c>
      <c r="D1821">
        <v>26024.673699999999</v>
      </c>
      <c r="E1821">
        <v>0</v>
      </c>
      <c r="F1821">
        <v>100669.2387</v>
      </c>
      <c r="G1821" s="1">
        <v>-1.5800000000000001E-5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0</v>
      </c>
      <c r="M1821" s="1">
        <f t="shared" si="115"/>
        <v>0</v>
      </c>
      <c r="N1821" s="1">
        <f t="shared" si="116"/>
        <v>-6.6811976578195209E-2</v>
      </c>
      <c r="O1821" s="1"/>
    </row>
    <row r="1822" spans="1:15" x14ac:dyDescent="0.25">
      <c r="A1822">
        <v>3412</v>
      </c>
      <c r="B1822">
        <v>1186.8669500000001</v>
      </c>
      <c r="C1822">
        <v>0</v>
      </c>
      <c r="D1822">
        <v>9598.4971929999992</v>
      </c>
      <c r="E1822">
        <v>0</v>
      </c>
      <c r="F1822">
        <v>56292.682509999999</v>
      </c>
      <c r="G1822" s="1">
        <v>3.6500000000000002E-6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0</v>
      </c>
      <c r="M1822" s="1">
        <f t="shared" si="115"/>
        <v>0</v>
      </c>
      <c r="N1822" s="1">
        <f t="shared" si="116"/>
        <v>1.6622907996945633E-2</v>
      </c>
      <c r="O1822" s="1"/>
    </row>
    <row r="1823" spans="1:15" x14ac:dyDescent="0.25">
      <c r="A1823">
        <v>3413</v>
      </c>
      <c r="B1823">
        <v>2578.844603</v>
      </c>
      <c r="C1823">
        <v>0</v>
      </c>
      <c r="D1823">
        <v>14383.497869999999</v>
      </c>
      <c r="E1823">
        <v>0</v>
      </c>
      <c r="F1823">
        <v>92234.156900000002</v>
      </c>
      <c r="G1823" s="1">
        <v>2.2400000000000002E-6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0</v>
      </c>
      <c r="M1823" s="1">
        <f t="shared" si="115"/>
        <v>0</v>
      </c>
      <c r="N1823" s="1">
        <f t="shared" si="116"/>
        <v>4.4348129009170567E-2</v>
      </c>
      <c r="O1823" s="1"/>
    </row>
    <row r="1824" spans="1:15" x14ac:dyDescent="0.25">
      <c r="A1824">
        <v>3416</v>
      </c>
      <c r="B1824">
        <v>22107.82531</v>
      </c>
      <c r="C1824">
        <v>0</v>
      </c>
      <c r="D1824">
        <v>77992.82733</v>
      </c>
      <c r="E1824">
        <v>0</v>
      </c>
      <c r="F1824">
        <v>286877.50719999999</v>
      </c>
      <c r="G1824" s="1">
        <v>2.7100000000000001E-5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0</v>
      </c>
      <c r="M1824" s="1">
        <f t="shared" si="115"/>
        <v>0</v>
      </c>
      <c r="N1824" s="1">
        <f t="shared" si="116"/>
        <v>3.7326542551207653E-2</v>
      </c>
      <c r="O1824" s="1"/>
    </row>
    <row r="1825" spans="1:15" x14ac:dyDescent="0.25">
      <c r="A1825">
        <v>3417</v>
      </c>
      <c r="B1825">
        <v>10947.93353</v>
      </c>
      <c r="C1825">
        <v>0</v>
      </c>
      <c r="D1825">
        <v>59386.407440000003</v>
      </c>
      <c r="E1825">
        <v>0</v>
      </c>
      <c r="F1825">
        <v>198052.1201</v>
      </c>
      <c r="G1825" s="1">
        <v>-2.27E-5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0</v>
      </c>
      <c r="M1825" s="1">
        <f t="shared" si="115"/>
        <v>0</v>
      </c>
      <c r="N1825" s="1">
        <f t="shared" si="116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>
        <v>0</v>
      </c>
      <c r="D1826">
        <v>67369.05386</v>
      </c>
      <c r="E1826">
        <v>0</v>
      </c>
      <c r="F1826">
        <v>238079.80609999999</v>
      </c>
      <c r="G1826" s="1">
        <v>9.0000000000000002E-6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0</v>
      </c>
      <c r="M1826" s="1">
        <f t="shared" si="115"/>
        <v>0</v>
      </c>
      <c r="N1826" s="1">
        <f t="shared" si="116"/>
        <v>2.2260280608344705E-2</v>
      </c>
      <c r="O1826" s="1"/>
    </row>
    <row r="1827" spans="1:15" x14ac:dyDescent="0.25">
      <c r="A1827">
        <v>3419</v>
      </c>
      <c r="B1827">
        <v>6113.3685969999997</v>
      </c>
      <c r="C1827">
        <v>0</v>
      </c>
      <c r="D1827">
        <v>41572.740969999999</v>
      </c>
      <c r="E1827">
        <v>0</v>
      </c>
      <c r="F1827">
        <v>131962.5827</v>
      </c>
      <c r="G1827" s="1">
        <v>1.06E-5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0</v>
      </c>
      <c r="M1827" s="1">
        <f t="shared" si="115"/>
        <v>0</v>
      </c>
      <c r="N1827" s="1">
        <f t="shared" si="116"/>
        <v>3.3483866805157261E-2</v>
      </c>
      <c r="O1827" s="1"/>
    </row>
    <row r="1828" spans="1:15" x14ac:dyDescent="0.25">
      <c r="A1828">
        <v>3420</v>
      </c>
      <c r="B1828">
        <v>38639.667750000001</v>
      </c>
      <c r="C1828">
        <v>0</v>
      </c>
      <c r="D1828">
        <v>121791.0824</v>
      </c>
      <c r="E1828">
        <v>0</v>
      </c>
      <c r="F1828">
        <v>393577.44270000001</v>
      </c>
      <c r="G1828" s="1">
        <v>-1.52E-5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0</v>
      </c>
      <c r="M1828" s="1">
        <f t="shared" si="115"/>
        <v>0</v>
      </c>
      <c r="N1828" s="1">
        <f t="shared" si="116"/>
        <v>-1.241325643688496E-2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>
        <v>0</v>
      </c>
      <c r="F1829">
        <v>81046.896970000002</v>
      </c>
      <c r="G1829" s="1">
        <v>3.2399999999999999E-7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0</v>
      </c>
      <c r="M1829" s="1">
        <f t="shared" si="115"/>
        <v>0</v>
      </c>
      <c r="N1829" s="1">
        <f t="shared" si="116"/>
        <v>7.6197896857545483E-4</v>
      </c>
      <c r="O1829" s="1"/>
    </row>
    <row r="1830" spans="1:15" x14ac:dyDescent="0.25">
      <c r="A1830">
        <v>3422</v>
      </c>
      <c r="B1830">
        <v>11046.00424</v>
      </c>
      <c r="C1830">
        <v>0</v>
      </c>
      <c r="D1830">
        <v>53979.613830000002</v>
      </c>
      <c r="E1830">
        <v>0</v>
      </c>
      <c r="F1830">
        <v>176913.0575</v>
      </c>
      <c r="G1830" s="1">
        <v>1.31E-5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0</v>
      </c>
      <c r="M1830" s="1">
        <f t="shared" si="115"/>
        <v>0</v>
      </c>
      <c r="N1830" s="1">
        <f t="shared" si="116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>
        <v>0</v>
      </c>
      <c r="F1831">
        <v>72213.408320000002</v>
      </c>
      <c r="G1831" s="1">
        <v>2.4E-8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0</v>
      </c>
      <c r="N1831" s="1">
        <f t="shared" si="116"/>
        <v>9.7169977987509611E-5</v>
      </c>
      <c r="O1831" s="1"/>
    </row>
    <row r="1832" spans="1:15" x14ac:dyDescent="0.25">
      <c r="A1832">
        <v>3424</v>
      </c>
      <c r="B1832">
        <v>5361.6396709999999</v>
      </c>
      <c r="C1832">
        <v>0</v>
      </c>
      <c r="D1832">
        <v>43778.998910000002</v>
      </c>
      <c r="E1832">
        <v>0</v>
      </c>
      <c r="F1832">
        <v>136703.69279999999</v>
      </c>
      <c r="G1832" s="1">
        <v>-3.6900000000000002E-5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0</v>
      </c>
      <c r="M1832" s="1">
        <f t="shared" si="115"/>
        <v>0</v>
      </c>
      <c r="N1832" s="1">
        <f t="shared" si="116"/>
        <v>-0.17356826826660612</v>
      </c>
      <c r="O1832" s="1"/>
    </row>
    <row r="1833" spans="1:15" x14ac:dyDescent="0.25">
      <c r="A1833">
        <v>3425</v>
      </c>
      <c r="B1833">
        <v>4246.9143809999996</v>
      </c>
      <c r="C1833">
        <v>0</v>
      </c>
      <c r="D1833">
        <v>14840.2747</v>
      </c>
      <c r="E1833">
        <v>0</v>
      </c>
      <c r="F1833">
        <v>65456.690399999999</v>
      </c>
      <c r="G1833" s="1">
        <v>4.0400000000000003E-6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0</v>
      </c>
      <c r="M1833" s="1">
        <f t="shared" si="115"/>
        <v>0</v>
      </c>
      <c r="N1833" s="1">
        <f t="shared" si="116"/>
        <v>1.4460324519117052E-2</v>
      </c>
      <c r="O1833" s="1"/>
    </row>
    <row r="1834" spans="1:15" x14ac:dyDescent="0.25">
      <c r="A1834">
        <v>3426</v>
      </c>
      <c r="B1834">
        <v>1897.6099099999999</v>
      </c>
      <c r="C1834">
        <v>0</v>
      </c>
      <c r="D1834">
        <v>3815.2413489999999</v>
      </c>
      <c r="E1834">
        <v>0</v>
      </c>
      <c r="F1834">
        <v>29631.696329999999</v>
      </c>
      <c r="G1834" s="1">
        <v>3.5499999999999999E-7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0</v>
      </c>
      <c r="M1834" s="1">
        <f t="shared" si="115"/>
        <v>0</v>
      </c>
      <c r="N1834" s="1">
        <f t="shared" si="116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 s="1">
        <v>1.5699999999999999E-5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0</v>
      </c>
      <c r="N1835" s="1">
        <f t="shared" si="116"/>
        <v>7.0790955589478372E-2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 s="1">
        <v>1.88E-6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0</v>
      </c>
      <c r="N1836" s="1">
        <f t="shared" si="116"/>
        <v>9.0207610755987967E-3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>
        <v>0</v>
      </c>
      <c r="F1837">
        <v>91973.360889999996</v>
      </c>
      <c r="G1837" s="1">
        <v>-3.1599999999999998E-6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0</v>
      </c>
      <c r="M1837" s="1">
        <f t="shared" si="115"/>
        <v>0</v>
      </c>
      <c r="N1837" s="1">
        <f t="shared" si="116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>
        <v>0</v>
      </c>
      <c r="F1838">
        <v>61501.269659999998</v>
      </c>
      <c r="G1838" s="1">
        <v>3.9299999999999996E-6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0</v>
      </c>
      <c r="N1838" s="1">
        <f t="shared" si="116"/>
        <v>2.8597593146694932E-2</v>
      </c>
      <c r="O1838" s="1"/>
    </row>
    <row r="1839" spans="1:15" x14ac:dyDescent="0.25">
      <c r="A1839">
        <v>3433</v>
      </c>
      <c r="B1839">
        <v>2905.2367399999998</v>
      </c>
      <c r="C1839">
        <v>0</v>
      </c>
      <c r="D1839">
        <v>30568.85657</v>
      </c>
      <c r="E1839">
        <v>0</v>
      </c>
      <c r="F1839">
        <v>81258.623749999999</v>
      </c>
      <c r="G1839" s="1">
        <v>2.96E-6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0</v>
      </c>
      <c r="M1839" s="1">
        <f t="shared" si="115"/>
        <v>0</v>
      </c>
      <c r="N1839" s="1">
        <f t="shared" si="116"/>
        <v>7.2925309842915608E-3</v>
      </c>
      <c r="O1839" s="1"/>
    </row>
    <row r="1840" spans="1:15" x14ac:dyDescent="0.25">
      <c r="A1840">
        <v>3434</v>
      </c>
      <c r="B1840">
        <v>21189.687480000001</v>
      </c>
      <c r="C1840">
        <v>0</v>
      </c>
      <c r="D1840">
        <v>36775.662770000003</v>
      </c>
      <c r="E1840">
        <v>0</v>
      </c>
      <c r="F1840">
        <v>111162.71060000001</v>
      </c>
      <c r="G1840" s="1">
        <v>6.2500000000000003E-6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0</v>
      </c>
      <c r="M1840" s="1">
        <f t="shared" si="115"/>
        <v>0</v>
      </c>
      <c r="N1840" s="1">
        <f t="shared" si="116"/>
        <v>2.8838365918515001E-2</v>
      </c>
      <c r="O1840" s="1"/>
    </row>
    <row r="1841" spans="1:15" x14ac:dyDescent="0.25">
      <c r="A1841">
        <v>3437</v>
      </c>
      <c r="B1841">
        <v>1976.758918</v>
      </c>
      <c r="C1841">
        <v>0</v>
      </c>
      <c r="D1841">
        <v>15751.018249999999</v>
      </c>
      <c r="E1841">
        <v>0</v>
      </c>
      <c r="F1841">
        <v>62697.902670000003</v>
      </c>
      <c r="G1841" s="1">
        <v>-2.03E-6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0</v>
      </c>
      <c r="M1841" s="1">
        <f t="shared" si="115"/>
        <v>0</v>
      </c>
      <c r="N1841" s="1">
        <f t="shared" si="116"/>
        <v>-4.2832294962451885E-3</v>
      </c>
      <c r="O1841" s="1"/>
    </row>
    <row r="1842" spans="1:15" x14ac:dyDescent="0.25">
      <c r="A1842">
        <v>3438</v>
      </c>
      <c r="B1842">
        <v>10329.5507</v>
      </c>
      <c r="C1842">
        <v>0</v>
      </c>
      <c r="D1842">
        <v>53376.266029999999</v>
      </c>
      <c r="E1842">
        <v>0</v>
      </c>
      <c r="F1842">
        <v>173296.1452</v>
      </c>
      <c r="G1842" s="1">
        <v>3.5200000000000002E-6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0</v>
      </c>
      <c r="M1842" s="1">
        <f t="shared" si="115"/>
        <v>0</v>
      </c>
      <c r="N1842" s="1">
        <f t="shared" si="116"/>
        <v>1.0589124011940674E-2</v>
      </c>
      <c r="O1842" s="1"/>
    </row>
    <row r="1843" spans="1:15" x14ac:dyDescent="0.25">
      <c r="A1843">
        <v>3439</v>
      </c>
      <c r="B1843">
        <v>6534.283563</v>
      </c>
      <c r="C1843">
        <v>0</v>
      </c>
      <c r="D1843">
        <v>37433.309589999997</v>
      </c>
      <c r="E1843">
        <v>0</v>
      </c>
      <c r="F1843">
        <v>171562.5491</v>
      </c>
      <c r="G1843" s="1">
        <v>-2.2099999999999998E-5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0</v>
      </c>
      <c r="M1843" s="1">
        <f t="shared" si="115"/>
        <v>0</v>
      </c>
      <c r="N1843" s="1">
        <f t="shared" si="116"/>
        <v>-6.4016606270274445E-2</v>
      </c>
      <c r="O1843" s="1"/>
    </row>
    <row r="1844" spans="1:15" x14ac:dyDescent="0.25">
      <c r="A1844">
        <v>3440</v>
      </c>
      <c r="B1844">
        <v>8290.4180890000007</v>
      </c>
      <c r="C1844">
        <v>0</v>
      </c>
      <c r="D1844">
        <v>42715.726110000003</v>
      </c>
      <c r="E1844">
        <v>0</v>
      </c>
      <c r="F1844">
        <v>161080.2893</v>
      </c>
      <c r="G1844" s="1">
        <v>3.6399999999999997E-5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0</v>
      </c>
      <c r="M1844" s="1">
        <f t="shared" si="115"/>
        <v>0</v>
      </c>
      <c r="N1844" s="1">
        <f t="shared" si="116"/>
        <v>0.18095623874658875</v>
      </c>
      <c r="O1844" s="1"/>
    </row>
    <row r="1845" spans="1:15" x14ac:dyDescent="0.25">
      <c r="A1845">
        <v>3441</v>
      </c>
      <c r="B1845">
        <v>9987.1074590000007</v>
      </c>
      <c r="C1845">
        <v>0</v>
      </c>
      <c r="D1845">
        <v>52143.079859999998</v>
      </c>
      <c r="E1845">
        <v>0</v>
      </c>
      <c r="F1845">
        <v>192394.73540000001</v>
      </c>
      <c r="G1845" s="1">
        <v>4.8300000000000002E-5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0</v>
      </c>
      <c r="M1845" s="1">
        <f t="shared" si="115"/>
        <v>0</v>
      </c>
      <c r="N1845" s="1">
        <f t="shared" si="116"/>
        <v>0.18946567207288981</v>
      </c>
      <c r="O1845" s="1"/>
    </row>
    <row r="1846" spans="1:15" x14ac:dyDescent="0.25">
      <c r="A1846">
        <v>3442</v>
      </c>
      <c r="B1846">
        <v>28150.702669999999</v>
      </c>
      <c r="C1846">
        <v>0</v>
      </c>
      <c r="D1846">
        <v>89164.307449999993</v>
      </c>
      <c r="E1846">
        <v>0</v>
      </c>
      <c r="F1846">
        <v>340117.02549999999</v>
      </c>
      <c r="G1846" s="1">
        <v>-4.8399999999999997E-5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0</v>
      </c>
      <c r="M1846" s="1">
        <f t="shared" si="115"/>
        <v>0</v>
      </c>
      <c r="N1846" s="1">
        <f t="shared" si="116"/>
        <v>-0.12940237315866565</v>
      </c>
      <c r="O1846" s="1"/>
    </row>
    <row r="1847" spans="1:15" x14ac:dyDescent="0.25">
      <c r="A1847">
        <v>3443</v>
      </c>
      <c r="B1847">
        <v>18983.07905</v>
      </c>
      <c r="C1847">
        <v>0</v>
      </c>
      <c r="D1847">
        <v>78130.897870000001</v>
      </c>
      <c r="E1847">
        <v>0</v>
      </c>
      <c r="F1847">
        <v>307418.65500000003</v>
      </c>
      <c r="G1847" s="1">
        <v>2.8E-5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0</v>
      </c>
      <c r="M1847" s="1">
        <f t="shared" si="115"/>
        <v>0</v>
      </c>
      <c r="N1847" s="1">
        <f t="shared" si="116"/>
        <v>9.1153920339400799E-2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>
        <v>0</v>
      </c>
      <c r="F1848">
        <v>115976.8977</v>
      </c>
      <c r="G1848" s="1">
        <v>3.8699999999999999E-5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0</v>
      </c>
      <c r="M1848" s="1">
        <f t="shared" si="115"/>
        <v>0</v>
      </c>
      <c r="N1848" s="1">
        <f t="shared" si="116"/>
        <v>0.18315944045195939</v>
      </c>
      <c r="O1848" s="1"/>
    </row>
    <row r="1849" spans="1:15" x14ac:dyDescent="0.25">
      <c r="A1849">
        <v>3447</v>
      </c>
      <c r="B1849">
        <v>2728.9281249999999</v>
      </c>
      <c r="C1849">
        <v>0</v>
      </c>
      <c r="D1849">
        <v>13991.164360000001</v>
      </c>
      <c r="E1849">
        <v>0</v>
      </c>
      <c r="F1849">
        <v>90327.48014</v>
      </c>
      <c r="G1849" s="1">
        <v>8.16E-7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0</v>
      </c>
      <c r="M1849" s="1">
        <f t="shared" si="115"/>
        <v>0</v>
      </c>
      <c r="N1849" s="1">
        <f t="shared" si="116"/>
        <v>3.4151301714357789E-3</v>
      </c>
      <c r="O1849" s="1"/>
    </row>
    <row r="1850" spans="1:15" x14ac:dyDescent="0.25">
      <c r="A1850">
        <v>3448</v>
      </c>
      <c r="B1850">
        <v>1503.997304</v>
      </c>
      <c r="C1850">
        <v>0</v>
      </c>
      <c r="D1850">
        <v>13756.384480000001</v>
      </c>
      <c r="E1850">
        <v>0</v>
      </c>
      <c r="F1850">
        <v>89811.022500000006</v>
      </c>
      <c r="G1850" s="1">
        <v>-1.68E-6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0</v>
      </c>
      <c r="M1850" s="1">
        <f t="shared" si="115"/>
        <v>0</v>
      </c>
      <c r="N1850" s="1">
        <f t="shared" si="116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>
        <v>0</v>
      </c>
      <c r="D1851">
        <v>13771.8271</v>
      </c>
      <c r="E1851">
        <v>0</v>
      </c>
      <c r="F1851">
        <v>80113.91347</v>
      </c>
      <c r="G1851" s="1">
        <v>-2.9799999999999998E-6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0</v>
      </c>
      <c r="M1851" s="1">
        <f t="shared" si="115"/>
        <v>0</v>
      </c>
      <c r="N1851" s="1">
        <f t="shared" si="116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>
        <v>0</v>
      </c>
      <c r="D1852">
        <v>30145.492050000001</v>
      </c>
      <c r="E1852">
        <v>0</v>
      </c>
      <c r="F1852">
        <v>106342.18030000001</v>
      </c>
      <c r="G1852" s="1">
        <v>1.8099999999999999E-5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0</v>
      </c>
      <c r="M1852" s="1">
        <f t="shared" si="115"/>
        <v>0</v>
      </c>
      <c r="N1852" s="1">
        <f t="shared" si="116"/>
        <v>0.10555004238786179</v>
      </c>
      <c r="O1852" s="1"/>
    </row>
    <row r="1853" spans="1:15" x14ac:dyDescent="0.25">
      <c r="A1853">
        <v>3453</v>
      </c>
      <c r="B1853">
        <v>8677.5265670000008</v>
      </c>
      <c r="C1853">
        <v>0</v>
      </c>
      <c r="D1853">
        <v>44497.6823</v>
      </c>
      <c r="E1853">
        <v>0</v>
      </c>
      <c r="F1853">
        <v>169485.3279</v>
      </c>
      <c r="G1853" s="1">
        <v>9.7000000000000003E-6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0</v>
      </c>
      <c r="M1853" s="1">
        <f t="shared" si="115"/>
        <v>0</v>
      </c>
      <c r="N1853" s="1">
        <f t="shared" si="116"/>
        <v>3.5352768934956244E-2</v>
      </c>
      <c r="O1853" s="1"/>
    </row>
    <row r="1854" spans="1:15" x14ac:dyDescent="0.25">
      <c r="A1854">
        <v>3454</v>
      </c>
      <c r="B1854">
        <v>20624.42078</v>
      </c>
      <c r="C1854">
        <v>0</v>
      </c>
      <c r="D1854">
        <v>89558.080520000003</v>
      </c>
      <c r="E1854">
        <v>0</v>
      </c>
      <c r="F1854">
        <v>267560.40649999998</v>
      </c>
      <c r="G1854" s="1">
        <v>-3.93E-5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0</v>
      </c>
      <c r="M1854" s="1">
        <f t="shared" si="115"/>
        <v>0</v>
      </c>
      <c r="N1854" s="1">
        <f t="shared" si="116"/>
        <v>-0.106575103384372</v>
      </c>
      <c r="O1854" s="1"/>
    </row>
    <row r="1855" spans="1:15" x14ac:dyDescent="0.25">
      <c r="A1855">
        <v>3455</v>
      </c>
      <c r="B1855">
        <v>7498.5473380000003</v>
      </c>
      <c r="C1855">
        <v>0</v>
      </c>
      <c r="D1855">
        <v>66572.625899999999</v>
      </c>
      <c r="E1855">
        <v>0</v>
      </c>
      <c r="F1855">
        <v>228877.98420000001</v>
      </c>
      <c r="G1855" s="1">
        <v>-4.2599999999999999E-5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0</v>
      </c>
      <c r="M1855" s="1">
        <f t="shared" si="115"/>
        <v>0</v>
      </c>
      <c r="N1855" s="1">
        <f t="shared" si="116"/>
        <v>-5.6489932584832502E-2</v>
      </c>
      <c r="O1855" s="1"/>
    </row>
    <row r="1856" spans="1:15" x14ac:dyDescent="0.25">
      <c r="A1856">
        <v>3456</v>
      </c>
      <c r="B1856">
        <v>37160.479229999997</v>
      </c>
      <c r="C1856">
        <v>0</v>
      </c>
      <c r="D1856">
        <v>161172.96100000001</v>
      </c>
      <c r="E1856">
        <v>0</v>
      </c>
      <c r="F1856">
        <v>414694.20419999998</v>
      </c>
      <c r="G1856" s="1">
        <v>4.7599999999999998E-5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0</v>
      </c>
      <c r="M1856" s="1">
        <f t="shared" si="115"/>
        <v>0</v>
      </c>
      <c r="N1856" s="1">
        <f t="shared" si="116"/>
        <v>9.4389490325636524E-2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>
        <v>0</v>
      </c>
      <c r="F1857">
        <v>270190.18949999998</v>
      </c>
      <c r="G1857" s="1">
        <v>2.5999999999999998E-5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0</v>
      </c>
      <c r="M1857" s="1">
        <f t="shared" si="115"/>
        <v>0</v>
      </c>
      <c r="N1857" s="1">
        <f t="shared" si="116"/>
        <v>3.72835441370808E-2</v>
      </c>
      <c r="O1857" s="1"/>
    </row>
    <row r="1858" spans="1:15" x14ac:dyDescent="0.25">
      <c r="A1858">
        <v>3458</v>
      </c>
      <c r="B1858">
        <v>7413.4273830000002</v>
      </c>
      <c r="C1858">
        <v>0</v>
      </c>
      <c r="D1858">
        <v>42955.866110000003</v>
      </c>
      <c r="E1858">
        <v>0</v>
      </c>
      <c r="F1858">
        <v>178960.1825</v>
      </c>
      <c r="G1858" s="1">
        <v>2.0299999999999999E-5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0</v>
      </c>
      <c r="M1858" s="1">
        <f t="shared" si="115"/>
        <v>0</v>
      </c>
      <c r="N1858" s="1">
        <f t="shared" si="116"/>
        <v>5.6692025766343163E-2</v>
      </c>
      <c r="O1858" s="1"/>
    </row>
    <row r="1859" spans="1:15" x14ac:dyDescent="0.25">
      <c r="A1859">
        <v>3459</v>
      </c>
      <c r="B1859">
        <v>12089.81119</v>
      </c>
      <c r="C1859">
        <v>0</v>
      </c>
      <c r="D1859">
        <v>74643.396779999995</v>
      </c>
      <c r="E1859">
        <v>0</v>
      </c>
      <c r="F1859">
        <v>243036.52009999999</v>
      </c>
      <c r="G1859" s="1">
        <v>3.29E-5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0</v>
      </c>
      <c r="M1859" s="1">
        <f t="shared" ref="M1859:M1922" si="119">$U$3*$K1859*E1859</f>
        <v>0</v>
      </c>
      <c r="N1859" s="1">
        <f t="shared" ref="N1859:N1922" si="120">$U$4*$K1859*G1859</f>
        <v>0.16420724850593513</v>
      </c>
      <c r="O1859" s="1"/>
    </row>
    <row r="1860" spans="1:15" x14ac:dyDescent="0.25">
      <c r="A1860">
        <v>3460</v>
      </c>
      <c r="B1860">
        <v>7677.7339380000003</v>
      </c>
      <c r="C1860">
        <v>0</v>
      </c>
      <c r="D1860">
        <v>50906.052499999998</v>
      </c>
      <c r="E1860">
        <v>0</v>
      </c>
      <c r="F1860">
        <v>169277.79810000001</v>
      </c>
      <c r="G1860" s="1">
        <v>4.6999999999999997E-5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0</v>
      </c>
      <c r="M1860" s="1">
        <f t="shared" si="119"/>
        <v>0</v>
      </c>
      <c r="N1860" s="1">
        <f t="shared" si="120"/>
        <v>0.1247888687819418</v>
      </c>
      <c r="O1860" s="1"/>
    </row>
    <row r="1861" spans="1:15" x14ac:dyDescent="0.25">
      <c r="A1861">
        <v>3463</v>
      </c>
      <c r="B1861">
        <v>6564.6743800000004</v>
      </c>
      <c r="C1861">
        <v>0</v>
      </c>
      <c r="D1861">
        <v>32229.89572</v>
      </c>
      <c r="E1861">
        <v>0</v>
      </c>
      <c r="F1861">
        <v>84220.888479999994</v>
      </c>
      <c r="G1861" s="1">
        <v>3.9099999999999998E-6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0</v>
      </c>
      <c r="M1861" s="1">
        <f t="shared" si="119"/>
        <v>0</v>
      </c>
      <c r="N1861" s="1">
        <f t="shared" si="12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>
        <v>0</v>
      </c>
      <c r="D1862">
        <v>48105.934390000002</v>
      </c>
      <c r="E1862">
        <v>0</v>
      </c>
      <c r="F1862">
        <v>162370.79639999999</v>
      </c>
      <c r="G1862" s="1">
        <v>2.2200000000000001E-5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0</v>
      </c>
      <c r="M1862" s="1">
        <f t="shared" si="119"/>
        <v>0</v>
      </c>
      <c r="N1862" s="1">
        <f t="shared" si="120"/>
        <v>0.11903069489745781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>
        <v>0</v>
      </c>
      <c r="F1863">
        <v>98455.541750000004</v>
      </c>
      <c r="G1863" s="1">
        <v>2.0200000000000001E-6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0</v>
      </c>
      <c r="M1863" s="1">
        <f t="shared" si="119"/>
        <v>0</v>
      </c>
      <c r="N1863" s="1">
        <f t="shared" si="120"/>
        <v>6.8619451769244789E-3</v>
      </c>
      <c r="O1863" s="1"/>
    </row>
    <row r="1864" spans="1:15" x14ac:dyDescent="0.25">
      <c r="A1864">
        <v>3466</v>
      </c>
      <c r="B1864">
        <v>6426.1651590000001</v>
      </c>
      <c r="C1864">
        <v>0</v>
      </c>
      <c r="D1864">
        <v>30809.270479999999</v>
      </c>
      <c r="E1864">
        <v>0</v>
      </c>
      <c r="F1864">
        <v>139112.81409999999</v>
      </c>
      <c r="G1864" s="1">
        <v>-2.1500000000000001E-5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0</v>
      </c>
      <c r="M1864" s="1">
        <f t="shared" si="119"/>
        <v>0</v>
      </c>
      <c r="N1864" s="1">
        <f t="shared" si="120"/>
        <v>-4.6076662766164657E-2</v>
      </c>
      <c r="O1864" s="1"/>
    </row>
    <row r="1865" spans="1:15" x14ac:dyDescent="0.25">
      <c r="A1865">
        <v>3467</v>
      </c>
      <c r="B1865">
        <v>2988.1693759999998</v>
      </c>
      <c r="C1865">
        <v>0</v>
      </c>
      <c r="D1865">
        <v>27552.304830000001</v>
      </c>
      <c r="E1865">
        <v>0</v>
      </c>
      <c r="F1865">
        <v>118923.0619</v>
      </c>
      <c r="G1865" s="1">
        <v>-6.0700000000000003E-6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0</v>
      </c>
      <c r="M1865" s="1">
        <f t="shared" si="119"/>
        <v>0</v>
      </c>
      <c r="N1865" s="1">
        <f t="shared" si="120"/>
        <v>-2.306008676530958E-2</v>
      </c>
      <c r="O1865" s="1"/>
    </row>
    <row r="1866" spans="1:15" x14ac:dyDescent="0.25">
      <c r="A1866">
        <v>3468</v>
      </c>
      <c r="B1866">
        <v>6817.5018799999998</v>
      </c>
      <c r="C1866">
        <v>0</v>
      </c>
      <c r="D1866">
        <v>33976.486819999998</v>
      </c>
      <c r="E1866">
        <v>0</v>
      </c>
      <c r="F1866">
        <v>145555.60440000001</v>
      </c>
      <c r="G1866" s="1">
        <v>4.5800000000000002E-5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0</v>
      </c>
      <c r="M1866" s="1">
        <f t="shared" si="119"/>
        <v>0</v>
      </c>
      <c r="N1866" s="1">
        <f t="shared" si="120"/>
        <v>0.18101406478056525</v>
      </c>
      <c r="O1866" s="1"/>
    </row>
    <row r="1867" spans="1:15" x14ac:dyDescent="0.25">
      <c r="A1867">
        <v>3471</v>
      </c>
      <c r="B1867">
        <v>15562.5057</v>
      </c>
      <c r="C1867">
        <v>0</v>
      </c>
      <c r="D1867">
        <v>57709.214330000003</v>
      </c>
      <c r="E1867">
        <v>0</v>
      </c>
      <c r="F1867">
        <v>164122.42629999999</v>
      </c>
      <c r="G1867" s="1">
        <v>-3.1300000000000002E-5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0</v>
      </c>
      <c r="M1867" s="1">
        <f t="shared" si="119"/>
        <v>0</v>
      </c>
      <c r="N1867" s="1">
        <f t="shared" si="120"/>
        <v>-0.11193513075926836</v>
      </c>
      <c r="O1867" s="1"/>
    </row>
    <row r="1868" spans="1:15" x14ac:dyDescent="0.25">
      <c r="A1868">
        <v>3472</v>
      </c>
      <c r="B1868">
        <v>4452.5420599999998</v>
      </c>
      <c r="C1868">
        <v>0</v>
      </c>
      <c r="D1868">
        <v>15777.466549999999</v>
      </c>
      <c r="E1868">
        <v>0</v>
      </c>
      <c r="F1868">
        <v>69356.356419999996</v>
      </c>
      <c r="G1868" s="1">
        <v>1.3200000000000001E-6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0</v>
      </c>
      <c r="M1868" s="1">
        <f t="shared" si="119"/>
        <v>0</v>
      </c>
      <c r="N1868" s="1">
        <f t="shared" si="12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>
        <v>0</v>
      </c>
      <c r="D1869">
        <v>48831.498399999997</v>
      </c>
      <c r="E1869">
        <v>0</v>
      </c>
      <c r="F1869">
        <v>132105.2163</v>
      </c>
      <c r="G1869" s="1">
        <v>-1.7799999999999999E-5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0</v>
      </c>
      <c r="M1869" s="1">
        <f t="shared" si="119"/>
        <v>0</v>
      </c>
      <c r="N1869" s="1">
        <f t="shared" si="120"/>
        <v>-6.8522967257212672E-2</v>
      </c>
      <c r="O1869" s="1"/>
    </row>
    <row r="1870" spans="1:15" x14ac:dyDescent="0.25">
      <c r="A1870">
        <v>3474</v>
      </c>
      <c r="B1870">
        <v>3493.9320309999998</v>
      </c>
      <c r="C1870">
        <v>0</v>
      </c>
      <c r="D1870">
        <v>19059.6741</v>
      </c>
      <c r="E1870">
        <v>0</v>
      </c>
      <c r="F1870">
        <v>103510.4081</v>
      </c>
      <c r="G1870" s="1">
        <v>8.1599999999999998E-6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0</v>
      </c>
      <c r="M1870" s="1">
        <f t="shared" si="119"/>
        <v>0</v>
      </c>
      <c r="N1870" s="1">
        <f t="shared" si="120"/>
        <v>3.1024838905766065E-2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>
        <v>0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0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>
        <v>0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0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 s="1">
        <v>-7.6899999999999996E-7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0</v>
      </c>
      <c r="N1874" s="1">
        <f t="shared" si="12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>
        <v>0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0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>
        <v>0</v>
      </c>
      <c r="D1880">
        <v>39776.636290000002</v>
      </c>
      <c r="E1880">
        <v>0</v>
      </c>
      <c r="F1880">
        <v>127583.5472</v>
      </c>
      <c r="G1880" s="1">
        <v>-4.71E-5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0</v>
      </c>
      <c r="M1880" s="1">
        <f t="shared" si="119"/>
        <v>0</v>
      </c>
      <c r="N1880" s="1">
        <f t="shared" si="120"/>
        <v>-0.26798495547142798</v>
      </c>
      <c r="O1880" s="1"/>
    </row>
    <row r="1881" spans="1:15" x14ac:dyDescent="0.25">
      <c r="A1881">
        <v>3488</v>
      </c>
      <c r="B1881">
        <v>7171.4011570000002</v>
      </c>
      <c r="C1881">
        <v>0</v>
      </c>
      <c r="D1881">
        <v>25838.880679999998</v>
      </c>
      <c r="E1881">
        <v>0</v>
      </c>
      <c r="F1881">
        <v>103640.94070000001</v>
      </c>
      <c r="G1881" s="1">
        <v>2.94E-5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0</v>
      </c>
      <c r="M1881" s="1">
        <f t="shared" si="119"/>
        <v>0</v>
      </c>
      <c r="N1881" s="1">
        <f t="shared" si="120"/>
        <v>0.11504143478963899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>
        <v>0</v>
      </c>
      <c r="F1882">
        <v>140601.3591</v>
      </c>
      <c r="G1882" s="1">
        <v>-1.08E-5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0</v>
      </c>
      <c r="M1882" s="1">
        <f t="shared" si="119"/>
        <v>0</v>
      </c>
      <c r="N1882" s="1">
        <f t="shared" si="120"/>
        <v>-4.8364859502151566E-2</v>
      </c>
      <c r="O1882" s="1"/>
    </row>
    <row r="1883" spans="1:15" x14ac:dyDescent="0.25">
      <c r="A1883">
        <v>3490</v>
      </c>
      <c r="B1883">
        <v>5272.580215</v>
      </c>
      <c r="C1883">
        <v>0</v>
      </c>
      <c r="D1883">
        <v>51666.716840000001</v>
      </c>
      <c r="E1883">
        <v>0</v>
      </c>
      <c r="F1883">
        <v>135231.6347</v>
      </c>
      <c r="G1883" s="1">
        <v>3.6699999999999998E-5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0</v>
      </c>
      <c r="M1883" s="1">
        <f t="shared" si="119"/>
        <v>0</v>
      </c>
      <c r="N1883" s="1">
        <f t="shared" si="120"/>
        <v>0.10226827742960599</v>
      </c>
      <c r="O1883" s="1"/>
    </row>
    <row r="1884" spans="1:15" x14ac:dyDescent="0.25">
      <c r="A1884">
        <v>3491</v>
      </c>
      <c r="B1884">
        <v>10273.64229</v>
      </c>
      <c r="C1884">
        <v>0</v>
      </c>
      <c r="D1884">
        <v>34277.486799999999</v>
      </c>
      <c r="E1884">
        <v>0</v>
      </c>
      <c r="F1884">
        <v>112989.5834</v>
      </c>
      <c r="G1884" s="1">
        <v>2.6400000000000001E-5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0</v>
      </c>
      <c r="M1884" s="1">
        <f t="shared" si="119"/>
        <v>0</v>
      </c>
      <c r="N1884" s="1">
        <f t="shared" si="120"/>
        <v>0.19322577674745842</v>
      </c>
      <c r="O1884" s="1"/>
    </row>
    <row r="1885" spans="1:15" x14ac:dyDescent="0.25">
      <c r="A1885">
        <v>3492</v>
      </c>
      <c r="B1885">
        <v>13013.896930000001</v>
      </c>
      <c r="C1885">
        <v>0</v>
      </c>
      <c r="D1885">
        <v>27447.869770000001</v>
      </c>
      <c r="E1885">
        <v>0</v>
      </c>
      <c r="F1885">
        <v>118468.28049999999</v>
      </c>
      <c r="G1885" s="1">
        <v>-2.02E-5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0</v>
      </c>
      <c r="M1885" s="1">
        <f t="shared" si="119"/>
        <v>0</v>
      </c>
      <c r="N1885" s="1">
        <f t="shared" si="120"/>
        <v>-7.2297068333784242E-2</v>
      </c>
      <c r="O1885" s="1"/>
    </row>
    <row r="1886" spans="1:15" x14ac:dyDescent="0.25">
      <c r="A1886">
        <v>3493</v>
      </c>
      <c r="B1886">
        <v>6910.9667790000003</v>
      </c>
      <c r="C1886">
        <v>0</v>
      </c>
      <c r="D1886">
        <v>43444.074260000001</v>
      </c>
      <c r="E1886">
        <v>0</v>
      </c>
      <c r="F1886">
        <v>92762.266759999999</v>
      </c>
      <c r="G1886" s="1">
        <v>-1.48E-6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0</v>
      </c>
      <c r="M1886" s="1">
        <f t="shared" si="119"/>
        <v>0</v>
      </c>
      <c r="N1886" s="1">
        <f t="shared" si="12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>
        <v>0</v>
      </c>
      <c r="D1887">
        <v>39321.892110000001</v>
      </c>
      <c r="E1887">
        <v>0</v>
      </c>
      <c r="F1887">
        <v>121507.3744</v>
      </c>
      <c r="G1887" s="1">
        <v>-5.4399999999999996E-6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0</v>
      </c>
      <c r="M1887" s="1">
        <f t="shared" si="119"/>
        <v>0</v>
      </c>
      <c r="N1887" s="1">
        <f t="shared" si="120"/>
        <v>-1.8414285693247393E-2</v>
      </c>
      <c r="O1887" s="1"/>
    </row>
    <row r="1888" spans="1:15" x14ac:dyDescent="0.25">
      <c r="A1888">
        <v>3497</v>
      </c>
      <c r="B1888">
        <v>3443.6029250000001</v>
      </c>
      <c r="C1888">
        <v>0</v>
      </c>
      <c r="D1888">
        <v>38451.368730000002</v>
      </c>
      <c r="E1888">
        <v>0</v>
      </c>
      <c r="F1888">
        <v>123008.9311</v>
      </c>
      <c r="G1888" s="1">
        <v>1.84E-5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0</v>
      </c>
      <c r="M1888" s="1">
        <f t="shared" si="119"/>
        <v>0</v>
      </c>
      <c r="N1888" s="1">
        <f t="shared" si="120"/>
        <v>9.0524549181709685E-2</v>
      </c>
      <c r="O1888" s="1"/>
    </row>
    <row r="1889" spans="1:15" x14ac:dyDescent="0.25">
      <c r="A1889">
        <v>3498</v>
      </c>
      <c r="B1889">
        <v>1876.2077429999999</v>
      </c>
      <c r="C1889">
        <v>0</v>
      </c>
      <c r="D1889">
        <v>12677.197910000001</v>
      </c>
      <c r="E1889">
        <v>0</v>
      </c>
      <c r="F1889">
        <v>51377.017650000002</v>
      </c>
      <c r="G1889" s="1">
        <v>-1.11E-6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0</v>
      </c>
      <c r="M1889" s="1">
        <f t="shared" si="119"/>
        <v>0</v>
      </c>
      <c r="N1889" s="1">
        <f t="shared" si="120"/>
        <v>-3.7441059377544541E-3</v>
      </c>
      <c r="O1889" s="1"/>
    </row>
    <row r="1890" spans="1:15" x14ac:dyDescent="0.25">
      <c r="A1890">
        <v>3499</v>
      </c>
      <c r="B1890">
        <v>6637.0219420000003</v>
      </c>
      <c r="C1890">
        <v>0</v>
      </c>
      <c r="D1890">
        <v>54392.80689</v>
      </c>
      <c r="E1890">
        <v>0</v>
      </c>
      <c r="F1890">
        <v>132775.52859999999</v>
      </c>
      <c r="G1890" s="1">
        <v>-9.7999999999999993E-6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0</v>
      </c>
      <c r="M1890" s="1">
        <f t="shared" si="119"/>
        <v>0</v>
      </c>
      <c r="N1890" s="1">
        <f t="shared" si="120"/>
        <v>-3.5093200773981419E-2</v>
      </c>
      <c r="O1890" s="1"/>
    </row>
    <row r="1891" spans="1:15" x14ac:dyDescent="0.25">
      <c r="A1891">
        <v>3500</v>
      </c>
      <c r="B1891">
        <v>3774.514795</v>
      </c>
      <c r="C1891">
        <v>0</v>
      </c>
      <c r="D1891">
        <v>25006.898789999999</v>
      </c>
      <c r="E1891">
        <v>0</v>
      </c>
      <c r="F1891">
        <v>104926.6461</v>
      </c>
      <c r="G1891" s="1">
        <v>2.1399999999999998E-5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0</v>
      </c>
      <c r="M1891" s="1">
        <f t="shared" si="119"/>
        <v>0</v>
      </c>
      <c r="N1891" s="1">
        <f t="shared" si="120"/>
        <v>0.13926985686176338</v>
      </c>
      <c r="O1891" s="1"/>
    </row>
    <row r="1892" spans="1:15" x14ac:dyDescent="0.25">
      <c r="A1892">
        <v>3503</v>
      </c>
      <c r="B1892">
        <v>15277.89248</v>
      </c>
      <c r="C1892">
        <v>0</v>
      </c>
      <c r="D1892">
        <v>56227.792609999997</v>
      </c>
      <c r="E1892">
        <v>0</v>
      </c>
      <c r="F1892">
        <v>161055.8768</v>
      </c>
      <c r="G1892" s="1">
        <v>1.1199999999999999E-5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</v>
      </c>
      <c r="M1892" s="1">
        <f t="shared" si="119"/>
        <v>0</v>
      </c>
      <c r="N1892" s="1">
        <f t="shared" si="120"/>
        <v>0.1617649180006272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 s="1">
        <v>2.48E-6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</v>
      </c>
      <c r="N1893" s="1">
        <f t="shared" si="120"/>
        <v>5.655579415825801E-2</v>
      </c>
      <c r="O1893" s="1"/>
    </row>
    <row r="1894" spans="1:15" x14ac:dyDescent="0.25">
      <c r="A1894">
        <v>3505</v>
      </c>
      <c r="B1894">
        <v>12266.08101</v>
      </c>
      <c r="C1894">
        <v>0</v>
      </c>
      <c r="D1894">
        <v>53692.881939999999</v>
      </c>
      <c r="E1894">
        <v>0</v>
      </c>
      <c r="F1894">
        <v>152925.11569999999</v>
      </c>
      <c r="G1894" s="1">
        <v>2.2500000000000001E-5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0</v>
      </c>
      <c r="M1894" s="1">
        <f t="shared" si="119"/>
        <v>0</v>
      </c>
      <c r="N1894" s="1">
        <f t="shared" si="120"/>
        <v>0.14203918966619253</v>
      </c>
      <c r="O1894" s="1"/>
    </row>
    <row r="1895" spans="1:15" x14ac:dyDescent="0.25">
      <c r="A1895">
        <v>3594</v>
      </c>
      <c r="B1895">
        <v>311.10846750000002</v>
      </c>
      <c r="C1895">
        <v>0</v>
      </c>
      <c r="D1895">
        <v>682.37937380000005</v>
      </c>
      <c r="E1895">
        <v>0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0</v>
      </c>
      <c r="M1895" s="1">
        <f t="shared" si="119"/>
        <v>0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>
        <v>0</v>
      </c>
      <c r="D1896">
        <v>1117.1832910000001</v>
      </c>
      <c r="E1896">
        <v>0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0</v>
      </c>
      <c r="M1896" s="1">
        <f t="shared" si="119"/>
        <v>0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>
        <v>0</v>
      </c>
      <c r="D1897">
        <v>5136.748004</v>
      </c>
      <c r="E1897">
        <v>0</v>
      </c>
      <c r="F1897">
        <v>33728.999620000002</v>
      </c>
      <c r="G1897" s="1">
        <v>2.5799999999999999E-6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0</v>
      </c>
      <c r="M1897" s="1">
        <f t="shared" si="119"/>
        <v>0</v>
      </c>
      <c r="N1897" s="1">
        <f t="shared" si="120"/>
        <v>1.386298643603058E-2</v>
      </c>
      <c r="O1897" s="1"/>
    </row>
    <row r="1898" spans="1:15" x14ac:dyDescent="0.25">
      <c r="A1898">
        <v>3597</v>
      </c>
      <c r="B1898">
        <v>545.38952240000003</v>
      </c>
      <c r="C1898">
        <v>0</v>
      </c>
      <c r="D1898">
        <v>4573.0332060000001</v>
      </c>
      <c r="E1898">
        <v>0</v>
      </c>
      <c r="F1898">
        <v>10018.050869999999</v>
      </c>
      <c r="G1898" s="1">
        <v>-3.4000000000000001E-6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0</v>
      </c>
      <c r="M1898" s="1">
        <f t="shared" si="119"/>
        <v>0</v>
      </c>
      <c r="N1898" s="1">
        <f t="shared" si="12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 s="1">
        <v>-8.9999999999999995E-9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-1.46998896398991E-4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>
        <v>0</v>
      </c>
      <c r="D1901">
        <v>30829.268550000001</v>
      </c>
      <c r="E1901">
        <v>0</v>
      </c>
      <c r="F1901">
        <v>92006.719920000003</v>
      </c>
      <c r="G1901" s="1">
        <v>-3.2600000000000001E-6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0</v>
      </c>
      <c r="M1901" s="1">
        <f t="shared" si="119"/>
        <v>0</v>
      </c>
      <c r="N1901" s="1">
        <f t="shared" si="120"/>
        <v>-1.5404205128207289E-2</v>
      </c>
      <c r="O1901" s="1"/>
    </row>
    <row r="1902" spans="1:15" x14ac:dyDescent="0.25">
      <c r="A1902">
        <v>3601</v>
      </c>
      <c r="B1902">
        <v>4539.264682</v>
      </c>
      <c r="C1902">
        <v>0</v>
      </c>
      <c r="D1902">
        <v>44448.615429999998</v>
      </c>
      <c r="E1902">
        <v>0</v>
      </c>
      <c r="F1902">
        <v>102155.5042</v>
      </c>
      <c r="G1902" s="1">
        <v>2.0699999999999998E-5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0</v>
      </c>
      <c r="M1902" s="1">
        <f t="shared" si="119"/>
        <v>0</v>
      </c>
      <c r="N1902" s="1">
        <f t="shared" si="120"/>
        <v>0.12760070832318871</v>
      </c>
      <c r="O1902" s="1"/>
    </row>
    <row r="1903" spans="1:15" x14ac:dyDescent="0.25">
      <c r="A1903">
        <v>3602</v>
      </c>
      <c r="B1903">
        <v>20067.122950000001</v>
      </c>
      <c r="C1903">
        <v>0</v>
      </c>
      <c r="D1903">
        <v>38245.012369999997</v>
      </c>
      <c r="E1903">
        <v>0</v>
      </c>
      <c r="F1903">
        <v>94926.941330000001</v>
      </c>
      <c r="G1903" s="1">
        <v>3.5499999999999999E-6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</v>
      </c>
      <c r="M1903" s="1">
        <f t="shared" si="119"/>
        <v>0</v>
      </c>
      <c r="N1903" s="1">
        <f t="shared" si="12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>
        <v>0</v>
      </c>
      <c r="D1904">
        <v>29403.175149999999</v>
      </c>
      <c r="E1904">
        <v>0</v>
      </c>
      <c r="F1904">
        <v>69484.358689999994</v>
      </c>
      <c r="G1904" s="1">
        <v>2.7499999999999999E-6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0</v>
      </c>
      <c r="M1904" s="1">
        <f t="shared" si="119"/>
        <v>0</v>
      </c>
      <c r="N1904" s="1">
        <f t="shared" si="12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>
        <v>0</v>
      </c>
      <c r="D1905">
        <v>40213.505100000002</v>
      </c>
      <c r="E1905">
        <v>0</v>
      </c>
      <c r="F1905">
        <v>94859.986610000007</v>
      </c>
      <c r="G1905" s="1">
        <v>4.4700000000000004E-6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0</v>
      </c>
      <c r="M1905" s="1">
        <f t="shared" si="119"/>
        <v>0</v>
      </c>
      <c r="N1905" s="1">
        <f t="shared" si="12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>
        <v>0</v>
      </c>
      <c r="D1906">
        <v>801.11617360000002</v>
      </c>
      <c r="E1906">
        <v>0</v>
      </c>
      <c r="F1906">
        <v>1045.9956460000001</v>
      </c>
      <c r="G1906" s="1">
        <v>1E-8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0</v>
      </c>
      <c r="M1906" s="1">
        <f t="shared" si="119"/>
        <v>0</v>
      </c>
      <c r="N1906" s="1">
        <f t="shared" si="12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>
        <v>0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0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>
        <v>0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0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>
        <v>0</v>
      </c>
      <c r="D1911">
        <v>134.28261280000001</v>
      </c>
      <c r="E1911">
        <v>0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0</v>
      </c>
      <c r="M1911" s="1">
        <f t="shared" si="119"/>
        <v>0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>
        <v>0</v>
      </c>
      <c r="D1912">
        <v>432.04737060000002</v>
      </c>
      <c r="E1912">
        <v>0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0</v>
      </c>
      <c r="M1912" s="1">
        <f t="shared" si="119"/>
        <v>0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>
        <v>0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0</v>
      </c>
      <c r="M1913" s="1">
        <f t="shared" si="119"/>
        <v>0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>
        <v>0</v>
      </c>
      <c r="F1914">
        <v>312.38750779999998</v>
      </c>
      <c r="G1914" s="1">
        <v>-2E-8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0</v>
      </c>
      <c r="N1914" s="1">
        <f t="shared" si="120"/>
        <v>-3.9214919294568005E-4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>
        <v>0</v>
      </c>
      <c r="F1915">
        <v>3591.2922920000001</v>
      </c>
      <c r="G1915" s="1">
        <v>-4.7999999999999996E-7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0</v>
      </c>
      <c r="N1915" s="1">
        <f t="shared" si="120"/>
        <v>-7.3764884774577596E-3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>
        <v>0</v>
      </c>
      <c r="F1917">
        <v>140.85205199999999</v>
      </c>
      <c r="G1917" s="1">
        <v>-1E-8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0</v>
      </c>
      <c r="N1917" s="1">
        <f t="shared" si="120"/>
        <v>-1.1279811277293001E-4</v>
      </c>
      <c r="O1917" s="1"/>
    </row>
    <row r="1918" spans="1:15" x14ac:dyDescent="0.25">
      <c r="A1918">
        <v>3619</v>
      </c>
      <c r="B1918">
        <v>203.6372667</v>
      </c>
      <c r="C1918">
        <v>0</v>
      </c>
      <c r="D1918">
        <v>203.6372667</v>
      </c>
      <c r="E1918">
        <v>0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0</v>
      </c>
      <c r="M1918" s="1">
        <f t="shared" si="119"/>
        <v>0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>
        <v>0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0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>
        <v>0</v>
      </c>
      <c r="F1922">
        <v>140.85205199999999</v>
      </c>
      <c r="G1922" s="1">
        <v>-1E-8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0</v>
      </c>
      <c r="N1922" s="1">
        <f t="shared" si="12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0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>
        <v>0</v>
      </c>
      <c r="D1925">
        <v>149.49971310000001</v>
      </c>
      <c r="E1925">
        <v>0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0</v>
      </c>
      <c r="M1925" s="1">
        <f t="shared" si="123"/>
        <v>0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>
        <v>0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0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>
        <v>0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0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>
        <v>0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0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>
        <v>0</v>
      </c>
      <c r="F1929">
        <v>10666.243759999999</v>
      </c>
      <c r="G1929" s="1">
        <v>-4.87E-6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0</v>
      </c>
      <c r="N1929" s="1">
        <f t="shared" si="124"/>
        <v>-4.3147604333961156E-2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0</v>
      </c>
      <c r="M1930" s="1">
        <f t="shared" si="123"/>
        <v>0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0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>
        <v>0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0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>
        <v>0</v>
      </c>
      <c r="D1933">
        <v>3641.8366449999999</v>
      </c>
      <c r="E1933">
        <v>0</v>
      </c>
      <c r="F1933">
        <v>48950.656470000002</v>
      </c>
      <c r="G1933" s="1">
        <v>3.7100000000000001E-6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0</v>
      </c>
      <c r="M1933" s="1">
        <f t="shared" si="123"/>
        <v>0</v>
      </c>
      <c r="N1933" s="1">
        <f t="shared" si="124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>
        <v>0</v>
      </c>
      <c r="D1935">
        <v>134.28261280000001</v>
      </c>
      <c r="E1935">
        <v>0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0</v>
      </c>
      <c r="M1935" s="1">
        <f t="shared" si="123"/>
        <v>0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>
        <v>0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0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>
        <v>0</v>
      </c>
      <c r="D1938">
        <v>197.41513560000001</v>
      </c>
      <c r="E1938">
        <v>0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0</v>
      </c>
      <c r="M1938" s="1">
        <f t="shared" si="123"/>
        <v>0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>
        <v>0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0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>
        <v>0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0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>
        <v>0</v>
      </c>
      <c r="D1941">
        <v>751.20641160000002</v>
      </c>
      <c r="E1941">
        <v>0</v>
      </c>
      <c r="F1941">
        <v>16187.76345</v>
      </c>
      <c r="G1941" s="1">
        <v>-8.6600000000000005E-7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0</v>
      </c>
      <c r="M1941" s="1">
        <f t="shared" si="123"/>
        <v>0</v>
      </c>
      <c r="N1941" s="1">
        <f t="shared" si="124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>
        <v>0</v>
      </c>
      <c r="D1944">
        <v>842.0994991</v>
      </c>
      <c r="E1944">
        <v>0</v>
      </c>
      <c r="F1944">
        <v>37557.641490000002</v>
      </c>
      <c r="G1944" s="1">
        <v>3.4E-8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0</v>
      </c>
      <c r="M1944" s="1">
        <f t="shared" si="123"/>
        <v>0</v>
      </c>
      <c r="N1944" s="1">
        <f t="shared" si="124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>
        <v>0</v>
      </c>
      <c r="D1946">
        <v>609.53961749999996</v>
      </c>
      <c r="E1946">
        <v>0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0</v>
      </c>
      <c r="M1946" s="1">
        <f t="shared" si="123"/>
        <v>0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>
        <v>0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0</v>
      </c>
      <c r="M1948" s="1">
        <f t="shared" si="123"/>
        <v>0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>
        <v>0</v>
      </c>
      <c r="D1949">
        <v>411.29680389999999</v>
      </c>
      <c r="E1949">
        <v>0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0</v>
      </c>
      <c r="M1949" s="1">
        <f t="shared" si="123"/>
        <v>0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>
        <v>0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0</v>
      </c>
      <c r="M1950" s="1">
        <f t="shared" si="123"/>
        <v>0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>
        <v>0</v>
      </c>
      <c r="D1951">
        <v>302.64821189999998</v>
      </c>
      <c r="E1951">
        <v>0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0</v>
      </c>
      <c r="M1951" s="1">
        <f t="shared" si="123"/>
        <v>0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>
        <v>0</v>
      </c>
      <c r="D1952">
        <v>677.05326709999997</v>
      </c>
      <c r="E1952">
        <v>0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0</v>
      </c>
      <c r="M1952" s="1">
        <f t="shared" si="123"/>
        <v>0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 s="1">
        <v>-4.4099999999999999E-7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0</v>
      </c>
      <c r="N1956" s="1">
        <f t="shared" si="124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 s="1">
        <v>4.9999999999999998E-8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6.6893390794874996E-4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 s="1">
        <v>4.0000000000000001E-8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6.9632505462564008E-4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0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>
        <v>0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0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>
        <v>0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0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0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>
        <v>0</v>
      </c>
      <c r="D1964">
        <v>274.273189</v>
      </c>
      <c r="E1964">
        <v>0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0</v>
      </c>
      <c r="M1964" s="1">
        <f t="shared" si="123"/>
        <v>0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>
        <v>0</v>
      </c>
      <c r="D1965">
        <v>2761.2312919999999</v>
      </c>
      <c r="E1965">
        <v>0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0</v>
      </c>
      <c r="M1965" s="1">
        <f t="shared" si="123"/>
        <v>0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>
        <v>0</v>
      </c>
      <c r="D1966">
        <v>1392.5143680000001</v>
      </c>
      <c r="E1966">
        <v>0</v>
      </c>
      <c r="F1966">
        <v>6621.0178830000004</v>
      </c>
      <c r="G1966" s="1">
        <v>-2.8000000000000002E-7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0</v>
      </c>
      <c r="M1966" s="1">
        <f t="shared" si="123"/>
        <v>0</v>
      </c>
      <c r="N1966" s="1">
        <f t="shared" si="124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0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>
        <v>0</v>
      </c>
      <c r="D1970">
        <v>5944.2930660000002</v>
      </c>
      <c r="E1970">
        <v>0</v>
      </c>
      <c r="F1970">
        <v>15119.481379999999</v>
      </c>
      <c r="G1970" s="1">
        <v>-3.4199999999999999E-6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0</v>
      </c>
      <c r="M1970" s="1">
        <f t="shared" si="123"/>
        <v>0</v>
      </c>
      <c r="N1970" s="1">
        <f t="shared" si="124"/>
        <v>-2.8036038402443161E-2</v>
      </c>
      <c r="O1970" s="1"/>
    </row>
    <row r="1971" spans="1:15" x14ac:dyDescent="0.25">
      <c r="A1971">
        <v>3685</v>
      </c>
      <c r="B1971">
        <v>2276.8964040000001</v>
      </c>
      <c r="C1971">
        <v>0</v>
      </c>
      <c r="D1971">
        <v>6588.8339210000004</v>
      </c>
      <c r="E1971">
        <v>0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0</v>
      </c>
      <c r="M1971" s="1">
        <f t="shared" si="123"/>
        <v>0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>
        <v>0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0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>
        <v>0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0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>
        <v>0</v>
      </c>
      <c r="D1975">
        <v>5635.5083910000003</v>
      </c>
      <c r="E1975">
        <v>0</v>
      </c>
      <c r="F1975">
        <v>15193.975839999999</v>
      </c>
      <c r="G1975" s="1">
        <v>2.21E-6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0</v>
      </c>
      <c r="M1975" s="1">
        <f t="shared" si="123"/>
        <v>0</v>
      </c>
      <c r="N1975" s="1">
        <f t="shared" si="124"/>
        <v>2.7979846659877322E-2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>
        <v>0</v>
      </c>
      <c r="F1976">
        <v>14699.114670000001</v>
      </c>
      <c r="G1976" s="1">
        <v>-1.1999999999999999E-7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0</v>
      </c>
      <c r="M1976" s="1">
        <f t="shared" si="123"/>
        <v>0</v>
      </c>
      <c r="N1976" s="1">
        <f t="shared" si="124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>
        <v>0</v>
      </c>
      <c r="D1977">
        <v>13583.16023</v>
      </c>
      <c r="E1977">
        <v>0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0</v>
      </c>
      <c r="M1977" s="1">
        <f t="shared" si="123"/>
        <v>0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>
        <v>0</v>
      </c>
      <c r="D1978">
        <v>16444.679970000001</v>
      </c>
      <c r="E1978">
        <v>0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0</v>
      </c>
      <c r="M1978" s="1">
        <f t="shared" si="123"/>
        <v>0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>
        <v>0</v>
      </c>
      <c r="D1979">
        <v>15300.4925</v>
      </c>
      <c r="E1979">
        <v>0</v>
      </c>
      <c r="F1979">
        <v>44690.46615</v>
      </c>
      <c r="G1979" s="1">
        <v>2.7099999999999999E-6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0</v>
      </c>
      <c r="M1979" s="1">
        <f t="shared" si="123"/>
        <v>0</v>
      </c>
      <c r="N1979" s="1">
        <f t="shared" si="124"/>
        <v>6.9652271979201083E-3</v>
      </c>
      <c r="O1979" s="1"/>
    </row>
    <row r="1980" spans="1:15" x14ac:dyDescent="0.25">
      <c r="A1980">
        <v>3694</v>
      </c>
      <c r="B1980">
        <v>4191.8429610000003</v>
      </c>
      <c r="C1980">
        <v>0</v>
      </c>
      <c r="D1980">
        <v>14908.4377</v>
      </c>
      <c r="E1980">
        <v>0</v>
      </c>
      <c r="F1980">
        <v>42944.929259999997</v>
      </c>
      <c r="G1980" s="1">
        <v>-1.1000000000000001E-7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0</v>
      </c>
      <c r="M1980" s="1">
        <f t="shared" si="123"/>
        <v>0</v>
      </c>
      <c r="N1980" s="1">
        <f t="shared" si="124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>
        <v>0</v>
      </c>
      <c r="F1981">
        <v>19154.720679999999</v>
      </c>
      <c r="G1981" s="1">
        <v>-6.1999999999999999E-7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0</v>
      </c>
      <c r="N1981" s="1">
        <f t="shared" si="124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>
        <v>0</v>
      </c>
      <c r="D1982">
        <v>4615.6637620000001</v>
      </c>
      <c r="E1982">
        <v>0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0</v>
      </c>
      <c r="M1982" s="1">
        <f t="shared" si="123"/>
        <v>0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>
        <v>0</v>
      </c>
      <c r="D1983">
        <v>10273.310020000001</v>
      </c>
      <c r="E1983">
        <v>0</v>
      </c>
      <c r="F1983">
        <v>80442.656419999999</v>
      </c>
      <c r="G1983" s="1">
        <v>-3.05E-6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0</v>
      </c>
      <c r="M1983" s="1">
        <f t="shared" si="123"/>
        <v>0</v>
      </c>
      <c r="N1983" s="1">
        <f t="shared" si="124"/>
        <v>-1.066496770239036E-2</v>
      </c>
      <c r="O1983" s="1"/>
    </row>
    <row r="1984" spans="1:15" x14ac:dyDescent="0.25">
      <c r="A1984">
        <v>3711</v>
      </c>
      <c r="B1984">
        <v>5408.9806900000003</v>
      </c>
      <c r="C1984">
        <v>0</v>
      </c>
      <c r="D1984">
        <v>69783.901070000007</v>
      </c>
      <c r="E1984">
        <v>0</v>
      </c>
      <c r="F1984">
        <v>120012.5315</v>
      </c>
      <c r="G1984" s="1">
        <v>3.6199999999999999E-5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0</v>
      </c>
      <c r="M1984" s="1">
        <f t="shared" si="123"/>
        <v>0</v>
      </c>
      <c r="N1984" s="1">
        <f t="shared" si="124"/>
        <v>0.15568724462079803</v>
      </c>
      <c r="O1984" s="1"/>
    </row>
    <row r="1985" spans="1:15" x14ac:dyDescent="0.25">
      <c r="A1985">
        <v>3712</v>
      </c>
      <c r="B1985">
        <v>831.33247340000003</v>
      </c>
      <c r="C1985">
        <v>0</v>
      </c>
      <c r="D1985">
        <v>6872.9652889999998</v>
      </c>
      <c r="E1985">
        <v>0</v>
      </c>
      <c r="F1985">
        <v>42803.747750000002</v>
      </c>
      <c r="G1985" s="1">
        <v>-2.2400000000000002E-6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0</v>
      </c>
      <c r="M1985" s="1">
        <f t="shared" si="123"/>
        <v>0</v>
      </c>
      <c r="N1985" s="1">
        <f t="shared" si="124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>
        <v>0</v>
      </c>
      <c r="D1986">
        <v>8674.2014440000003</v>
      </c>
      <c r="E1986">
        <v>0</v>
      </c>
      <c r="F1986">
        <v>79780.729519999993</v>
      </c>
      <c r="G1986" s="1">
        <v>7.4600000000000004E-7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0</v>
      </c>
      <c r="M1986" s="1">
        <f t="shared" si="123"/>
        <v>0</v>
      </c>
      <c r="N1986" s="1">
        <f t="shared" si="124"/>
        <v>3.2488141849456942E-3</v>
      </c>
      <c r="O1986" s="1"/>
    </row>
    <row r="1987" spans="1:15" x14ac:dyDescent="0.25">
      <c r="A1987">
        <v>3714</v>
      </c>
      <c r="B1987">
        <v>5329.1927859999996</v>
      </c>
      <c r="C1987">
        <v>0</v>
      </c>
      <c r="D1987">
        <v>55427.275000000001</v>
      </c>
      <c r="E1987">
        <v>0</v>
      </c>
      <c r="F1987">
        <v>115039.8009</v>
      </c>
      <c r="G1987" s="1">
        <v>3.6300000000000001E-5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0</v>
      </c>
      <c r="M1987" s="1">
        <f t="shared" ref="M1987:M2050" si="127">$U$3*$K1987*E1987</f>
        <v>0</v>
      </c>
      <c r="N1987" s="1">
        <f t="shared" ref="N1987:N2050" si="128">$U$4*$K1987*G1987</f>
        <v>0.15291343870448582</v>
      </c>
      <c r="O1987" s="1"/>
    </row>
    <row r="1988" spans="1:15" x14ac:dyDescent="0.25">
      <c r="A1988">
        <v>3715</v>
      </c>
      <c r="B1988">
        <v>4625.130204</v>
      </c>
      <c r="C1988">
        <v>0</v>
      </c>
      <c r="D1988">
        <v>22706.137480000001</v>
      </c>
      <c r="E1988">
        <v>0</v>
      </c>
      <c r="F1988">
        <v>81595.086280000003</v>
      </c>
      <c r="G1988" s="1">
        <v>4.5900000000000001E-6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0</v>
      </c>
      <c r="M1988" s="1">
        <f t="shared" si="127"/>
        <v>0</v>
      </c>
      <c r="N1988" s="1">
        <f t="shared" si="128"/>
        <v>1.4461550201489395E-2</v>
      </c>
      <c r="O1988" s="1"/>
    </row>
    <row r="1989" spans="1:15" x14ac:dyDescent="0.25">
      <c r="A1989">
        <v>3716</v>
      </c>
      <c r="B1989">
        <v>2075.020892</v>
      </c>
      <c r="C1989">
        <v>0</v>
      </c>
      <c r="D1989">
        <v>20352.810229999999</v>
      </c>
      <c r="E1989">
        <v>0</v>
      </c>
      <c r="F1989">
        <v>78874.392569999996</v>
      </c>
      <c r="G1989" s="1">
        <v>-2.7099999999999999E-6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0</v>
      </c>
      <c r="M1989" s="1">
        <f t="shared" si="127"/>
        <v>0</v>
      </c>
      <c r="N1989" s="1">
        <f t="shared" si="128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>
        <v>0</v>
      </c>
      <c r="F1990">
        <v>50881.556550000001</v>
      </c>
      <c r="G1990" s="1">
        <v>3.0699999999999998E-6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0</v>
      </c>
      <c r="N1990" s="1">
        <f t="shared" si="128"/>
        <v>1.2972958558147975E-2</v>
      </c>
      <c r="O1990" s="1"/>
    </row>
    <row r="1991" spans="1:15" x14ac:dyDescent="0.25">
      <c r="A1991">
        <v>3718</v>
      </c>
      <c r="B1991">
        <v>3516.2503099999999</v>
      </c>
      <c r="C1991">
        <v>0</v>
      </c>
      <c r="D1991">
        <v>41593.40294</v>
      </c>
      <c r="E1991">
        <v>0</v>
      </c>
      <c r="F1991">
        <v>96848.039170000004</v>
      </c>
      <c r="G1991" s="1">
        <v>-4.2400000000000001E-6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0</v>
      </c>
      <c r="M1991" s="1">
        <f t="shared" si="127"/>
        <v>0</v>
      </c>
      <c r="N1991" s="1">
        <f t="shared" si="128"/>
        <v>-2.3159864824062241E-2</v>
      </c>
      <c r="O1991" s="1"/>
    </row>
    <row r="1992" spans="1:15" x14ac:dyDescent="0.25">
      <c r="A1992">
        <v>3723</v>
      </c>
      <c r="B1992">
        <v>1927.583742</v>
      </c>
      <c r="C1992">
        <v>0</v>
      </c>
      <c r="D1992">
        <v>10905.89041</v>
      </c>
      <c r="E1992">
        <v>0</v>
      </c>
      <c r="F1992">
        <v>51238.104630000002</v>
      </c>
      <c r="G1992" s="1">
        <v>4.4299999999999999E-6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0</v>
      </c>
      <c r="M1992" s="1">
        <f t="shared" si="127"/>
        <v>0</v>
      </c>
      <c r="N1992" s="1">
        <f t="shared" si="128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>
        <v>0</v>
      </c>
      <c r="F1993">
        <v>7143.3884029999999</v>
      </c>
      <c r="G1993" s="1">
        <v>5.8999999999999999E-8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0</v>
      </c>
      <c r="N1993" s="1">
        <f t="shared" si="128"/>
        <v>5.5364267643084604E-4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>
        <v>0</v>
      </c>
      <c r="F1994">
        <v>41534.405789999997</v>
      </c>
      <c r="G1994" s="1">
        <v>2.4099999999999998E-6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0</v>
      </c>
      <c r="M1994" s="1">
        <f t="shared" si="127"/>
        <v>0</v>
      </c>
      <c r="N1994" s="1">
        <f t="shared" si="128"/>
        <v>1.38879305728893E-2</v>
      </c>
      <c r="O1994" s="1"/>
    </row>
    <row r="1995" spans="1:15" x14ac:dyDescent="0.25">
      <c r="A1995">
        <v>3726</v>
      </c>
      <c r="B1995">
        <v>1543.920664</v>
      </c>
      <c r="C1995">
        <v>0</v>
      </c>
      <c r="D1995">
        <v>16911.683560000001</v>
      </c>
      <c r="E1995">
        <v>0</v>
      </c>
      <c r="F1995">
        <v>55761.423060000001</v>
      </c>
      <c r="G1995" s="1">
        <v>3.63E-6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0</v>
      </c>
      <c r="M1995" s="1">
        <f t="shared" si="127"/>
        <v>0</v>
      </c>
      <c r="N1995" s="1">
        <f t="shared" si="128"/>
        <v>1.2982206280405528E-2</v>
      </c>
      <c r="O1995" s="1"/>
    </row>
    <row r="1996" spans="1:15" x14ac:dyDescent="0.25">
      <c r="A1996">
        <v>3727</v>
      </c>
      <c r="B1996">
        <v>2270.3688769999999</v>
      </c>
      <c r="C1996">
        <v>0</v>
      </c>
      <c r="D1996">
        <v>7430.5338019999999</v>
      </c>
      <c r="E1996">
        <v>0</v>
      </c>
      <c r="F1996">
        <v>44338.56897</v>
      </c>
      <c r="G1996" s="1">
        <v>2.52E-6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0</v>
      </c>
      <c r="M1996" s="1">
        <f t="shared" si="127"/>
        <v>0</v>
      </c>
      <c r="N1996" s="1">
        <f t="shared" si="128"/>
        <v>1.13080983719886E-2</v>
      </c>
      <c r="O1996" s="1"/>
    </row>
    <row r="1997" spans="1:15" x14ac:dyDescent="0.25">
      <c r="A1997">
        <v>3728</v>
      </c>
      <c r="B1997">
        <v>2390.8236350000002</v>
      </c>
      <c r="C1997">
        <v>0</v>
      </c>
      <c r="D1997">
        <v>5500.6115179999997</v>
      </c>
      <c r="E1997">
        <v>0</v>
      </c>
      <c r="F1997">
        <v>48088.135479999997</v>
      </c>
      <c r="G1997" s="1">
        <v>-5.6599999999999996E-7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0</v>
      </c>
      <c r="M1997" s="1">
        <f t="shared" si="127"/>
        <v>0</v>
      </c>
      <c r="N1997" s="1">
        <f t="shared" si="128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>
        <v>0</v>
      </c>
      <c r="D1998">
        <v>6874.3917499999998</v>
      </c>
      <c r="E1998">
        <v>0</v>
      </c>
      <c r="F1998">
        <v>40310.130360000003</v>
      </c>
      <c r="G1998" s="1">
        <v>-1.4100000000000001E-6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0</v>
      </c>
      <c r="M1998" s="1">
        <f t="shared" si="127"/>
        <v>0</v>
      </c>
      <c r="N1998" s="1">
        <f t="shared" si="128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>
        <v>0</v>
      </c>
      <c r="F1999">
        <v>5410.9007899999997</v>
      </c>
      <c r="G1999" s="1">
        <v>1.9000000000000001E-8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0</v>
      </c>
      <c r="N1999" s="1">
        <f t="shared" si="128"/>
        <v>2.2747431902999404E-4</v>
      </c>
      <c r="O1999" s="1"/>
    </row>
    <row r="2000" spans="1:15" x14ac:dyDescent="0.25">
      <c r="A2000">
        <v>3731</v>
      </c>
      <c r="B2000">
        <v>1702.3332680000001</v>
      </c>
      <c r="C2000">
        <v>0</v>
      </c>
      <c r="D2000">
        <v>5229.4803259999999</v>
      </c>
      <c r="E2000">
        <v>0</v>
      </c>
      <c r="F2000">
        <v>53248.200389999998</v>
      </c>
      <c r="G2000" s="1">
        <v>1.1799999999999999E-6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0</v>
      </c>
      <c r="M2000" s="1">
        <f t="shared" si="127"/>
        <v>0</v>
      </c>
      <c r="N2000" s="1">
        <f t="shared" si="128"/>
        <v>3.0399788006887861E-3</v>
      </c>
      <c r="O2000" s="1"/>
    </row>
    <row r="2001" spans="1:15" x14ac:dyDescent="0.25">
      <c r="A2001">
        <v>3732</v>
      </c>
      <c r="B2001">
        <v>2286.9319930000001</v>
      </c>
      <c r="C2001">
        <v>0</v>
      </c>
      <c r="D2001">
        <v>5277.6207889999996</v>
      </c>
      <c r="E2001">
        <v>0</v>
      </c>
      <c r="F2001">
        <v>61884.578509999999</v>
      </c>
      <c r="G2001" s="1">
        <v>-2.7599999999999998E-6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0</v>
      </c>
      <c r="M2001" s="1">
        <f t="shared" si="127"/>
        <v>0</v>
      </c>
      <c r="N2001" s="1">
        <f t="shared" si="128"/>
        <v>-6.498362395804572E-3</v>
      </c>
      <c r="O2001" s="1"/>
    </row>
    <row r="2002" spans="1:15" x14ac:dyDescent="0.25">
      <c r="A2002">
        <v>3800</v>
      </c>
      <c r="B2002">
        <v>12115.327439999999</v>
      </c>
      <c r="C2002">
        <v>0</v>
      </c>
      <c r="D2002">
        <v>39776.40408</v>
      </c>
      <c r="E2002">
        <v>0</v>
      </c>
      <c r="F2002">
        <v>85200.091790000006</v>
      </c>
      <c r="G2002" s="1">
        <v>-3.5999999999999998E-6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0</v>
      </c>
      <c r="M2002" s="1">
        <f t="shared" si="127"/>
        <v>0</v>
      </c>
      <c r="N2002" s="1">
        <f t="shared" si="128"/>
        <v>-2.125232947719E-2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>
        <v>0</v>
      </c>
      <c r="F2003">
        <v>142324.092</v>
      </c>
      <c r="G2003" s="1">
        <v>-4.2400000000000001E-5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0</v>
      </c>
      <c r="M2003" s="1">
        <f t="shared" si="127"/>
        <v>0</v>
      </c>
      <c r="N2003" s="1">
        <f t="shared" si="128"/>
        <v>-0.21439062697036873</v>
      </c>
      <c r="O2003" s="1"/>
    </row>
    <row r="2004" spans="1:15" x14ac:dyDescent="0.25">
      <c r="A2004">
        <v>3802</v>
      </c>
      <c r="B2004">
        <v>4450.6611249999996</v>
      </c>
      <c r="C2004">
        <v>0</v>
      </c>
      <c r="D2004">
        <v>35570.395170000003</v>
      </c>
      <c r="E2004">
        <v>0</v>
      </c>
      <c r="F2004">
        <v>66861.955130000002</v>
      </c>
      <c r="G2004" s="1">
        <v>4.51E-6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0</v>
      </c>
      <c r="M2004" s="1">
        <f t="shared" si="127"/>
        <v>0</v>
      </c>
      <c r="N2004" s="1">
        <f t="shared" si="128"/>
        <v>1.9712082933808779E-2</v>
      </c>
      <c r="O2004" s="1"/>
    </row>
    <row r="2005" spans="1:15" x14ac:dyDescent="0.25">
      <c r="A2005">
        <v>3803</v>
      </c>
      <c r="B2005">
        <v>3178.0593389999999</v>
      </c>
      <c r="C2005">
        <v>0</v>
      </c>
      <c r="D2005">
        <v>27047.288349999999</v>
      </c>
      <c r="E2005">
        <v>0</v>
      </c>
      <c r="F2005">
        <v>63258.768580000004</v>
      </c>
      <c r="G2005" s="1">
        <v>9.1399999999999995E-7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0</v>
      </c>
      <c r="M2005" s="1">
        <f t="shared" si="127"/>
        <v>0</v>
      </c>
      <c r="N2005" s="1">
        <f t="shared" si="128"/>
        <v>5.5739580023308503E-3</v>
      </c>
      <c r="O2005" s="1"/>
    </row>
    <row r="2006" spans="1:15" x14ac:dyDescent="0.25">
      <c r="A2006">
        <v>3804</v>
      </c>
      <c r="B2006">
        <v>1362.475269</v>
      </c>
      <c r="C2006">
        <v>0</v>
      </c>
      <c r="D2006">
        <v>25994.047839999999</v>
      </c>
      <c r="E2006">
        <v>0</v>
      </c>
      <c r="F2006">
        <v>67779.270759999999</v>
      </c>
      <c r="G2006" s="1">
        <v>-6.1600000000000001E-7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0</v>
      </c>
      <c r="M2006" s="1">
        <f t="shared" si="127"/>
        <v>0</v>
      </c>
      <c r="N2006" s="1">
        <f t="shared" si="128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>
        <v>0</v>
      </c>
      <c r="D2007">
        <v>16956.09201</v>
      </c>
      <c r="E2007">
        <v>0</v>
      </c>
      <c r="F2007">
        <v>58288.568319999998</v>
      </c>
      <c r="G2007" s="1">
        <v>4.9699999999999998E-6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0</v>
      </c>
      <c r="M2007" s="1">
        <f t="shared" si="127"/>
        <v>0</v>
      </c>
      <c r="N2007" s="1">
        <f t="shared" si="128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 s="1">
        <v>-3.18E-6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0</v>
      </c>
      <c r="N2008" s="1">
        <f t="shared" si="128"/>
        <v>-3.723458385751921E-2</v>
      </c>
      <c r="O2008" s="1"/>
    </row>
    <row r="2009" spans="1:15" x14ac:dyDescent="0.25">
      <c r="A2009">
        <v>3809</v>
      </c>
      <c r="B2009">
        <v>5634.0293920000004</v>
      </c>
      <c r="C2009">
        <v>0</v>
      </c>
      <c r="D2009">
        <v>33998.768029999999</v>
      </c>
      <c r="E2009">
        <v>0</v>
      </c>
      <c r="F2009">
        <v>76043.035759999999</v>
      </c>
      <c r="G2009" s="1">
        <v>1.4699999999999999E-6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0</v>
      </c>
      <c r="M2009" s="1">
        <f t="shared" si="127"/>
        <v>0</v>
      </c>
      <c r="N2009" s="1">
        <f t="shared" si="128"/>
        <v>5.3724431676205713E-3</v>
      </c>
      <c r="O2009" s="1"/>
    </row>
    <row r="2010" spans="1:15" x14ac:dyDescent="0.25">
      <c r="A2010">
        <v>3810</v>
      </c>
      <c r="B2010">
        <v>4924.8656730000002</v>
      </c>
      <c r="C2010">
        <v>0</v>
      </c>
      <c r="D2010">
        <v>35988.31508</v>
      </c>
      <c r="E2010">
        <v>0</v>
      </c>
      <c r="F2010">
        <v>87355.914019999997</v>
      </c>
      <c r="G2010" s="1">
        <v>3.2799999999999999E-6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0</v>
      </c>
      <c r="M2010" s="1">
        <f t="shared" si="127"/>
        <v>0</v>
      </c>
      <c r="N2010" s="1">
        <f t="shared" si="128"/>
        <v>4.0120242348073681E-2</v>
      </c>
      <c r="O2010" s="1"/>
    </row>
    <row r="2011" spans="1:15" x14ac:dyDescent="0.25">
      <c r="A2011">
        <v>3811</v>
      </c>
      <c r="B2011">
        <v>16383.806930000001</v>
      </c>
      <c r="C2011">
        <v>0</v>
      </c>
      <c r="D2011">
        <v>54090.267180000003</v>
      </c>
      <c r="E2011">
        <v>0</v>
      </c>
      <c r="F2011">
        <v>135928.36689999999</v>
      </c>
      <c r="G2011" s="1">
        <v>-3.9900000000000001E-5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0</v>
      </c>
      <c r="M2011" s="1">
        <f t="shared" si="127"/>
        <v>0</v>
      </c>
      <c r="N2011" s="1">
        <f t="shared" si="128"/>
        <v>-0.19776770655085588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>
        <v>0</v>
      </c>
      <c r="F2012">
        <v>123085.13679999999</v>
      </c>
      <c r="G2012" s="1">
        <v>1.9700000000000001E-5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0</v>
      </c>
      <c r="M2012" s="1">
        <f t="shared" si="127"/>
        <v>0</v>
      </c>
      <c r="N2012" s="1">
        <f t="shared" si="128"/>
        <v>0.11910322625292842</v>
      </c>
      <c r="O2012" s="1"/>
    </row>
    <row r="2013" spans="1:15" x14ac:dyDescent="0.25">
      <c r="A2013">
        <v>3813</v>
      </c>
      <c r="B2013">
        <v>25523.710780000001</v>
      </c>
      <c r="C2013">
        <v>0</v>
      </c>
      <c r="D2013">
        <v>57415.618240000003</v>
      </c>
      <c r="E2013">
        <v>0</v>
      </c>
      <c r="F2013">
        <v>142775.71359999999</v>
      </c>
      <c r="G2013" s="1">
        <v>4.1100000000000003E-5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0</v>
      </c>
      <c r="M2013" s="1">
        <f t="shared" si="127"/>
        <v>0</v>
      </c>
      <c r="N2013" s="1">
        <f t="shared" si="128"/>
        <v>6.3461824913746176E-2</v>
      </c>
      <c r="O2013" s="1"/>
    </row>
    <row r="2014" spans="1:15" x14ac:dyDescent="0.25">
      <c r="A2014">
        <v>3814</v>
      </c>
      <c r="B2014">
        <v>14923.968860000001</v>
      </c>
      <c r="C2014">
        <v>0</v>
      </c>
      <c r="D2014">
        <v>45080.536480000002</v>
      </c>
      <c r="E2014">
        <v>0</v>
      </c>
      <c r="F2014">
        <v>116601.14509999999</v>
      </c>
      <c r="G2014" s="1">
        <v>3.1699999999999998E-5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0</v>
      </c>
      <c r="M2014" s="1">
        <f t="shared" si="127"/>
        <v>0</v>
      </c>
      <c r="N2014" s="1">
        <f t="shared" si="128"/>
        <v>0.14326925772319279</v>
      </c>
      <c r="O2014" s="1"/>
    </row>
    <row r="2015" spans="1:15" x14ac:dyDescent="0.25">
      <c r="A2015">
        <v>3815</v>
      </c>
      <c r="B2015">
        <v>12381.820970000001</v>
      </c>
      <c r="C2015">
        <v>0</v>
      </c>
      <c r="D2015">
        <v>60479.551160000003</v>
      </c>
      <c r="E2015">
        <v>0</v>
      </c>
      <c r="F2015">
        <v>140683.6974</v>
      </c>
      <c r="G2015" s="1">
        <v>-7.0700000000000001E-6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</v>
      </c>
      <c r="M2015" s="1">
        <f t="shared" si="127"/>
        <v>0</v>
      </c>
      <c r="N2015" s="1">
        <f t="shared" si="128"/>
        <v>-3.335488225818322E-2</v>
      </c>
      <c r="O2015" s="1"/>
    </row>
    <row r="2016" spans="1:15" x14ac:dyDescent="0.25">
      <c r="A2016">
        <v>3816</v>
      </c>
      <c r="B2016">
        <v>4534.1644500000002</v>
      </c>
      <c r="C2016">
        <v>0</v>
      </c>
      <c r="D2016">
        <v>27856.615379999999</v>
      </c>
      <c r="E2016">
        <v>0</v>
      </c>
      <c r="F2016">
        <v>58738.499669999997</v>
      </c>
      <c r="G2016" s="1">
        <v>-3.6899999999999998E-6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0</v>
      </c>
      <c r="M2016" s="1">
        <f t="shared" si="127"/>
        <v>0</v>
      </c>
      <c r="N2016" s="1">
        <f t="shared" si="128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3.765452840964361E-2</v>
      </c>
      <c r="O2017" s="1"/>
    </row>
    <row r="2018" spans="1:15" x14ac:dyDescent="0.25">
      <c r="A2018">
        <v>3818</v>
      </c>
      <c r="B2018">
        <v>7305.6637179999998</v>
      </c>
      <c r="C2018">
        <v>0</v>
      </c>
      <c r="D2018">
        <v>28702.845020000001</v>
      </c>
      <c r="E2018">
        <v>0</v>
      </c>
      <c r="F2018">
        <v>65960.947799999994</v>
      </c>
      <c r="G2018" s="1">
        <v>-4.0899999999999998E-6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0</v>
      </c>
      <c r="M2018" s="1">
        <f t="shared" si="127"/>
        <v>0</v>
      </c>
      <c r="N2018" s="1">
        <f t="shared" si="128"/>
        <v>-1.5779112090984385E-2</v>
      </c>
      <c r="O2018" s="1"/>
    </row>
    <row r="2019" spans="1:15" x14ac:dyDescent="0.25">
      <c r="A2019">
        <v>3819</v>
      </c>
      <c r="B2019">
        <v>1215.768705</v>
      </c>
      <c r="C2019">
        <v>0</v>
      </c>
      <c r="D2019">
        <v>21531.945950000001</v>
      </c>
      <c r="E2019">
        <v>0</v>
      </c>
      <c r="F2019">
        <v>61623.177369999998</v>
      </c>
      <c r="G2019" s="1">
        <v>2.9100000000000001E-6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0</v>
      </c>
      <c r="M2019" s="1">
        <f t="shared" si="127"/>
        <v>0</v>
      </c>
      <c r="N2019" s="1">
        <f t="shared" si="128"/>
        <v>1.0908447741409959E-2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>
        <v>0</v>
      </c>
      <c r="F2020">
        <v>64648.230049999998</v>
      </c>
      <c r="G2020" s="1">
        <v>1.81E-6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0</v>
      </c>
      <c r="M2020" s="1">
        <f t="shared" si="127"/>
        <v>0</v>
      </c>
      <c r="N2020" s="1">
        <f t="shared" si="128"/>
        <v>1.0028621753183793E-2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>
        <v>0</v>
      </c>
      <c r="F2021">
        <v>48844.186600000001</v>
      </c>
      <c r="G2021" s="1">
        <v>-9.5999999999999999E-8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0</v>
      </c>
      <c r="N2021" s="1">
        <f t="shared" si="128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>
        <v>0</v>
      </c>
      <c r="F2022">
        <v>16392.955620000001</v>
      </c>
      <c r="G2022" s="1">
        <v>-1.22E-6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0</v>
      </c>
      <c r="N2022" s="1">
        <f t="shared" si="128"/>
        <v>-3.204108621501324E-2</v>
      </c>
      <c r="O2022" s="1"/>
    </row>
    <row r="2023" spans="1:15" x14ac:dyDescent="0.25">
      <c r="A2023">
        <v>3825</v>
      </c>
      <c r="B2023">
        <v>1269.197492</v>
      </c>
      <c r="C2023">
        <v>0</v>
      </c>
      <c r="D2023">
        <v>8261.7349610000001</v>
      </c>
      <c r="E2023">
        <v>0</v>
      </c>
      <c r="F2023">
        <v>58398.052069999998</v>
      </c>
      <c r="G2023" s="1">
        <v>-1.6899999999999999E-6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0</v>
      </c>
      <c r="M2023" s="1">
        <f t="shared" si="127"/>
        <v>0</v>
      </c>
      <c r="N2023" s="1">
        <f t="shared" si="128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>
        <v>0</v>
      </c>
      <c r="F2024">
        <v>64316.909420000004</v>
      </c>
      <c r="G2024" s="1">
        <v>-8.0599999999999999E-7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0</v>
      </c>
      <c r="N2024" s="1">
        <f t="shared" si="128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>
        <v>0</v>
      </c>
      <c r="F2025">
        <v>339867.5833</v>
      </c>
      <c r="G2025" s="1">
        <v>3.6000000000000001E-5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0</v>
      </c>
      <c r="N2025" s="1">
        <f t="shared" si="128"/>
        <v>0.27685260883742402</v>
      </c>
      <c r="O2025" s="1"/>
    </row>
    <row r="2026" spans="1:15" x14ac:dyDescent="0.25">
      <c r="A2026">
        <v>3828</v>
      </c>
      <c r="B2026">
        <v>1269.197492</v>
      </c>
      <c r="C2026">
        <v>0</v>
      </c>
      <c r="D2026">
        <v>7062.9139459999997</v>
      </c>
      <c r="E2026">
        <v>0</v>
      </c>
      <c r="F2026">
        <v>49101.02923</v>
      </c>
      <c r="G2026" s="1">
        <v>-3.5499999999999999E-6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0</v>
      </c>
      <c r="M2026" s="1">
        <f t="shared" si="127"/>
        <v>0</v>
      </c>
      <c r="N2026" s="1">
        <f t="shared" si="128"/>
        <v>-1.5975059842285037E-2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>
        <v>0</v>
      </c>
      <c r="F2028">
        <v>223231.94500000001</v>
      </c>
      <c r="G2028" s="1">
        <v>4.88E-5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0</v>
      </c>
      <c r="M2028" s="1">
        <f t="shared" si="127"/>
        <v>0</v>
      </c>
      <c r="N2028" s="1">
        <f t="shared" si="128"/>
        <v>3.0218780015168638E-2</v>
      </c>
      <c r="O2028" s="1"/>
    </row>
    <row r="2029" spans="1:15" x14ac:dyDescent="0.25">
      <c r="A2029">
        <v>3832</v>
      </c>
      <c r="B2029">
        <v>25195.28066</v>
      </c>
      <c r="C2029">
        <v>0</v>
      </c>
      <c r="D2029">
        <v>64736.990510000003</v>
      </c>
      <c r="E2029">
        <v>0</v>
      </c>
      <c r="F2029">
        <v>208715.54149999999</v>
      </c>
      <c r="G2029" s="1">
        <v>3.79E-5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0</v>
      </c>
      <c r="M2029" s="1">
        <f t="shared" si="127"/>
        <v>0</v>
      </c>
      <c r="N2029" s="1">
        <f t="shared" si="128"/>
        <v>1.3664592992137157E-2</v>
      </c>
      <c r="O2029" s="1"/>
    </row>
    <row r="2030" spans="1:15" x14ac:dyDescent="0.25">
      <c r="A2030">
        <v>3833</v>
      </c>
      <c r="B2030">
        <v>995.22965910000005</v>
      </c>
      <c r="C2030">
        <v>0</v>
      </c>
      <c r="D2030">
        <v>31574.758839999999</v>
      </c>
      <c r="E2030">
        <v>0</v>
      </c>
      <c r="F2030">
        <v>86145.088470000002</v>
      </c>
      <c r="G2030" s="1">
        <v>2.5399999999999998E-6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0</v>
      </c>
      <c r="M2030" s="1">
        <f t="shared" si="127"/>
        <v>0</v>
      </c>
      <c r="N2030" s="1">
        <f t="shared" si="128"/>
        <v>1.797827725139238E-2</v>
      </c>
      <c r="O2030" s="1"/>
    </row>
    <row r="2031" spans="1:15" x14ac:dyDescent="0.25">
      <c r="A2031">
        <v>3834</v>
      </c>
      <c r="B2031">
        <v>11679.33915</v>
      </c>
      <c r="C2031">
        <v>0</v>
      </c>
      <c r="D2031">
        <v>27217.802510000001</v>
      </c>
      <c r="E2031">
        <v>0</v>
      </c>
      <c r="F2031">
        <v>68717.481849999996</v>
      </c>
      <c r="G2031" s="1">
        <v>-4.7700000000000001E-6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0</v>
      </c>
      <c r="M2031" s="1">
        <f t="shared" si="127"/>
        <v>0</v>
      </c>
      <c r="N2031" s="1">
        <f t="shared" si="128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>
        <v>0</v>
      </c>
      <c r="D2032">
        <v>40940.174460000002</v>
      </c>
      <c r="E2032">
        <v>0</v>
      </c>
      <c r="F2032">
        <v>129539.1505</v>
      </c>
      <c r="G2032" s="1">
        <v>9.9699999999999994E-6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0</v>
      </c>
      <c r="M2032" s="1">
        <f t="shared" si="127"/>
        <v>0</v>
      </c>
      <c r="N2032" s="1">
        <f t="shared" si="128"/>
        <v>4.8734230093252839E-2</v>
      </c>
      <c r="O2032" s="1"/>
    </row>
    <row r="2033" spans="1:15" x14ac:dyDescent="0.25">
      <c r="A2033">
        <v>3836</v>
      </c>
      <c r="B2033">
        <v>21184.141159999999</v>
      </c>
      <c r="C2033">
        <v>0</v>
      </c>
      <c r="D2033">
        <v>31183.466789999999</v>
      </c>
      <c r="E2033">
        <v>0</v>
      </c>
      <c r="F2033">
        <v>88142.243220000004</v>
      </c>
      <c r="G2033" s="1">
        <v>1.75E-6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0</v>
      </c>
      <c r="M2033" s="1">
        <f t="shared" si="127"/>
        <v>0</v>
      </c>
      <c r="N2033" s="1">
        <f t="shared" si="128"/>
        <v>8.7851396222876996E-3</v>
      </c>
      <c r="O2033" s="1"/>
    </row>
    <row r="2034" spans="1:15" x14ac:dyDescent="0.25">
      <c r="A2034">
        <v>3837</v>
      </c>
      <c r="B2034">
        <v>30888.133290000002</v>
      </c>
      <c r="C2034">
        <v>0</v>
      </c>
      <c r="D2034">
        <v>93012.505170000004</v>
      </c>
      <c r="E2034">
        <v>0</v>
      </c>
      <c r="F2034">
        <v>309867.95860000001</v>
      </c>
      <c r="G2034" s="1">
        <v>1.5299999999999999E-5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0</v>
      </c>
      <c r="M2034" s="1">
        <f t="shared" si="127"/>
        <v>0</v>
      </c>
      <c r="N2034" s="1">
        <f t="shared" si="128"/>
        <v>1.1965845583266301E-2</v>
      </c>
      <c r="O2034" s="1"/>
    </row>
    <row r="2035" spans="1:15" x14ac:dyDescent="0.25">
      <c r="A2035">
        <v>3838</v>
      </c>
      <c r="B2035">
        <v>26421.602999999999</v>
      </c>
      <c r="C2035">
        <v>0</v>
      </c>
      <c r="D2035">
        <v>64486.857989999997</v>
      </c>
      <c r="E2035">
        <v>0</v>
      </c>
      <c r="F2035">
        <v>164695.08559999999</v>
      </c>
      <c r="G2035" s="1">
        <v>-4.2799999999999997E-5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0</v>
      </c>
      <c r="M2035" s="1">
        <f t="shared" si="127"/>
        <v>0</v>
      </c>
      <c r="N2035" s="1">
        <f t="shared" si="128"/>
        <v>-6.7676236669827708E-2</v>
      </c>
      <c r="O2035" s="1"/>
    </row>
    <row r="2036" spans="1:15" x14ac:dyDescent="0.25">
      <c r="A2036">
        <v>3839</v>
      </c>
      <c r="B2036">
        <v>28623.94886</v>
      </c>
      <c r="C2036">
        <v>0</v>
      </c>
      <c r="D2036">
        <v>102368.4874</v>
      </c>
      <c r="E2036">
        <v>0</v>
      </c>
      <c r="F2036">
        <v>249974.97099999999</v>
      </c>
      <c r="G2036" s="1">
        <v>2.0599999999999999E-5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0</v>
      </c>
      <c r="M2036" s="1">
        <f t="shared" si="127"/>
        <v>0</v>
      </c>
      <c r="N2036" s="1">
        <f t="shared" si="128"/>
        <v>2.9183483205333899E-2</v>
      </c>
      <c r="O2036" s="1"/>
    </row>
    <row r="2037" spans="1:15" x14ac:dyDescent="0.25">
      <c r="A2037">
        <v>3840</v>
      </c>
      <c r="B2037">
        <v>9251.1451859999997</v>
      </c>
      <c r="C2037">
        <v>0</v>
      </c>
      <c r="D2037">
        <v>43928.313430000002</v>
      </c>
      <c r="E2037">
        <v>0</v>
      </c>
      <c r="F2037">
        <v>159424.6827</v>
      </c>
      <c r="G2037" s="1">
        <v>3.1399999999999998E-5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0</v>
      </c>
      <c r="M2037" s="1">
        <f t="shared" si="127"/>
        <v>0</v>
      </c>
      <c r="N2037" s="1">
        <f t="shared" si="128"/>
        <v>0.21698169500174999</v>
      </c>
      <c r="O2037" s="1"/>
    </row>
    <row r="2038" spans="1:15" x14ac:dyDescent="0.25">
      <c r="A2038">
        <v>3841</v>
      </c>
      <c r="B2038">
        <v>31625.321489999998</v>
      </c>
      <c r="C2038">
        <v>0</v>
      </c>
      <c r="D2038">
        <v>103586.3803</v>
      </c>
      <c r="E2038">
        <v>0</v>
      </c>
      <c r="F2038">
        <v>278036.22619999998</v>
      </c>
      <c r="G2038" s="1">
        <v>2.8500000000000002E-5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0</v>
      </c>
      <c r="M2038" s="1">
        <f t="shared" si="127"/>
        <v>0</v>
      </c>
      <c r="N2038" s="1">
        <f t="shared" si="128"/>
        <v>1.8353252096208455E-2</v>
      </c>
      <c r="O2038" s="1"/>
    </row>
    <row r="2039" spans="1:15" x14ac:dyDescent="0.25">
      <c r="A2039">
        <v>3842</v>
      </c>
      <c r="B2039">
        <v>24190.272099999998</v>
      </c>
      <c r="C2039">
        <v>0</v>
      </c>
      <c r="D2039">
        <v>53495.309950000003</v>
      </c>
      <c r="E2039">
        <v>0</v>
      </c>
      <c r="F2039">
        <v>136563.3314</v>
      </c>
      <c r="G2039" s="1">
        <v>2.3E-5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0</v>
      </c>
      <c r="M2039" s="1">
        <f t="shared" si="127"/>
        <v>0</v>
      </c>
      <c r="N2039" s="1">
        <f t="shared" si="128"/>
        <v>0.15685916591949001</v>
      </c>
      <c r="O2039" s="1"/>
    </row>
    <row r="2040" spans="1:15" x14ac:dyDescent="0.25">
      <c r="A2040">
        <v>3843</v>
      </c>
      <c r="B2040">
        <v>42697.353210000001</v>
      </c>
      <c r="C2040">
        <v>0</v>
      </c>
      <c r="D2040">
        <v>132422.77489999999</v>
      </c>
      <c r="E2040">
        <v>0</v>
      </c>
      <c r="F2040">
        <v>323163.52970000001</v>
      </c>
      <c r="G2040" s="1">
        <v>2.5599999999999999E-5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0</v>
      </c>
      <c r="M2040" s="1">
        <f t="shared" si="127"/>
        <v>0</v>
      </c>
      <c r="N2040" s="1">
        <f t="shared" si="128"/>
        <v>3.458229959356416E-2</v>
      </c>
      <c r="O2040" s="1"/>
    </row>
    <row r="2041" spans="1:15" x14ac:dyDescent="0.25">
      <c r="A2041">
        <v>3844</v>
      </c>
      <c r="B2041">
        <v>21278.181120000001</v>
      </c>
      <c r="C2041">
        <v>0</v>
      </c>
      <c r="D2041">
        <v>50658.0049</v>
      </c>
      <c r="E2041">
        <v>0</v>
      </c>
      <c r="F2041">
        <v>125953.5812</v>
      </c>
      <c r="G2041" s="1">
        <v>4.5500000000000001E-5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0</v>
      </c>
      <c r="M2041" s="1">
        <f t="shared" si="127"/>
        <v>0</v>
      </c>
      <c r="N2041" s="1">
        <f t="shared" si="128"/>
        <v>8.2482880348104595E-2</v>
      </c>
      <c r="O2041" s="1"/>
    </row>
    <row r="2042" spans="1:15" x14ac:dyDescent="0.25">
      <c r="A2042">
        <v>3845</v>
      </c>
      <c r="B2042">
        <v>26239.868310000002</v>
      </c>
      <c r="C2042">
        <v>0</v>
      </c>
      <c r="D2042">
        <v>86587.990940000003</v>
      </c>
      <c r="E2042">
        <v>0</v>
      </c>
      <c r="F2042">
        <v>218913.89139999999</v>
      </c>
      <c r="G2042" s="1">
        <v>-2.9600000000000001E-5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0</v>
      </c>
      <c r="M2042" s="1">
        <f t="shared" si="127"/>
        <v>0</v>
      </c>
      <c r="N2042" s="1">
        <f t="shared" si="128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>
        <v>0</v>
      </c>
      <c r="F2043">
        <v>111723.8995</v>
      </c>
      <c r="G2043" s="1">
        <v>-4.2400000000000001E-5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0</v>
      </c>
      <c r="M2043" s="1">
        <f t="shared" si="127"/>
        <v>0</v>
      </c>
      <c r="N2043" s="1">
        <f t="shared" si="128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>
        <v>0</v>
      </c>
      <c r="D2044">
        <v>50934.717989999997</v>
      </c>
      <c r="E2044">
        <v>0</v>
      </c>
      <c r="F2044">
        <v>123796.58</v>
      </c>
      <c r="G2044" s="1">
        <v>2.3099999999999999E-5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0</v>
      </c>
      <c r="M2044" s="1">
        <f t="shared" si="127"/>
        <v>0</v>
      </c>
      <c r="N2044" s="1">
        <f t="shared" si="128"/>
        <v>3.4261507411971835E-2</v>
      </c>
      <c r="O2044" s="1"/>
    </row>
    <row r="2045" spans="1:15" x14ac:dyDescent="0.25">
      <c r="A2045">
        <v>3848</v>
      </c>
      <c r="B2045">
        <v>44131.91805</v>
      </c>
      <c r="C2045">
        <v>0</v>
      </c>
      <c r="D2045">
        <v>151426.54990000001</v>
      </c>
      <c r="E2045">
        <v>0</v>
      </c>
      <c r="F2045">
        <v>412950.94880000001</v>
      </c>
      <c r="G2045" s="1">
        <v>3.1200000000000002E-6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0</v>
      </c>
      <c r="M2045" s="1">
        <f t="shared" si="127"/>
        <v>0</v>
      </c>
      <c r="N2045" s="1">
        <f t="shared" si="128"/>
        <v>1.0348389695021977E-3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>
        <v>0</v>
      </c>
      <c r="F2046">
        <v>66457.830350000004</v>
      </c>
      <c r="G2046" s="1">
        <v>-8.7599999999999996E-7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0</v>
      </c>
      <c r="M2046" s="1">
        <f t="shared" si="127"/>
        <v>0</v>
      </c>
      <c r="N2046" s="1">
        <f t="shared" si="128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>
        <v>0</v>
      </c>
      <c r="D2047">
        <v>42608.915000000001</v>
      </c>
      <c r="E2047">
        <v>0</v>
      </c>
      <c r="F2047">
        <v>120002.65029999999</v>
      </c>
      <c r="G2047" s="1">
        <v>4.8000000000000001E-5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0</v>
      </c>
      <c r="M2047" s="1">
        <f t="shared" si="127"/>
        <v>0</v>
      </c>
      <c r="N2047" s="1">
        <f t="shared" si="128"/>
        <v>0.23523079513828324</v>
      </c>
      <c r="O2047" s="1"/>
    </row>
    <row r="2048" spans="1:15" x14ac:dyDescent="0.25">
      <c r="A2048">
        <v>3851</v>
      </c>
      <c r="B2048">
        <v>20234.06479</v>
      </c>
      <c r="C2048">
        <v>0</v>
      </c>
      <c r="D2048">
        <v>46711.648020000001</v>
      </c>
      <c r="E2048">
        <v>0</v>
      </c>
      <c r="F2048">
        <v>138897.90599999999</v>
      </c>
      <c r="G2048" s="1">
        <v>-3.0599999999999998E-5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0</v>
      </c>
      <c r="M2048" s="1">
        <f t="shared" si="127"/>
        <v>0</v>
      </c>
      <c r="N2048" s="1">
        <f t="shared" si="128"/>
        <v>-0.11299800167511698</v>
      </c>
      <c r="O2048" s="1"/>
    </row>
    <row r="2049" spans="1:15" x14ac:dyDescent="0.25">
      <c r="A2049">
        <v>3852</v>
      </c>
      <c r="B2049">
        <v>10634.2865</v>
      </c>
      <c r="C2049">
        <v>0</v>
      </c>
      <c r="D2049">
        <v>38266.667970000002</v>
      </c>
      <c r="E2049">
        <v>0</v>
      </c>
      <c r="F2049">
        <v>87710.605490000002</v>
      </c>
      <c r="G2049" s="1">
        <v>2.7E-6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0</v>
      </c>
      <c r="M2049" s="1">
        <f t="shared" si="127"/>
        <v>0</v>
      </c>
      <c r="N2049" s="1">
        <f t="shared" si="128"/>
        <v>1.0206093453255091E-2</v>
      </c>
      <c r="O2049" s="1"/>
    </row>
    <row r="2050" spans="1:15" x14ac:dyDescent="0.25">
      <c r="A2050">
        <v>3853</v>
      </c>
      <c r="B2050">
        <v>5529.5185149999998</v>
      </c>
      <c r="C2050">
        <v>0</v>
      </c>
      <c r="D2050">
        <v>36628.609400000001</v>
      </c>
      <c r="E2050">
        <v>0</v>
      </c>
      <c r="F2050">
        <v>74260.346980000002</v>
      </c>
      <c r="G2050" s="1">
        <v>1.35E-6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0</v>
      </c>
      <c r="M2050" s="1">
        <f t="shared" si="127"/>
        <v>0</v>
      </c>
      <c r="N2050" s="1">
        <f t="shared" si="128"/>
        <v>5.4366925639736255E-3</v>
      </c>
      <c r="O2050" s="1"/>
    </row>
    <row r="2051" spans="1:15" x14ac:dyDescent="0.25">
      <c r="A2051">
        <v>3854</v>
      </c>
      <c r="B2051">
        <v>2700.9635830000002</v>
      </c>
      <c r="C2051">
        <v>0</v>
      </c>
      <c r="D2051">
        <v>13020.13386</v>
      </c>
      <c r="E2051">
        <v>0</v>
      </c>
      <c r="F2051">
        <v>45130.93808</v>
      </c>
      <c r="G2051" s="1">
        <v>-4.1600000000000002E-7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0</v>
      </c>
      <c r="M2051" s="1">
        <f t="shared" ref="M2051:M2114" si="131">$U$3*$K2051*E2051</f>
        <v>0</v>
      </c>
      <c r="N2051" s="1">
        <f t="shared" ref="N2051:N2114" si="132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>
        <v>0</v>
      </c>
      <c r="D2052">
        <v>37215.799189999998</v>
      </c>
      <c r="E2052">
        <v>0</v>
      </c>
      <c r="F2052">
        <v>63548.783499999998</v>
      </c>
      <c r="G2052" s="1">
        <v>-7.4600000000000004E-7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0</v>
      </c>
      <c r="M2052" s="1">
        <f t="shared" si="131"/>
        <v>0</v>
      </c>
      <c r="N2052" s="1">
        <f t="shared" si="132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>
        <v>0</v>
      </c>
      <c r="D2053">
        <v>36676.284189999998</v>
      </c>
      <c r="E2053">
        <v>0</v>
      </c>
      <c r="F2053">
        <v>70730.93763</v>
      </c>
      <c r="G2053" s="1">
        <v>-1.3400000000000001E-6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0</v>
      </c>
      <c r="M2053" s="1">
        <f t="shared" si="131"/>
        <v>0</v>
      </c>
      <c r="N2053" s="1">
        <f t="shared" si="132"/>
        <v>-6.7344985345125976E-3</v>
      </c>
      <c r="O2053" s="1"/>
    </row>
    <row r="2054" spans="1:15" x14ac:dyDescent="0.25">
      <c r="A2054">
        <v>3857</v>
      </c>
      <c r="B2054">
        <v>3821.840447</v>
      </c>
      <c r="C2054">
        <v>0</v>
      </c>
      <c r="D2054">
        <v>32940.610820000002</v>
      </c>
      <c r="E2054">
        <v>0</v>
      </c>
      <c r="F2054">
        <v>68297.78903</v>
      </c>
      <c r="G2054" s="1">
        <v>-2.7599999999999998E-6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0</v>
      </c>
      <c r="M2054" s="1">
        <f t="shared" si="131"/>
        <v>0</v>
      </c>
      <c r="N2054" s="1">
        <f t="shared" si="132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>
        <v>0</v>
      </c>
      <c r="D2055">
        <v>36612.005559999998</v>
      </c>
      <c r="E2055">
        <v>0</v>
      </c>
      <c r="F2055">
        <v>59423.366670000003</v>
      </c>
      <c r="G2055" s="1">
        <v>2.5500000000000001E-6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0</v>
      </c>
      <c r="M2055" s="1">
        <f t="shared" si="131"/>
        <v>0</v>
      </c>
      <c r="N2055" s="1">
        <f t="shared" si="132"/>
        <v>8.7156455951967766E-3</v>
      </c>
      <c r="O2055" s="1"/>
    </row>
    <row r="2056" spans="1:15" x14ac:dyDescent="0.25">
      <c r="A2056">
        <v>3859</v>
      </c>
      <c r="B2056">
        <v>3407.2827579999998</v>
      </c>
      <c r="C2056">
        <v>0</v>
      </c>
      <c r="D2056">
        <v>27680.02276</v>
      </c>
      <c r="E2056">
        <v>0</v>
      </c>
      <c r="F2056">
        <v>70319.059819999995</v>
      </c>
      <c r="G2056" s="1">
        <v>2.9399999999999998E-6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0</v>
      </c>
      <c r="M2056" s="1">
        <f t="shared" si="131"/>
        <v>0</v>
      </c>
      <c r="N2056" s="1">
        <f t="shared" si="132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>
        <v>0</v>
      </c>
      <c r="F2057">
        <v>48368.768790000002</v>
      </c>
      <c r="G2057" s="1">
        <v>4.4400000000000001E-7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0</v>
      </c>
      <c r="N2057" s="1">
        <f t="shared" si="132"/>
        <v>2.2176031946723102E-3</v>
      </c>
      <c r="O2057" s="1"/>
    </row>
    <row r="2058" spans="1:15" x14ac:dyDescent="0.25">
      <c r="A2058">
        <v>3861</v>
      </c>
      <c r="B2058">
        <v>1587.370739</v>
      </c>
      <c r="C2058">
        <v>0</v>
      </c>
      <c r="D2058">
        <v>27105.660189999999</v>
      </c>
      <c r="E2058">
        <v>0</v>
      </c>
      <c r="F2058">
        <v>66995.771670000002</v>
      </c>
      <c r="G2058" s="1">
        <v>4.8400000000000002E-6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0</v>
      </c>
      <c r="M2058" s="1">
        <f t="shared" si="131"/>
        <v>0</v>
      </c>
      <c r="N2058" s="1">
        <f t="shared" si="132"/>
        <v>1.4270271498372121E-2</v>
      </c>
      <c r="O2058" s="1"/>
    </row>
    <row r="2059" spans="1:15" x14ac:dyDescent="0.25">
      <c r="A2059">
        <v>3862</v>
      </c>
      <c r="B2059">
        <v>1351.889893</v>
      </c>
      <c r="C2059">
        <v>0</v>
      </c>
      <c r="D2059">
        <v>22970.129860000001</v>
      </c>
      <c r="E2059">
        <v>0</v>
      </c>
      <c r="F2059">
        <v>48556.532209999998</v>
      </c>
      <c r="G2059" s="1">
        <v>1.75E-6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0</v>
      </c>
      <c r="M2059" s="1">
        <f t="shared" si="131"/>
        <v>0</v>
      </c>
      <c r="N2059" s="1">
        <f t="shared" si="132"/>
        <v>6.5987954506435504E-3</v>
      </c>
      <c r="O2059" s="1"/>
    </row>
    <row r="2060" spans="1:15" x14ac:dyDescent="0.25">
      <c r="A2060">
        <v>3863</v>
      </c>
      <c r="B2060">
        <v>1563.154129</v>
      </c>
      <c r="C2060">
        <v>0</v>
      </c>
      <c r="D2060">
        <v>17763.56364</v>
      </c>
      <c r="E2060">
        <v>0</v>
      </c>
      <c r="F2060">
        <v>84277.056890000007</v>
      </c>
      <c r="G2060" s="1">
        <v>-3.8999999999999999E-6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0</v>
      </c>
      <c r="M2060" s="1">
        <f t="shared" si="131"/>
        <v>0</v>
      </c>
      <c r="N2060" s="1">
        <f t="shared" si="132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>
        <v>0</v>
      </c>
      <c r="D2061">
        <v>7457.3935419999998</v>
      </c>
      <c r="E2061">
        <v>0</v>
      </c>
      <c r="F2061">
        <v>41963.985679999998</v>
      </c>
      <c r="G2061" s="1">
        <v>2.0499999999999999E-6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0</v>
      </c>
      <c r="M2061" s="1">
        <f t="shared" si="131"/>
        <v>0</v>
      </c>
      <c r="N2061" s="1">
        <f t="shared" si="132"/>
        <v>5.3871109785605994E-3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>
        <v>0</v>
      </c>
      <c r="F2062">
        <v>61280.375220000002</v>
      </c>
      <c r="G2062" s="1">
        <v>1.9999999999999999E-6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0</v>
      </c>
      <c r="M2062" s="1">
        <f t="shared" si="131"/>
        <v>0</v>
      </c>
      <c r="N2062" s="1">
        <f t="shared" si="132"/>
        <v>9.5377912629090005E-3</v>
      </c>
      <c r="O2062" s="1"/>
    </row>
    <row r="2063" spans="1:15" x14ac:dyDescent="0.25">
      <c r="A2063">
        <v>3866</v>
      </c>
      <c r="B2063">
        <v>30920.274399999998</v>
      </c>
      <c r="C2063">
        <v>0</v>
      </c>
      <c r="D2063">
        <v>106959.98239999999</v>
      </c>
      <c r="E2063">
        <v>0</v>
      </c>
      <c r="F2063">
        <v>269180.72409999999</v>
      </c>
      <c r="G2063" s="1">
        <v>4.9400000000000001E-5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0</v>
      </c>
      <c r="M2063" s="1">
        <f t="shared" si="131"/>
        <v>0</v>
      </c>
      <c r="N2063" s="1">
        <f t="shared" si="132"/>
        <v>5.4235014017648887E-2</v>
      </c>
      <c r="O2063" s="1"/>
    </row>
    <row r="2064" spans="1:15" x14ac:dyDescent="0.25">
      <c r="A2064">
        <v>3867</v>
      </c>
      <c r="B2064">
        <v>28247.463919999998</v>
      </c>
      <c r="C2064">
        <v>0</v>
      </c>
      <c r="D2064">
        <v>86370.549440000003</v>
      </c>
      <c r="E2064">
        <v>0</v>
      </c>
      <c r="F2064">
        <v>227192.18580000001</v>
      </c>
      <c r="G2064" s="1">
        <v>2.8900000000000001E-5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0</v>
      </c>
      <c r="M2064" s="1">
        <f t="shared" si="131"/>
        <v>0</v>
      </c>
      <c r="N2064" s="1">
        <f t="shared" si="132"/>
        <v>5.0552349972638105E-2</v>
      </c>
      <c r="O2064" s="1"/>
    </row>
    <row r="2065" spans="1:15" x14ac:dyDescent="0.25">
      <c r="A2065">
        <v>3868</v>
      </c>
      <c r="B2065">
        <v>23895.590270000001</v>
      </c>
      <c r="C2065">
        <v>0</v>
      </c>
      <c r="D2065">
        <v>73799.588640000002</v>
      </c>
      <c r="E2065">
        <v>0</v>
      </c>
      <c r="F2065">
        <v>216172.69200000001</v>
      </c>
      <c r="G2065" s="1">
        <v>2.9899999999999998E-5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0</v>
      </c>
      <c r="M2065" s="1">
        <f t="shared" si="131"/>
        <v>0</v>
      </c>
      <c r="N2065" s="1">
        <f t="shared" si="132"/>
        <v>2.6291268456756028E-2</v>
      </c>
      <c r="O2065" s="1"/>
    </row>
    <row r="2066" spans="1:15" x14ac:dyDescent="0.25">
      <c r="A2066">
        <v>3869</v>
      </c>
      <c r="B2066">
        <v>23103.88855</v>
      </c>
      <c r="C2066">
        <v>0</v>
      </c>
      <c r="D2066">
        <v>53968.551319999999</v>
      </c>
      <c r="E2066">
        <v>0</v>
      </c>
      <c r="F2066">
        <v>141640.20420000001</v>
      </c>
      <c r="G2066" s="1">
        <v>4.8199999999999999E-5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0</v>
      </c>
      <c r="M2066" s="1">
        <f t="shared" si="131"/>
        <v>0</v>
      </c>
      <c r="N2066" s="1">
        <f t="shared" si="132"/>
        <v>0.16853376537299869</v>
      </c>
      <c r="O2066" s="1"/>
    </row>
    <row r="2067" spans="1:15" x14ac:dyDescent="0.25">
      <c r="A2067">
        <v>3870</v>
      </c>
      <c r="B2067">
        <v>20255.623909999998</v>
      </c>
      <c r="C2067">
        <v>0</v>
      </c>
      <c r="D2067">
        <v>49067.635979999999</v>
      </c>
      <c r="E2067">
        <v>0</v>
      </c>
      <c r="F2067">
        <v>135336.7617</v>
      </c>
      <c r="G2067" s="1">
        <v>-1.3200000000000001E-5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0</v>
      </c>
      <c r="M2067" s="1">
        <f t="shared" si="131"/>
        <v>0</v>
      </c>
      <c r="N2067" s="1">
        <f t="shared" si="132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>
        <v>0</v>
      </c>
      <c r="D2068">
        <v>22307.64573</v>
      </c>
      <c r="E2068">
        <v>0</v>
      </c>
      <c r="F2068">
        <v>82990.510250000007</v>
      </c>
      <c r="G2068" s="1">
        <v>-6.9599999999999999E-7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0</v>
      </c>
      <c r="M2068" s="1">
        <f t="shared" si="131"/>
        <v>0</v>
      </c>
      <c r="N2068" s="1">
        <f t="shared" si="132"/>
        <v>-5.8613372060079601E-3</v>
      </c>
      <c r="O2068" s="1"/>
    </row>
    <row r="2069" spans="1:15" x14ac:dyDescent="0.25">
      <c r="A2069">
        <v>3900</v>
      </c>
      <c r="B2069">
        <v>14347.05917</v>
      </c>
      <c r="C2069">
        <v>0</v>
      </c>
      <c r="D2069">
        <v>86739.741009999998</v>
      </c>
      <c r="E2069">
        <v>0</v>
      </c>
      <c r="F2069">
        <v>241606.24619999999</v>
      </c>
      <c r="G2069" s="1">
        <v>-1.84E-5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0</v>
      </c>
      <c r="M2069" s="1">
        <f t="shared" si="131"/>
        <v>0</v>
      </c>
      <c r="N2069" s="1">
        <f t="shared" si="132"/>
        <v>-0.13923584226407762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 s="1">
        <v>-3.8099999999999998E-5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0</v>
      </c>
      <c r="M2070" s="1">
        <f t="shared" si="131"/>
        <v>0</v>
      </c>
      <c r="N2070" s="1">
        <f t="shared" si="132"/>
        <v>-0.23223499780696472</v>
      </c>
      <c r="O2070" s="1"/>
    </row>
    <row r="2071" spans="1:15" x14ac:dyDescent="0.25">
      <c r="A2071">
        <v>3902</v>
      </c>
      <c r="B2071">
        <v>17962.69702</v>
      </c>
      <c r="C2071">
        <v>0</v>
      </c>
      <c r="D2071">
        <v>104488.5301</v>
      </c>
      <c r="E2071">
        <v>0</v>
      </c>
      <c r="F2071">
        <v>316328.59399999998</v>
      </c>
      <c r="G2071" s="1">
        <v>6.0999999999999998E-7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0</v>
      </c>
      <c r="M2071" s="1">
        <f t="shared" si="131"/>
        <v>0</v>
      </c>
      <c r="N2071" s="1">
        <f t="shared" si="132"/>
        <v>3.3207055158809107E-3</v>
      </c>
      <c r="O2071" s="1"/>
    </row>
    <row r="2072" spans="1:15" x14ac:dyDescent="0.25">
      <c r="A2072">
        <v>3903</v>
      </c>
      <c r="B2072">
        <v>26506.884709999998</v>
      </c>
      <c r="C2072">
        <v>0</v>
      </c>
      <c r="D2072">
        <v>88343.544139999998</v>
      </c>
      <c r="E2072">
        <v>0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</v>
      </c>
      <c r="M2072" s="1">
        <f t="shared" si="131"/>
        <v>0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>
        <v>0</v>
      </c>
      <c r="D2073">
        <v>36094.427510000001</v>
      </c>
      <c r="E2073">
        <v>0</v>
      </c>
      <c r="F2073">
        <v>134357.71549999999</v>
      </c>
      <c r="G2073" s="1">
        <v>2.9E-5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0</v>
      </c>
      <c r="M2073" s="1">
        <f t="shared" si="131"/>
        <v>0</v>
      </c>
      <c r="N2073" s="1">
        <f t="shared" si="132"/>
        <v>5.1543809626605E-2</v>
      </c>
      <c r="O2073" s="1"/>
    </row>
    <row r="2074" spans="1:15" x14ac:dyDescent="0.25">
      <c r="A2074">
        <v>3906</v>
      </c>
      <c r="B2074">
        <v>19262.578249999999</v>
      </c>
      <c r="C2074">
        <v>0</v>
      </c>
      <c r="D2074">
        <v>86265.814180000001</v>
      </c>
      <c r="E2074">
        <v>0</v>
      </c>
      <c r="F2074">
        <v>320740.07150000002</v>
      </c>
      <c r="G2074" s="1">
        <v>-1.6500000000000001E-5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0</v>
      </c>
      <c r="M2074" s="1">
        <f t="shared" si="131"/>
        <v>0</v>
      </c>
      <c r="N2074" s="1">
        <f t="shared" si="132"/>
        <v>-5.3910383712055213E-2</v>
      </c>
      <c r="O2074" s="1"/>
    </row>
    <row r="2075" spans="1:15" x14ac:dyDescent="0.25">
      <c r="A2075">
        <v>3907</v>
      </c>
      <c r="B2075">
        <v>1496.362474</v>
      </c>
      <c r="C2075">
        <v>0</v>
      </c>
      <c r="D2075">
        <v>33726.306129999997</v>
      </c>
      <c r="E2075">
        <v>0</v>
      </c>
      <c r="F2075">
        <v>109840.0919</v>
      </c>
      <c r="G2075" s="1">
        <v>4.5599999999999997E-5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0</v>
      </c>
      <c r="M2075" s="1">
        <f t="shared" si="131"/>
        <v>0</v>
      </c>
      <c r="N2075" s="1">
        <f t="shared" si="132"/>
        <v>0.31169436330240002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>
        <v>0</v>
      </c>
      <c r="F2076">
        <v>80638.705329999997</v>
      </c>
      <c r="G2076" s="1">
        <v>1.2100000000000001E-6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0</v>
      </c>
      <c r="M2076" s="1">
        <f t="shared" si="131"/>
        <v>0</v>
      </c>
      <c r="N2076" s="1">
        <f t="shared" si="132"/>
        <v>4.8701751015763238E-3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>
        <v>0</v>
      </c>
      <c r="F2077">
        <v>161747.88860000001</v>
      </c>
      <c r="G2077" s="1">
        <v>-3.8600000000000003E-5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0</v>
      </c>
      <c r="M2077" s="1">
        <f t="shared" si="131"/>
        <v>0</v>
      </c>
      <c r="N2077" s="1">
        <f t="shared" si="132"/>
        <v>-0.13328866595945599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>
        <v>0</v>
      </c>
      <c r="F2078">
        <v>163917.15520000001</v>
      </c>
      <c r="G2078" s="1">
        <v>9.3000000000000007E-6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0</v>
      </c>
      <c r="M2078" s="1">
        <f t="shared" si="131"/>
        <v>0</v>
      </c>
      <c r="N2078" s="1">
        <f t="shared" si="132"/>
        <v>2.8793101463827294E-2</v>
      </c>
      <c r="O2078" s="1"/>
    </row>
    <row r="2079" spans="1:15" x14ac:dyDescent="0.25">
      <c r="A2079">
        <v>3911</v>
      </c>
      <c r="B2079">
        <v>1370.306225</v>
      </c>
      <c r="C2079">
        <v>0</v>
      </c>
      <c r="D2079">
        <v>10088.55881</v>
      </c>
      <c r="E2079">
        <v>0</v>
      </c>
      <c r="F2079">
        <v>77729.491240000003</v>
      </c>
      <c r="G2079" s="1">
        <v>2.1299999999999999E-7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0</v>
      </c>
      <c r="M2079" s="1">
        <f t="shared" si="131"/>
        <v>0</v>
      </c>
      <c r="N2079" s="1">
        <f t="shared" si="132"/>
        <v>4.3308717840814321E-4</v>
      </c>
      <c r="O2079" s="1"/>
    </row>
    <row r="2080" spans="1:15" x14ac:dyDescent="0.25">
      <c r="A2080">
        <v>3912</v>
      </c>
      <c r="B2080">
        <v>3930.8213000000001</v>
      </c>
      <c r="C2080">
        <v>0</v>
      </c>
      <c r="D2080">
        <v>20072.954280000002</v>
      </c>
      <c r="E2080">
        <v>0</v>
      </c>
      <c r="F2080">
        <v>105384.58100000001</v>
      </c>
      <c r="G2080" s="1">
        <v>-1.04E-5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0</v>
      </c>
      <c r="M2080" s="1">
        <f t="shared" si="131"/>
        <v>0</v>
      </c>
      <c r="N2080" s="1">
        <f t="shared" si="132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>
        <v>0</v>
      </c>
      <c r="D2081">
        <v>92358.822610000003</v>
      </c>
      <c r="E2081">
        <v>0</v>
      </c>
      <c r="F2081">
        <v>342134.51059999998</v>
      </c>
      <c r="G2081" s="1">
        <v>2.69E-5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0</v>
      </c>
      <c r="M2081" s="1">
        <f t="shared" si="131"/>
        <v>0</v>
      </c>
      <c r="N2081" s="1">
        <f t="shared" si="132"/>
        <v>0.11009193822581616</v>
      </c>
      <c r="O2081" s="1"/>
    </row>
    <row r="2082" spans="1:15" x14ac:dyDescent="0.25">
      <c r="A2082">
        <v>3914</v>
      </c>
      <c r="B2082">
        <v>3290.906058</v>
      </c>
      <c r="C2082">
        <v>0</v>
      </c>
      <c r="D2082">
        <v>54026.729529999997</v>
      </c>
      <c r="E2082">
        <v>0</v>
      </c>
      <c r="F2082">
        <v>164149.1814</v>
      </c>
      <c r="G2082" s="1">
        <v>-1.31E-5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0</v>
      </c>
      <c r="M2082" s="1">
        <f t="shared" si="131"/>
        <v>0</v>
      </c>
      <c r="N2082" s="1">
        <f t="shared" si="132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>
        <v>0</v>
      </c>
      <c r="D2083">
        <v>39914.999479999999</v>
      </c>
      <c r="E2083">
        <v>0</v>
      </c>
      <c r="F2083">
        <v>136890.73120000001</v>
      </c>
      <c r="G2083" s="1">
        <v>3.7599999999999999E-5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0</v>
      </c>
      <c r="M2083" s="1">
        <f t="shared" si="131"/>
        <v>0</v>
      </c>
      <c r="N2083" s="1">
        <f t="shared" si="132"/>
        <v>0.198948854713764</v>
      </c>
      <c r="O2083" s="1"/>
    </row>
    <row r="2084" spans="1:15" x14ac:dyDescent="0.25">
      <c r="A2084">
        <v>3916</v>
      </c>
      <c r="B2084">
        <v>6067.872883</v>
      </c>
      <c r="C2084">
        <v>0</v>
      </c>
      <c r="D2084">
        <v>68270.426149999999</v>
      </c>
      <c r="E2084">
        <v>0</v>
      </c>
      <c r="F2084">
        <v>198070.1336</v>
      </c>
      <c r="G2084" s="1">
        <v>-9.7499999999999998E-6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0</v>
      </c>
      <c r="M2084" s="1">
        <f t="shared" si="131"/>
        <v>0</v>
      </c>
      <c r="N2084" s="1">
        <f t="shared" si="132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>
        <v>0</v>
      </c>
      <c r="F2085">
        <v>198881.29949999999</v>
      </c>
      <c r="G2085" s="1">
        <v>-2.92E-6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0</v>
      </c>
      <c r="M2085" s="1">
        <f t="shared" si="131"/>
        <v>0</v>
      </c>
      <c r="N2085" s="1">
        <f t="shared" si="132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>
        <v>0</v>
      </c>
      <c r="D2086">
        <v>19490.323400000001</v>
      </c>
      <c r="E2086">
        <v>0</v>
      </c>
      <c r="F2086">
        <v>84760.938030000005</v>
      </c>
      <c r="G2086" s="1">
        <v>-4.1500000000000001E-6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0</v>
      </c>
      <c r="M2086" s="1">
        <f t="shared" si="131"/>
        <v>0</v>
      </c>
      <c r="N2086" s="1">
        <f t="shared" si="132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>
        <v>0</v>
      </c>
      <c r="D2087">
        <v>8777.1245159999999</v>
      </c>
      <c r="E2087">
        <v>0</v>
      </c>
      <c r="F2087">
        <v>58229.515460000002</v>
      </c>
      <c r="G2087" s="1">
        <v>2.5900000000000002E-6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0</v>
      </c>
      <c r="M2087" s="1">
        <f t="shared" si="131"/>
        <v>0</v>
      </c>
      <c r="N2087" s="1">
        <f t="shared" si="132"/>
        <v>1.1330757811698613E-2</v>
      </c>
      <c r="O2087" s="1"/>
    </row>
    <row r="2088" spans="1:15" x14ac:dyDescent="0.25">
      <c r="A2088">
        <v>3920</v>
      </c>
      <c r="B2088">
        <v>1039.6218409999999</v>
      </c>
      <c r="C2088">
        <v>0</v>
      </c>
      <c r="D2088">
        <v>8581.5314199999993</v>
      </c>
      <c r="E2088">
        <v>0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0</v>
      </c>
      <c r="M2088" s="1">
        <f t="shared" si="131"/>
        <v>0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>
        <v>0</v>
      </c>
      <c r="D2089">
        <v>10700.276830000001</v>
      </c>
      <c r="E2089">
        <v>0</v>
      </c>
      <c r="F2089">
        <v>70614.707150000002</v>
      </c>
      <c r="G2089" s="1">
        <v>1.9E-6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0</v>
      </c>
      <c r="M2089" s="1">
        <f t="shared" si="131"/>
        <v>0</v>
      </c>
      <c r="N2089" s="1">
        <f t="shared" si="132"/>
        <v>8.5395134782647892E-3</v>
      </c>
      <c r="O2089" s="1"/>
    </row>
    <row r="2090" spans="1:15" x14ac:dyDescent="0.25">
      <c r="A2090">
        <v>3922</v>
      </c>
      <c r="B2090">
        <v>1789.117978</v>
      </c>
      <c r="C2090">
        <v>0</v>
      </c>
      <c r="D2090">
        <v>16936.103869999999</v>
      </c>
      <c r="E2090">
        <v>0</v>
      </c>
      <c r="F2090">
        <v>126391.33010000001</v>
      </c>
      <c r="G2090" s="1">
        <v>-4.5600000000000004E-6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0</v>
      </c>
      <c r="M2090" s="1">
        <f t="shared" si="131"/>
        <v>0</v>
      </c>
      <c r="N2090" s="1">
        <f t="shared" si="132"/>
        <v>-1.9227505955793842E-2</v>
      </c>
      <c r="O2090" s="1"/>
    </row>
    <row r="2091" spans="1:15" x14ac:dyDescent="0.25">
      <c r="A2091">
        <v>3923</v>
      </c>
      <c r="B2091">
        <v>1765.104237</v>
      </c>
      <c r="C2091">
        <v>0</v>
      </c>
      <c r="D2091">
        <v>13325.95203</v>
      </c>
      <c r="E2091">
        <v>0</v>
      </c>
      <c r="F2091">
        <v>101759.6559</v>
      </c>
      <c r="G2091" s="1">
        <v>-3.9900000000000001E-5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0</v>
      </c>
      <c r="M2091" s="1">
        <f t="shared" si="131"/>
        <v>0</v>
      </c>
      <c r="N2091" s="1">
        <f t="shared" si="132"/>
        <v>-0.13516045979959215</v>
      </c>
      <c r="O2091" s="1"/>
    </row>
    <row r="2092" spans="1:15" x14ac:dyDescent="0.25">
      <c r="A2092">
        <v>3924</v>
      </c>
      <c r="B2092">
        <v>4212.201153</v>
      </c>
      <c r="C2092">
        <v>0</v>
      </c>
      <c r="D2092">
        <v>28934.888770000001</v>
      </c>
      <c r="E2092">
        <v>0</v>
      </c>
      <c r="F2092">
        <v>144570.65410000001</v>
      </c>
      <c r="G2092" s="1">
        <v>4.1600000000000002E-5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0</v>
      </c>
      <c r="M2092" s="1">
        <f t="shared" si="131"/>
        <v>0</v>
      </c>
      <c r="N2092" s="1">
        <f t="shared" si="132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>
        <v>0</v>
      </c>
      <c r="F2093">
        <v>59700.430339999999</v>
      </c>
      <c r="G2093" s="1">
        <v>4.0999999999999997E-6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0</v>
      </c>
      <c r="N2093" s="1">
        <f t="shared" si="132"/>
        <v>1.9805501864094271E-2</v>
      </c>
      <c r="O2093" s="1"/>
    </row>
    <row r="2094" spans="1:15" x14ac:dyDescent="0.25">
      <c r="A2094">
        <v>3926</v>
      </c>
      <c r="B2094">
        <v>2054.4017829999998</v>
      </c>
      <c r="C2094">
        <v>0</v>
      </c>
      <c r="D2094">
        <v>29218.16215</v>
      </c>
      <c r="E2094">
        <v>0</v>
      </c>
      <c r="F2094">
        <v>117893.24649999999</v>
      </c>
      <c r="G2094" s="1">
        <v>-4.9100000000000001E-5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0</v>
      </c>
      <c r="M2094" s="1">
        <f t="shared" si="131"/>
        <v>0</v>
      </c>
      <c r="N2094" s="1">
        <f t="shared" si="132"/>
        <v>-0.2476050535519069</v>
      </c>
      <c r="O2094" s="1"/>
    </row>
    <row r="2095" spans="1:15" x14ac:dyDescent="0.25">
      <c r="A2095">
        <v>3927</v>
      </c>
      <c r="B2095">
        <v>7822.2155929999999</v>
      </c>
      <c r="C2095">
        <v>0</v>
      </c>
      <c r="D2095">
        <v>53602.895949999998</v>
      </c>
      <c r="E2095">
        <v>0</v>
      </c>
      <c r="F2095">
        <v>256729.59640000001</v>
      </c>
      <c r="G2095" s="1">
        <v>-4.5399999999999999E-5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0</v>
      </c>
      <c r="M2095" s="1">
        <f t="shared" si="131"/>
        <v>0</v>
      </c>
      <c r="N2095" s="1">
        <f t="shared" si="132"/>
        <v>-0.11631019475056158</v>
      </c>
      <c r="O2095" s="1"/>
    </row>
    <row r="2096" spans="1:15" x14ac:dyDescent="0.25">
      <c r="A2096">
        <v>3928</v>
      </c>
      <c r="B2096">
        <v>3018.1746029999999</v>
      </c>
      <c r="C2096">
        <v>0</v>
      </c>
      <c r="D2096">
        <v>23996.5252</v>
      </c>
      <c r="E2096">
        <v>0</v>
      </c>
      <c r="F2096">
        <v>129244.8848</v>
      </c>
      <c r="G2096" s="1">
        <v>3.29E-5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0</v>
      </c>
      <c r="M2096" s="1">
        <f t="shared" si="131"/>
        <v>0</v>
      </c>
      <c r="N2096" s="1">
        <f t="shared" si="132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>
        <v>0</v>
      </c>
      <c r="F2097">
        <v>104118.9243</v>
      </c>
      <c r="G2097" s="1">
        <v>-2.37E-5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0</v>
      </c>
      <c r="N2097" s="1">
        <f t="shared" si="132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>
        <v>0</v>
      </c>
      <c r="D2098">
        <v>39676.867729999998</v>
      </c>
      <c r="E2098">
        <v>0</v>
      </c>
      <c r="F2098">
        <v>147578.92050000001</v>
      </c>
      <c r="G2098" s="1">
        <v>-3.3000000000000003E-5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0</v>
      </c>
      <c r="M2098" s="1">
        <f t="shared" si="131"/>
        <v>0</v>
      </c>
      <c r="N2098" s="1">
        <f t="shared" si="132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>
        <v>0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0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>
        <v>0</v>
      </c>
      <c r="D2100">
        <v>6286.7381960000002</v>
      </c>
      <c r="E2100">
        <v>0</v>
      </c>
      <c r="F2100">
        <v>22224.691739999998</v>
      </c>
      <c r="G2100" s="1">
        <v>-4.9300000000000002E-6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0</v>
      </c>
      <c r="M2100" s="1">
        <f t="shared" si="131"/>
        <v>0</v>
      </c>
      <c r="N2100" s="1">
        <f t="shared" si="132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>
        <v>0</v>
      </c>
      <c r="D2101">
        <v>6732.5242699999999</v>
      </c>
      <c r="E2101">
        <v>0</v>
      </c>
      <c r="F2101">
        <v>30338.81882</v>
      </c>
      <c r="G2101" s="1">
        <v>-1.5600000000000001E-6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0</v>
      </c>
      <c r="M2101" s="1">
        <f t="shared" si="131"/>
        <v>0</v>
      </c>
      <c r="N2101" s="1">
        <f t="shared" si="132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>
        <v>0</v>
      </c>
      <c r="D2102">
        <v>3666.2554500000001</v>
      </c>
      <c r="E2102">
        <v>0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0</v>
      </c>
      <c r="M2102" s="1">
        <f t="shared" si="131"/>
        <v>0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>
        <v>0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0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>
        <v>0</v>
      </c>
      <c r="D2104">
        <v>9118.2124399999993</v>
      </c>
      <c r="E2104">
        <v>0</v>
      </c>
      <c r="F2104">
        <v>58105.710010000003</v>
      </c>
      <c r="G2104" s="1">
        <v>2.3499999999999999E-6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0</v>
      </c>
      <c r="M2104" s="1">
        <f t="shared" si="131"/>
        <v>0</v>
      </c>
      <c r="N2104" s="1">
        <f t="shared" si="132"/>
        <v>1.5868557082314601E-2</v>
      </c>
      <c r="O2104" s="1"/>
    </row>
    <row r="2105" spans="1:15" x14ac:dyDescent="0.25">
      <c r="A2105">
        <v>3938</v>
      </c>
      <c r="B2105">
        <v>544.99500609999996</v>
      </c>
      <c r="C2105">
        <v>0</v>
      </c>
      <c r="D2105">
        <v>3480.051935</v>
      </c>
      <c r="E2105">
        <v>0</v>
      </c>
      <c r="F2105">
        <v>21317.51382</v>
      </c>
      <c r="G2105" s="1">
        <v>2.7500000000000001E-7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0</v>
      </c>
      <c r="M2105" s="1">
        <f t="shared" si="131"/>
        <v>0</v>
      </c>
      <c r="N2105" s="1">
        <f t="shared" si="132"/>
        <v>3.5977229263626752E-3</v>
      </c>
      <c r="O2105" s="1"/>
    </row>
    <row r="2106" spans="1:15" x14ac:dyDescent="0.25">
      <c r="A2106">
        <v>3939</v>
      </c>
      <c r="B2106">
        <v>3310.2138709999999</v>
      </c>
      <c r="C2106">
        <v>0</v>
      </c>
      <c r="D2106">
        <v>18636.562190000001</v>
      </c>
      <c r="E2106">
        <v>0</v>
      </c>
      <c r="F2106">
        <v>84560.794250000006</v>
      </c>
      <c r="G2106" s="1">
        <v>-3.6200000000000001E-6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0</v>
      </c>
      <c r="M2106" s="1">
        <f t="shared" si="131"/>
        <v>0</v>
      </c>
      <c r="N2106" s="1">
        <f t="shared" si="132"/>
        <v>-3.0161759728404122E-2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>
        <v>0</v>
      </c>
      <c r="F2107">
        <v>52864.705390000003</v>
      </c>
      <c r="G2107" s="1">
        <v>2.0899999999999999E-6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0</v>
      </c>
      <c r="M2107" s="1">
        <f t="shared" si="131"/>
        <v>0</v>
      </c>
      <c r="N2107" s="1">
        <f t="shared" si="132"/>
        <v>1.1619669194429669E-2</v>
      </c>
      <c r="O2107" s="1"/>
    </row>
    <row r="2108" spans="1:15" x14ac:dyDescent="0.25">
      <c r="A2108">
        <v>3941</v>
      </c>
      <c r="B2108">
        <v>1544.3817710000001</v>
      </c>
      <c r="C2108">
        <v>0</v>
      </c>
      <c r="D2108">
        <v>4336.8747540000004</v>
      </c>
      <c r="E2108">
        <v>0</v>
      </c>
      <c r="F2108">
        <v>30725.83884</v>
      </c>
      <c r="G2108" s="1">
        <v>-4.34E-6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0</v>
      </c>
      <c r="M2108" s="1">
        <f t="shared" si="131"/>
        <v>0</v>
      </c>
      <c r="N2108" s="1">
        <f t="shared" si="132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>
        <v>0</v>
      </c>
      <c r="F2109">
        <v>1768.6283450000001</v>
      </c>
      <c r="G2109" s="1">
        <v>3.5000000000000002E-8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0</v>
      </c>
      <c r="N2109" s="1">
        <f t="shared" si="132"/>
        <v>5.6464467423672005E-4</v>
      </c>
      <c r="O2109" s="1"/>
    </row>
    <row r="2110" spans="1:15" x14ac:dyDescent="0.25">
      <c r="A2110">
        <v>3943</v>
      </c>
      <c r="B2110">
        <v>627.5940789</v>
      </c>
      <c r="C2110">
        <v>0</v>
      </c>
      <c r="D2110">
        <v>4758.3386630000005</v>
      </c>
      <c r="E2110">
        <v>0</v>
      </c>
      <c r="F2110">
        <v>49732.106599999999</v>
      </c>
      <c r="G2110" s="1">
        <v>2.48E-7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0</v>
      </c>
      <c r="M2110" s="1">
        <f t="shared" si="131"/>
        <v>0</v>
      </c>
      <c r="N2110" s="1">
        <f t="shared" si="132"/>
        <v>1.986460540060248E-3</v>
      </c>
      <c r="O2110" s="1"/>
    </row>
    <row r="2111" spans="1:15" x14ac:dyDescent="0.25">
      <c r="A2111">
        <v>3944</v>
      </c>
      <c r="B2111">
        <v>1732.465582</v>
      </c>
      <c r="C2111">
        <v>0</v>
      </c>
      <c r="D2111">
        <v>9867.3024970000006</v>
      </c>
      <c r="E2111">
        <v>0</v>
      </c>
      <c r="F2111">
        <v>79683.345409999994</v>
      </c>
      <c r="G2111" s="1">
        <v>3.5700000000000001E-6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0</v>
      </c>
      <c r="M2111" s="1">
        <f t="shared" si="131"/>
        <v>0</v>
      </c>
      <c r="N2111" s="1">
        <f t="shared" si="132"/>
        <v>1.6955339731937649E-2</v>
      </c>
      <c r="O2111" s="1"/>
    </row>
    <row r="2112" spans="1:15" x14ac:dyDescent="0.25">
      <c r="A2112">
        <v>3945</v>
      </c>
      <c r="B2112">
        <v>264.23984539999998</v>
      </c>
      <c r="C2112">
        <v>0</v>
      </c>
      <c r="D2112">
        <v>1546.0530690000001</v>
      </c>
      <c r="E2112">
        <v>0</v>
      </c>
      <c r="F2112">
        <v>4114.8343329999998</v>
      </c>
      <c r="G2112" s="1">
        <v>5.5000000000000003E-8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0</v>
      </c>
      <c r="M2112" s="1">
        <f t="shared" si="131"/>
        <v>0</v>
      </c>
      <c r="N2112" s="1">
        <f t="shared" si="132"/>
        <v>3.2669893083696002E-4</v>
      </c>
      <c r="O2112" s="1"/>
    </row>
    <row r="2113" spans="1:15" x14ac:dyDescent="0.25">
      <c r="A2113">
        <v>3946</v>
      </c>
      <c r="B2113">
        <v>1761.0189969999999</v>
      </c>
      <c r="C2113">
        <v>0</v>
      </c>
      <c r="D2113">
        <v>3091.612059</v>
      </c>
      <c r="E2113">
        <v>0</v>
      </c>
      <c r="F2113">
        <v>39391.74396</v>
      </c>
      <c r="G2113" s="1">
        <v>1.61E-6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0</v>
      </c>
      <c r="M2113" s="1">
        <f t="shared" si="131"/>
        <v>0</v>
      </c>
      <c r="N2113" s="1">
        <f t="shared" si="132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>
        <v>0</v>
      </c>
      <c r="D2115">
        <v>54184.633430000002</v>
      </c>
      <c r="E2115">
        <v>0</v>
      </c>
      <c r="F2115">
        <v>201792.12049999999</v>
      </c>
      <c r="G2115" s="1">
        <v>-4.0399999999999999E-5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0</v>
      </c>
      <c r="M2115" s="1">
        <f t="shared" ref="M2115:M2178" si="135">$U$3*$K2115*E2115</f>
        <v>0</v>
      </c>
      <c r="N2115" s="1">
        <f t="shared" ref="N2115:N2178" si="136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>
        <v>0</v>
      </c>
      <c r="D2116">
        <v>18284.833019999998</v>
      </c>
      <c r="E2116">
        <v>0</v>
      </c>
      <c r="F2116">
        <v>82052.020860000004</v>
      </c>
      <c r="G2116" s="1">
        <v>8.4200000000000005E-7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0</v>
      </c>
      <c r="M2116" s="1">
        <f t="shared" si="135"/>
        <v>0</v>
      </c>
      <c r="N2116" s="1">
        <f t="shared" si="136"/>
        <v>3.3246384845972234E-3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>
        <v>0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0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>
        <v>0</v>
      </c>
      <c r="D2118">
        <v>2017.674109</v>
      </c>
      <c r="E2118">
        <v>0</v>
      </c>
      <c r="F2118">
        <v>4621.0081330000003</v>
      </c>
      <c r="G2118" s="1">
        <v>3.5499999999999999E-7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0</v>
      </c>
      <c r="M2118" s="1">
        <f t="shared" si="135"/>
        <v>0</v>
      </c>
      <c r="N2118" s="1">
        <f t="shared" si="136"/>
        <v>3.114345410243535E-3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>
        <v>0</v>
      </c>
      <c r="F2119">
        <v>118583.8839</v>
      </c>
      <c r="G2119" s="1">
        <v>2.2900000000000001E-5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0</v>
      </c>
      <c r="M2119" s="1">
        <f t="shared" si="135"/>
        <v>0</v>
      </c>
      <c r="N2119" s="1">
        <f t="shared" si="136"/>
        <v>7.5423736610672198E-2</v>
      </c>
      <c r="O2119" s="1"/>
    </row>
    <row r="2120" spans="1:15" x14ac:dyDescent="0.25">
      <c r="A2120">
        <v>3953</v>
      </c>
      <c r="B2120">
        <v>1105.8676579999999</v>
      </c>
      <c r="C2120">
        <v>0</v>
      </c>
      <c r="D2120">
        <v>15204.154759999999</v>
      </c>
      <c r="E2120">
        <v>0</v>
      </c>
      <c r="F2120">
        <v>96245.828030000004</v>
      </c>
      <c r="G2120" s="1">
        <v>-3.0199999999999998E-7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0</v>
      </c>
      <c r="M2120" s="1">
        <f t="shared" si="135"/>
        <v>0</v>
      </c>
      <c r="N2120" s="1">
        <f t="shared" si="136"/>
        <v>-2.280019930850532E-3</v>
      </c>
      <c r="O2120" s="1"/>
    </row>
    <row r="2121" spans="1:15" x14ac:dyDescent="0.25">
      <c r="A2121">
        <v>3954</v>
      </c>
      <c r="B2121">
        <v>124.7479496</v>
      </c>
      <c r="C2121">
        <v>0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0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>
        <v>0</v>
      </c>
      <c r="D2122">
        <v>2101.1107550000002</v>
      </c>
      <c r="E2122">
        <v>0</v>
      </c>
      <c r="F2122">
        <v>32382.266009999999</v>
      </c>
      <c r="G2122" s="1">
        <v>-4.4100000000000001E-6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0</v>
      </c>
      <c r="M2122" s="1">
        <f t="shared" si="135"/>
        <v>0</v>
      </c>
      <c r="N2122" s="1">
        <f t="shared" si="136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>
        <v>0</v>
      </c>
      <c r="D2123">
        <v>2100.7613670000001</v>
      </c>
      <c r="E2123">
        <v>0</v>
      </c>
      <c r="F2123">
        <v>15822.67222</v>
      </c>
      <c r="G2123" s="1">
        <v>-2.43E-6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0</v>
      </c>
      <c r="M2123" s="1">
        <f t="shared" si="135"/>
        <v>0</v>
      </c>
      <c r="N2123" s="1">
        <f t="shared" si="136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>
        <v>0</v>
      </c>
      <c r="D2124">
        <v>7816.4754579999999</v>
      </c>
      <c r="E2124">
        <v>0</v>
      </c>
      <c r="F2124">
        <v>75280.784350000002</v>
      </c>
      <c r="G2124" s="1">
        <v>-3.27E-6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0</v>
      </c>
      <c r="M2124" s="1">
        <f t="shared" si="135"/>
        <v>0</v>
      </c>
      <c r="N2124" s="1">
        <f t="shared" si="136"/>
        <v>-2.055977515948491E-2</v>
      </c>
      <c r="O2124" s="1"/>
    </row>
    <row r="2125" spans="1:15" x14ac:dyDescent="0.25">
      <c r="A2125">
        <v>3958</v>
      </c>
      <c r="B2125">
        <v>1005.928928</v>
      </c>
      <c r="C2125">
        <v>0</v>
      </c>
      <c r="D2125">
        <v>20945.745630000001</v>
      </c>
      <c r="E2125">
        <v>0</v>
      </c>
      <c r="F2125">
        <v>155045.432</v>
      </c>
      <c r="G2125" s="1">
        <v>-2.4899999999999999E-5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0</v>
      </c>
      <c r="M2125" s="1">
        <f t="shared" si="135"/>
        <v>0</v>
      </c>
      <c r="N2125" s="1">
        <f t="shared" si="136"/>
        <v>-0.17856622083529078</v>
      </c>
      <c r="O2125" s="1"/>
    </row>
    <row r="2126" spans="1:15" x14ac:dyDescent="0.25">
      <c r="A2126">
        <v>3959</v>
      </c>
      <c r="B2126">
        <v>651.69277009999996</v>
      </c>
      <c r="C2126">
        <v>0</v>
      </c>
      <c r="D2126">
        <v>5860.2436719999996</v>
      </c>
      <c r="E2126">
        <v>0</v>
      </c>
      <c r="F2126">
        <v>75548.823239999998</v>
      </c>
      <c r="G2126" s="1">
        <v>3.72E-6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0</v>
      </c>
      <c r="M2126" s="1">
        <f t="shared" si="135"/>
        <v>0</v>
      </c>
      <c r="N2126" s="1">
        <f t="shared" si="136"/>
        <v>2.1502187352377283E-2</v>
      </c>
      <c r="O2126" s="1"/>
    </row>
    <row r="2127" spans="1:15" x14ac:dyDescent="0.25">
      <c r="A2127">
        <v>3960</v>
      </c>
      <c r="B2127">
        <v>1264.6984219999999</v>
      </c>
      <c r="C2127">
        <v>0</v>
      </c>
      <c r="D2127">
        <v>7279.8287600000003</v>
      </c>
      <c r="E2127">
        <v>0</v>
      </c>
      <c r="F2127">
        <v>68665.689859999999</v>
      </c>
      <c r="G2127" s="1">
        <v>-7.5199999999999996E-7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0</v>
      </c>
      <c r="M2127" s="1">
        <f t="shared" si="135"/>
        <v>0</v>
      </c>
      <c r="N2127" s="1">
        <f t="shared" si="136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>
        <v>0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0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>
        <v>0</v>
      </c>
      <c r="D2129">
        <v>8261.4728230000001</v>
      </c>
      <c r="E2129">
        <v>0</v>
      </c>
      <c r="F2129">
        <v>74335.334359999993</v>
      </c>
      <c r="G2129" s="1">
        <v>-2.79E-6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0</v>
      </c>
      <c r="M2129" s="1">
        <f t="shared" si="135"/>
        <v>0</v>
      </c>
      <c r="N2129" s="1">
        <f t="shared" si="136"/>
        <v>-2.635961583751173E-2</v>
      </c>
      <c r="O2129" s="1"/>
    </row>
    <row r="2130" spans="1:15" x14ac:dyDescent="0.25">
      <c r="A2130">
        <v>3963</v>
      </c>
      <c r="B2130">
        <v>276.89553569999998</v>
      </c>
      <c r="C2130">
        <v>0</v>
      </c>
      <c r="D2130">
        <v>12904.522709999999</v>
      </c>
      <c r="E2130">
        <v>0</v>
      </c>
      <c r="F2130">
        <v>102131.91280000001</v>
      </c>
      <c r="G2130" s="1">
        <v>-4.6499999999999999E-5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0</v>
      </c>
      <c r="M2130" s="1">
        <f t="shared" si="135"/>
        <v>0</v>
      </c>
      <c r="N2130" s="1">
        <f t="shared" si="136"/>
        <v>-0.22687945954780095</v>
      </c>
      <c r="O2130" s="1"/>
    </row>
    <row r="2131" spans="1:15" x14ac:dyDescent="0.25">
      <c r="A2131">
        <v>3964</v>
      </c>
      <c r="B2131">
        <v>337.26902760000002</v>
      </c>
      <c r="C2131">
        <v>0</v>
      </c>
      <c r="D2131">
        <v>1205.910721</v>
      </c>
      <c r="E2131">
        <v>0</v>
      </c>
      <c r="F2131">
        <v>36256.298690000003</v>
      </c>
      <c r="G2131" s="1">
        <v>1.99E-6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0</v>
      </c>
      <c r="M2131" s="1">
        <f t="shared" si="135"/>
        <v>0</v>
      </c>
      <c r="N2131" s="1">
        <f t="shared" si="136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>
        <v>0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0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>
        <v>0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0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>
        <v>0</v>
      </c>
      <c r="F2138">
        <v>52977.594340000003</v>
      </c>
      <c r="G2138" s="1">
        <v>-2.7999999999999999E-6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0</v>
      </c>
      <c r="N2138" s="1">
        <f t="shared" si="136"/>
        <v>-1.0210640657109481E-2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>
        <v>0</v>
      </c>
      <c r="F2139">
        <v>132692.69630000001</v>
      </c>
      <c r="G2139" s="1">
        <v>3.4199999999999998E-5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0</v>
      </c>
      <c r="M2139" s="1">
        <f t="shared" si="135"/>
        <v>0</v>
      </c>
      <c r="N2139" s="1">
        <f t="shared" si="136"/>
        <v>0.11861725025134079</v>
      </c>
      <c r="O2139" s="1"/>
    </row>
    <row r="2140" spans="1:15" x14ac:dyDescent="0.25">
      <c r="A2140">
        <v>3973</v>
      </c>
      <c r="B2140">
        <v>2092.3009579999998</v>
      </c>
      <c r="C2140">
        <v>0</v>
      </c>
      <c r="D2140">
        <v>41455.420480000001</v>
      </c>
      <c r="E2140">
        <v>0</v>
      </c>
      <c r="F2140">
        <v>142251.177</v>
      </c>
      <c r="G2140" s="1">
        <v>-1.2999999999999999E-5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0</v>
      </c>
      <c r="M2140" s="1">
        <f t="shared" si="135"/>
        <v>0</v>
      </c>
      <c r="N2140" s="1">
        <f t="shared" si="136"/>
        <v>-2.05346061665082E-2</v>
      </c>
      <c r="O2140" s="1"/>
    </row>
    <row r="2141" spans="1:15" x14ac:dyDescent="0.25">
      <c r="A2141">
        <v>3974</v>
      </c>
      <c r="B2141">
        <v>401.83859080000002</v>
      </c>
      <c r="C2141">
        <v>0</v>
      </c>
      <c r="D2141">
        <v>2715.7139849999999</v>
      </c>
      <c r="E2141">
        <v>0</v>
      </c>
      <c r="F2141">
        <v>42440.181470000003</v>
      </c>
      <c r="G2141" s="1">
        <v>4.5399999999999997E-6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0</v>
      </c>
      <c r="M2141" s="1">
        <f t="shared" si="135"/>
        <v>0</v>
      </c>
      <c r="N2141" s="1">
        <f t="shared" si="136"/>
        <v>1.5413112085474717E-2</v>
      </c>
      <c r="O2141" s="1"/>
    </row>
    <row r="2142" spans="1:15" x14ac:dyDescent="0.25">
      <c r="A2142">
        <v>4000</v>
      </c>
      <c r="B2142">
        <v>5799.9540150000003</v>
      </c>
      <c r="C2142">
        <v>0</v>
      </c>
      <c r="D2142">
        <v>14475.5077</v>
      </c>
      <c r="E2142">
        <v>0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0</v>
      </c>
      <c r="M2142" s="1">
        <f t="shared" si="135"/>
        <v>0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>
        <v>0</v>
      </c>
      <c r="D2143">
        <v>11914.336960000001</v>
      </c>
      <c r="E2143">
        <v>0</v>
      </c>
      <c r="F2143">
        <v>41788.005490000003</v>
      </c>
      <c r="G2143" s="1">
        <v>6.6000000000000003E-7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0</v>
      </c>
      <c r="M2143" s="1">
        <f t="shared" si="135"/>
        <v>0</v>
      </c>
      <c r="N2143" s="1">
        <f t="shared" si="136"/>
        <v>3.5721814178041205E-3</v>
      </c>
      <c r="O2143" s="1"/>
    </row>
    <row r="2144" spans="1:15" x14ac:dyDescent="0.25">
      <c r="A2144">
        <v>4002</v>
      </c>
      <c r="B2144">
        <v>4419.7432209999997</v>
      </c>
      <c r="C2144">
        <v>0</v>
      </c>
      <c r="D2144">
        <v>17134.485929999999</v>
      </c>
      <c r="E2144">
        <v>0</v>
      </c>
      <c r="F2144">
        <v>53416.424249999996</v>
      </c>
      <c r="G2144" s="1">
        <v>7.6000000000000003E-7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0</v>
      </c>
      <c r="M2144" s="1">
        <f t="shared" si="135"/>
        <v>0</v>
      </c>
      <c r="N2144" s="1">
        <f t="shared" si="136"/>
        <v>2.599855370219208E-3</v>
      </c>
      <c r="O2144" s="1"/>
    </row>
    <row r="2145" spans="1:15" x14ac:dyDescent="0.25">
      <c r="A2145">
        <v>4003</v>
      </c>
      <c r="B2145">
        <v>1648.487809</v>
      </c>
      <c r="C2145">
        <v>0</v>
      </c>
      <c r="D2145">
        <v>15121.950409999999</v>
      </c>
      <c r="E2145">
        <v>0</v>
      </c>
      <c r="F2145">
        <v>59483.179409999997</v>
      </c>
      <c r="G2145" s="1">
        <v>4.3699999999999997E-6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0</v>
      </c>
      <c r="M2145" s="1">
        <f t="shared" si="135"/>
        <v>0</v>
      </c>
      <c r="N2145" s="1">
        <f t="shared" si="136"/>
        <v>1.9925990851558537E-2</v>
      </c>
      <c r="O2145" s="1"/>
    </row>
    <row r="2146" spans="1:15" x14ac:dyDescent="0.25">
      <c r="A2146">
        <v>4004</v>
      </c>
      <c r="B2146">
        <v>5301.5988520000001</v>
      </c>
      <c r="C2146">
        <v>0</v>
      </c>
      <c r="D2146">
        <v>13690.91892</v>
      </c>
      <c r="E2146">
        <v>0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0</v>
      </c>
      <c r="M2146" s="1">
        <f t="shared" si="135"/>
        <v>0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 s="1">
        <v>3.5599999999999998E-6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0</v>
      </c>
      <c r="M2147" s="1">
        <f t="shared" si="135"/>
        <v>0</v>
      </c>
      <c r="N2147" s="1">
        <f t="shared" si="136"/>
        <v>1.828723558519656E-2</v>
      </c>
      <c r="O2147" s="1"/>
    </row>
    <row r="2148" spans="1:15" x14ac:dyDescent="0.25">
      <c r="A2148">
        <v>4008</v>
      </c>
      <c r="B2148">
        <v>1289.558135</v>
      </c>
      <c r="C2148">
        <v>0</v>
      </c>
      <c r="D2148">
        <v>24155.833269999999</v>
      </c>
      <c r="E2148">
        <v>0</v>
      </c>
      <c r="F2148">
        <v>98862.053109999993</v>
      </c>
      <c r="G2148" s="1">
        <v>-2.0999999999999998E-6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0</v>
      </c>
      <c r="M2148" s="1">
        <f t="shared" si="135"/>
        <v>0</v>
      </c>
      <c r="N2148" s="1">
        <f t="shared" si="136"/>
        <v>-1.67942268174429E-2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>
        <v>0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0</v>
      </c>
      <c r="M2149" s="1">
        <f t="shared" si="135"/>
        <v>0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>
        <v>0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0</v>
      </c>
      <c r="M2150" s="1">
        <f t="shared" si="135"/>
        <v>0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>
        <v>0</v>
      </c>
      <c r="F2151">
        <v>39646.805220000002</v>
      </c>
      <c r="G2151" s="1">
        <v>4.3000000000000001E-7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0</v>
      </c>
      <c r="N2151" s="1">
        <f t="shared" si="136"/>
        <v>2.7279303148030204E-3</v>
      </c>
      <c r="O2151" s="1"/>
    </row>
    <row r="2152" spans="1:15" x14ac:dyDescent="0.25">
      <c r="A2152">
        <v>4012</v>
      </c>
      <c r="B2152">
        <v>6623.147586</v>
      </c>
      <c r="C2152">
        <v>0</v>
      </c>
      <c r="D2152">
        <v>12714.53008</v>
      </c>
      <c r="E2152">
        <v>0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0</v>
      </c>
      <c r="M2152" s="1">
        <f t="shared" si="135"/>
        <v>0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>
        <v>0</v>
      </c>
      <c r="F2153">
        <v>47212.271760000003</v>
      </c>
      <c r="G2153" s="1">
        <v>4.4599999999999996E-6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0</v>
      </c>
      <c r="M2153" s="1">
        <f t="shared" si="135"/>
        <v>0</v>
      </c>
      <c r="N2153" s="1">
        <f t="shared" si="136"/>
        <v>2.7711315374268661E-2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0</v>
      </c>
      <c r="M2154" s="1">
        <f t="shared" si="135"/>
        <v>0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>
        <v>0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0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>
        <v>0</v>
      </c>
      <c r="D2156">
        <v>17664.115549999999</v>
      </c>
      <c r="E2156">
        <v>0</v>
      </c>
      <c r="F2156">
        <v>48725.807710000001</v>
      </c>
      <c r="G2156" s="1">
        <v>8.6000000000000002E-7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0</v>
      </c>
      <c r="M2156" s="1">
        <f t="shared" si="135"/>
        <v>0</v>
      </c>
      <c r="N2156" s="1">
        <f t="shared" si="136"/>
        <v>1.671560540127342E-3</v>
      </c>
      <c r="O2156" s="1"/>
    </row>
    <row r="2157" spans="1:15" x14ac:dyDescent="0.25">
      <c r="A2157">
        <v>4019</v>
      </c>
      <c r="B2157">
        <v>3857.0200089999998</v>
      </c>
      <c r="C2157">
        <v>0</v>
      </c>
      <c r="D2157">
        <v>21388.79261</v>
      </c>
      <c r="E2157">
        <v>0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0</v>
      </c>
      <c r="M2157" s="1">
        <f t="shared" si="135"/>
        <v>0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>
        <v>0</v>
      </c>
      <c r="D2158">
        <v>22351.387930000001</v>
      </c>
      <c r="E2158">
        <v>0</v>
      </c>
      <c r="F2158">
        <v>50077.610309999996</v>
      </c>
      <c r="G2158" s="1">
        <v>-1.6999999999999999E-7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0</v>
      </c>
      <c r="M2158" s="1">
        <f t="shared" si="135"/>
        <v>0</v>
      </c>
      <c r="N2158" s="1">
        <f t="shared" si="136"/>
        <v>-7.6431473416194E-4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>
        <v>0</v>
      </c>
      <c r="F2159">
        <v>62970.393519999998</v>
      </c>
      <c r="G2159" s="1">
        <v>-4.4000000000000002E-7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0</v>
      </c>
      <c r="M2159" s="1">
        <f t="shared" si="135"/>
        <v>0</v>
      </c>
      <c r="N2159" s="1">
        <f t="shared" si="136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>
        <v>0</v>
      </c>
      <c r="F2160">
        <v>23334.744790000001</v>
      </c>
      <c r="G2160" s="1">
        <v>7.5000000000000002E-7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0</v>
      </c>
      <c r="N2160" s="1">
        <f t="shared" si="136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>
        <v>0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0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>
        <v>0</v>
      </c>
      <c r="D2162">
        <v>8351.4342369999995</v>
      </c>
      <c r="E2162">
        <v>0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0</v>
      </c>
      <c r="M2162" s="1">
        <f t="shared" si="135"/>
        <v>0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>
        <v>0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0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>
        <v>0</v>
      </c>
      <c r="D2164">
        <v>13231.72271</v>
      </c>
      <c r="E2164">
        <v>0</v>
      </c>
      <c r="F2164">
        <v>60151.608910000003</v>
      </c>
      <c r="G2164" s="1">
        <v>-4.9100000000000004E-6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0</v>
      </c>
      <c r="M2164" s="1">
        <f t="shared" si="135"/>
        <v>0</v>
      </c>
      <c r="N2164" s="1">
        <f t="shared" si="136"/>
        <v>-4.0582284413539144E-2</v>
      </c>
      <c r="O2164" s="1"/>
    </row>
    <row r="2165" spans="1:15" x14ac:dyDescent="0.25">
      <c r="A2165">
        <v>4029</v>
      </c>
      <c r="B2165">
        <v>1715.932368</v>
      </c>
      <c r="C2165">
        <v>0</v>
      </c>
      <c r="D2165">
        <v>15022.9671</v>
      </c>
      <c r="E2165">
        <v>0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0</v>
      </c>
      <c r="M2165" s="1">
        <f t="shared" si="135"/>
        <v>0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>
        <v>0</v>
      </c>
      <c r="D2166">
        <v>24923.46529</v>
      </c>
      <c r="E2166">
        <v>0</v>
      </c>
      <c r="F2166">
        <v>99332.033179999999</v>
      </c>
      <c r="G2166" s="1">
        <v>6.7999999999999995E-7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0</v>
      </c>
      <c r="M2166" s="1">
        <f t="shared" si="135"/>
        <v>0</v>
      </c>
      <c r="N2166" s="1">
        <f t="shared" si="136"/>
        <v>3.9105285368564403E-3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>
        <v>0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0</v>
      </c>
      <c r="M2167" s="1">
        <f t="shared" si="135"/>
        <v>0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>
        <v>0</v>
      </c>
      <c r="D2168">
        <v>21723.211759999998</v>
      </c>
      <c r="E2168">
        <v>0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0</v>
      </c>
      <c r="M2168" s="1">
        <f t="shared" si="135"/>
        <v>0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>
        <v>0</v>
      </c>
      <c r="D2169">
        <v>40643.588349999998</v>
      </c>
      <c r="E2169">
        <v>0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0</v>
      </c>
      <c r="M2169" s="1">
        <f t="shared" si="135"/>
        <v>0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>
        <v>0</v>
      </c>
      <c r="D2170">
        <v>23256.401030000001</v>
      </c>
      <c r="E2170">
        <v>0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0</v>
      </c>
      <c r="M2170" s="1">
        <f t="shared" si="135"/>
        <v>0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>
        <v>0</v>
      </c>
      <c r="D2171">
        <v>89564.223010000002</v>
      </c>
      <c r="E2171">
        <v>0</v>
      </c>
      <c r="F2171">
        <v>258184.7438</v>
      </c>
      <c r="G2171" s="1">
        <v>7.7100000000000007E-6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0</v>
      </c>
      <c r="M2171" s="1">
        <f t="shared" si="135"/>
        <v>0</v>
      </c>
      <c r="N2171" s="1">
        <f t="shared" si="136"/>
        <v>2.229618789094583E-2</v>
      </c>
      <c r="O2171" s="1"/>
    </row>
    <row r="2172" spans="1:15" x14ac:dyDescent="0.25">
      <c r="A2172">
        <v>4038</v>
      </c>
      <c r="B2172">
        <v>6596.9160410000004</v>
      </c>
      <c r="C2172">
        <v>0</v>
      </c>
      <c r="D2172">
        <v>37279.040860000001</v>
      </c>
      <c r="E2172">
        <v>0</v>
      </c>
      <c r="F2172">
        <v>176683.0626</v>
      </c>
      <c r="G2172" s="1">
        <v>-2.1800000000000001E-5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0</v>
      </c>
      <c r="M2172" s="1">
        <f t="shared" si="135"/>
        <v>0</v>
      </c>
      <c r="N2172" s="1">
        <f t="shared" si="136"/>
        <v>-5.2079088423803169E-2</v>
      </c>
      <c r="O2172" s="1"/>
    </row>
    <row r="2173" spans="1:15" x14ac:dyDescent="0.25">
      <c r="A2173">
        <v>4039</v>
      </c>
      <c r="B2173">
        <v>11227.750959999999</v>
      </c>
      <c r="C2173">
        <v>0</v>
      </c>
      <c r="D2173">
        <v>25296.418249999999</v>
      </c>
      <c r="E2173">
        <v>0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</v>
      </c>
      <c r="M2173" s="1">
        <f t="shared" si="135"/>
        <v>0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>
        <v>0</v>
      </c>
      <c r="D2174">
        <v>44385.356440000003</v>
      </c>
      <c r="E2174">
        <v>0</v>
      </c>
      <c r="F2174">
        <v>198049.45170000001</v>
      </c>
      <c r="G2174" s="1">
        <v>-3.6200000000000001E-6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</v>
      </c>
      <c r="M2174" s="1">
        <f t="shared" si="135"/>
        <v>0</v>
      </c>
      <c r="N2174" s="1">
        <f t="shared" si="136"/>
        <v>-2.6813600300418662E-2</v>
      </c>
      <c r="O2174" s="1"/>
    </row>
    <row r="2175" spans="1:15" x14ac:dyDescent="0.25">
      <c r="A2175">
        <v>4043</v>
      </c>
      <c r="B2175">
        <v>7117.353075</v>
      </c>
      <c r="C2175">
        <v>0</v>
      </c>
      <c r="D2175">
        <v>20445.93736</v>
      </c>
      <c r="E2175">
        <v>0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0</v>
      </c>
      <c r="M2175" s="1">
        <f t="shared" si="135"/>
        <v>0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>
        <v>0</v>
      </c>
      <c r="D2176">
        <v>38393.891470000002</v>
      </c>
      <c r="E2176">
        <v>0</v>
      </c>
      <c r="F2176">
        <v>94055.779680000007</v>
      </c>
      <c r="G2176" s="1">
        <v>6.1999999999999999E-7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</v>
      </c>
      <c r="M2176" s="1">
        <f t="shared" si="135"/>
        <v>0</v>
      </c>
      <c r="N2176" s="1">
        <f t="shared" si="136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0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 s="1">
        <v>7.0500000000000003E-7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0</v>
      </c>
      <c r="M2179" s="1">
        <f t="shared" ref="M2179:M2242" si="139">$U$3*$K2179*E2179</f>
        <v>0</v>
      </c>
      <c r="N2179" s="1">
        <f t="shared" ref="N2179:N2242" si="140">$U$4*$K2179*G2179</f>
        <v>1.8111333202301027E-2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>
        <v>0</v>
      </c>
      <c r="F2180">
        <v>134901.70110000001</v>
      </c>
      <c r="G2180" s="1">
        <v>3.0899999999999999E-5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0</v>
      </c>
      <c r="M2180" s="1">
        <f t="shared" si="139"/>
        <v>0</v>
      </c>
      <c r="N2180" s="1">
        <f t="shared" si="140"/>
        <v>0.10631497147536978</v>
      </c>
      <c r="O2180" s="1"/>
    </row>
    <row r="2181" spans="1:15" x14ac:dyDescent="0.25">
      <c r="A2181">
        <v>4049</v>
      </c>
      <c r="B2181">
        <v>5306.5552209999996</v>
      </c>
      <c r="C2181">
        <v>0</v>
      </c>
      <c r="D2181">
        <v>28197.606769999999</v>
      </c>
      <c r="E2181">
        <v>0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0</v>
      </c>
      <c r="M2181" s="1">
        <f t="shared" si="139"/>
        <v>0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>
        <v>0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0</v>
      </c>
      <c r="M2182" s="1">
        <f t="shared" si="139"/>
        <v>0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>
        <v>0</v>
      </c>
      <c r="D2183">
        <v>65432.556060000003</v>
      </c>
      <c r="E2183">
        <v>0</v>
      </c>
      <c r="F2183">
        <v>234270.0987</v>
      </c>
      <c r="G2183" s="1">
        <v>3.8000000000000002E-5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0</v>
      </c>
      <c r="M2183" s="1">
        <f t="shared" si="139"/>
        <v>0</v>
      </c>
      <c r="N2183" s="1">
        <f t="shared" si="140"/>
        <v>0.21957710088376206</v>
      </c>
      <c r="O2183" s="1"/>
    </row>
    <row r="2184" spans="1:15" x14ac:dyDescent="0.25">
      <c r="A2184">
        <v>4052</v>
      </c>
      <c r="B2184">
        <v>10661.08023</v>
      </c>
      <c r="C2184">
        <v>0</v>
      </c>
      <c r="D2184">
        <v>107465.83719999999</v>
      </c>
      <c r="E2184">
        <v>0</v>
      </c>
      <c r="F2184">
        <v>282722.91649999999</v>
      </c>
      <c r="G2184" s="1">
        <v>-3.6600000000000002E-5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0</v>
      </c>
      <c r="M2184" s="1">
        <f t="shared" si="139"/>
        <v>0</v>
      </c>
      <c r="N2184" s="1">
        <f t="shared" si="140"/>
        <v>-0.15548933908212983</v>
      </c>
      <c r="O2184" s="1"/>
    </row>
    <row r="2185" spans="1:15" x14ac:dyDescent="0.25">
      <c r="A2185">
        <v>4053</v>
      </c>
      <c r="B2185">
        <v>3387.872343</v>
      </c>
      <c r="C2185">
        <v>0</v>
      </c>
      <c r="D2185">
        <v>20945.875810000001</v>
      </c>
      <c r="E2185">
        <v>0</v>
      </c>
      <c r="F2185">
        <v>105501.9526</v>
      </c>
      <c r="G2185" s="1">
        <v>-2.3900000000000002E-5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0</v>
      </c>
      <c r="M2185" s="1">
        <f t="shared" si="139"/>
        <v>0</v>
      </c>
      <c r="N2185" s="1">
        <f t="shared" si="140"/>
        <v>-0.11993520375630995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>
        <v>0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0</v>
      </c>
      <c r="M2186" s="1">
        <f t="shared" si="139"/>
        <v>0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>
        <v>0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0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>
        <v>0</v>
      </c>
      <c r="D2188">
        <v>24278.570889999999</v>
      </c>
      <c r="E2188">
        <v>0</v>
      </c>
      <c r="F2188">
        <v>91523.436660000007</v>
      </c>
      <c r="G2188" s="1">
        <v>3.1099999999999999E-6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0</v>
      </c>
      <c r="M2188" s="1">
        <f t="shared" si="139"/>
        <v>0</v>
      </c>
      <c r="N2188" s="1">
        <f t="shared" si="140"/>
        <v>2.5561904982258032E-2</v>
      </c>
      <c r="O2188" s="1"/>
    </row>
    <row r="2189" spans="1:15" x14ac:dyDescent="0.25">
      <c r="A2189">
        <v>4057</v>
      </c>
      <c r="B2189">
        <v>1149.3650580000001</v>
      </c>
      <c r="C2189">
        <v>0</v>
      </c>
      <c r="D2189">
        <v>14448.93564</v>
      </c>
      <c r="E2189">
        <v>0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0</v>
      </c>
      <c r="M2189" s="1">
        <f t="shared" si="139"/>
        <v>0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>
        <v>0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0</v>
      </c>
      <c r="M2190" s="1">
        <f t="shared" si="139"/>
        <v>0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>
        <v>0</v>
      </c>
      <c r="D2191">
        <v>28097.62053</v>
      </c>
      <c r="E2191">
        <v>0</v>
      </c>
      <c r="F2191">
        <v>55877.638059999997</v>
      </c>
      <c r="G2191" s="1">
        <v>4.78E-6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0</v>
      </c>
      <c r="M2191" s="1">
        <f t="shared" si="139"/>
        <v>0</v>
      </c>
      <c r="N2191" s="1">
        <f t="shared" si="140"/>
        <v>2.2185854458841737E-2</v>
      </c>
      <c r="O2191" s="1"/>
    </row>
    <row r="2192" spans="1:15" x14ac:dyDescent="0.25">
      <c r="A2192">
        <v>4060</v>
      </c>
      <c r="B2192">
        <v>7313.0569489999998</v>
      </c>
      <c r="C2192">
        <v>0</v>
      </c>
      <c r="D2192">
        <v>23180.956200000001</v>
      </c>
      <c r="E2192">
        <v>0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0</v>
      </c>
      <c r="M2192" s="1">
        <f t="shared" si="139"/>
        <v>0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>
        <v>0</v>
      </c>
      <c r="D2193">
        <v>26668.238120000002</v>
      </c>
      <c r="E2193">
        <v>0</v>
      </c>
      <c r="F2193">
        <v>107480.76360000001</v>
      </c>
      <c r="G2193" s="1">
        <v>3.5200000000000002E-5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0</v>
      </c>
      <c r="M2193" s="1">
        <f t="shared" si="139"/>
        <v>0</v>
      </c>
      <c r="N2193" s="1">
        <f t="shared" si="140"/>
        <v>0.25403250187835524</v>
      </c>
      <c r="O2193" s="1"/>
    </row>
    <row r="2194" spans="1:15" x14ac:dyDescent="0.25">
      <c r="A2194">
        <v>4101</v>
      </c>
      <c r="B2194">
        <v>9900.6343610000004</v>
      </c>
      <c r="C2194">
        <v>0</v>
      </c>
      <c r="D2194">
        <v>38703.0962</v>
      </c>
      <c r="E2194">
        <v>0</v>
      </c>
      <c r="F2194">
        <v>199345.97899999999</v>
      </c>
      <c r="G2194" s="1">
        <v>-2.4600000000000002E-5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0</v>
      </c>
      <c r="M2194" s="1">
        <f t="shared" si="139"/>
        <v>0</v>
      </c>
      <c r="N2194" s="1">
        <f t="shared" si="140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>
        <v>0</v>
      </c>
      <c r="F2195">
        <v>207156.66029999999</v>
      </c>
      <c r="G2195" s="1">
        <v>4.7700000000000001E-5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0</v>
      </c>
      <c r="N2195" s="1">
        <f t="shared" si="140"/>
        <v>0.17164922616434009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>
        <v>0</v>
      </c>
      <c r="F2196">
        <v>241806.56210000001</v>
      </c>
      <c r="G2196" s="1">
        <v>1.6699999999999999E-5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</v>
      </c>
      <c r="M2196" s="1">
        <f t="shared" si="139"/>
        <v>0</v>
      </c>
      <c r="N2196" s="1">
        <f t="shared" si="140"/>
        <v>0.12127050379750741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>
        <v>0</v>
      </c>
      <c r="F2197">
        <v>275340.54009999998</v>
      </c>
      <c r="G2197" s="1">
        <v>-2.65E-5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</v>
      </c>
      <c r="M2197" s="1">
        <f t="shared" si="139"/>
        <v>0</v>
      </c>
      <c r="N2197" s="1">
        <f t="shared" si="140"/>
        <v>-0.12507177487662902</v>
      </c>
      <c r="O2197" s="1"/>
    </row>
    <row r="2198" spans="1:15" x14ac:dyDescent="0.25">
      <c r="A2198">
        <v>4105</v>
      </c>
      <c r="B2198">
        <v>79133.727929999994</v>
      </c>
      <c r="C2198">
        <v>0</v>
      </c>
      <c r="D2198">
        <v>275445.91810000001</v>
      </c>
      <c r="E2198">
        <v>0</v>
      </c>
      <c r="F2198">
        <v>1002021.515</v>
      </c>
      <c r="G2198">
        <v>-1.2362000000000001E-4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0</v>
      </c>
      <c r="M2198" s="1">
        <f t="shared" si="139"/>
        <v>0</v>
      </c>
      <c r="N2198" s="1">
        <f t="shared" si="140"/>
        <v>-7.7660379296375662E-2</v>
      </c>
      <c r="O2198" s="1"/>
    </row>
    <row r="2199" spans="1:15" x14ac:dyDescent="0.25">
      <c r="A2199">
        <v>4106</v>
      </c>
      <c r="B2199">
        <v>19573.121800000001</v>
      </c>
      <c r="C2199">
        <v>0</v>
      </c>
      <c r="D2199">
        <v>93815.516529999994</v>
      </c>
      <c r="E2199">
        <v>0</v>
      </c>
      <c r="F2199">
        <v>321663.07520000002</v>
      </c>
      <c r="G2199" s="1">
        <v>4.6600000000000001E-5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0</v>
      </c>
      <c r="M2199" s="1">
        <f t="shared" si="139"/>
        <v>0</v>
      </c>
      <c r="N2199" s="1">
        <f t="shared" si="140"/>
        <v>8.3355543061203782E-2</v>
      </c>
      <c r="O2199" s="1"/>
    </row>
    <row r="2200" spans="1:15" x14ac:dyDescent="0.25">
      <c r="A2200">
        <v>4107</v>
      </c>
      <c r="B2200">
        <v>85080.976739999998</v>
      </c>
      <c r="C2200">
        <v>0</v>
      </c>
      <c r="D2200">
        <v>271160.11430000002</v>
      </c>
      <c r="E2200">
        <v>0</v>
      </c>
      <c r="F2200">
        <v>982515.70929999999</v>
      </c>
      <c r="G2200" s="1">
        <v>3.7100000000000001E-5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0</v>
      </c>
      <c r="M2200" s="1">
        <f t="shared" si="139"/>
        <v>0</v>
      </c>
      <c r="N2200" s="1">
        <f t="shared" si="140"/>
        <v>3.9365090025772778E-2</v>
      </c>
      <c r="O2200" s="1"/>
    </row>
    <row r="2201" spans="1:15" x14ac:dyDescent="0.25">
      <c r="A2201">
        <v>4108</v>
      </c>
      <c r="B2201">
        <v>18123.152470000001</v>
      </c>
      <c r="C2201">
        <v>0</v>
      </c>
      <c r="D2201">
        <v>125356.7368</v>
      </c>
      <c r="E2201">
        <v>0</v>
      </c>
      <c r="F2201">
        <v>378580.24660000001</v>
      </c>
      <c r="G2201" s="1">
        <v>7.6899999999999992E-6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0</v>
      </c>
      <c r="M2201" s="1">
        <f t="shared" si="139"/>
        <v>0</v>
      </c>
      <c r="N2201" s="1">
        <f t="shared" si="140"/>
        <v>2.4378580921131422E-2</v>
      </c>
      <c r="O2201" s="1"/>
    </row>
    <row r="2202" spans="1:15" x14ac:dyDescent="0.25">
      <c r="A2202">
        <v>4109</v>
      </c>
      <c r="B2202">
        <v>23743.06594</v>
      </c>
      <c r="C2202">
        <v>0</v>
      </c>
      <c r="D2202">
        <v>188215.12400000001</v>
      </c>
      <c r="E2202">
        <v>0</v>
      </c>
      <c r="F2202">
        <v>548600.78489999997</v>
      </c>
      <c r="G2202" s="1">
        <v>2.73E-5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0</v>
      </c>
      <c r="M2202" s="1">
        <f t="shared" si="139"/>
        <v>0</v>
      </c>
      <c r="N2202" s="1">
        <f t="shared" si="140"/>
        <v>6.0617264273100997E-2</v>
      </c>
      <c r="O2202" s="1"/>
    </row>
    <row r="2203" spans="1:15" x14ac:dyDescent="0.25">
      <c r="A2203">
        <v>4110</v>
      </c>
      <c r="B2203">
        <v>16826.6819</v>
      </c>
      <c r="C2203">
        <v>0</v>
      </c>
      <c r="D2203">
        <v>63807.832799999996</v>
      </c>
      <c r="E2203">
        <v>0</v>
      </c>
      <c r="F2203">
        <v>260579.30840000001</v>
      </c>
      <c r="G2203" s="1">
        <v>-9.5899999999999997E-6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0</v>
      </c>
      <c r="M2203" s="1">
        <f t="shared" si="139"/>
        <v>0</v>
      </c>
      <c r="N2203" s="1">
        <f t="shared" si="140"/>
        <v>-4.3915960645500643E-3</v>
      </c>
      <c r="O2203" s="1"/>
    </row>
    <row r="2204" spans="1:15" x14ac:dyDescent="0.25">
      <c r="A2204">
        <v>4111</v>
      </c>
      <c r="B2204">
        <v>49333.38869</v>
      </c>
      <c r="C2204">
        <v>0</v>
      </c>
      <c r="D2204">
        <v>223773.59039999999</v>
      </c>
      <c r="E2204">
        <v>0</v>
      </c>
      <c r="F2204">
        <v>677297.27980000002</v>
      </c>
      <c r="G2204" s="1">
        <v>3.4600000000000001E-5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0</v>
      </c>
      <c r="M2204" s="1">
        <f t="shared" si="139"/>
        <v>0</v>
      </c>
      <c r="N2204" s="1">
        <f t="shared" si="140"/>
        <v>2.4044746474351147E-2</v>
      </c>
      <c r="O2204" s="1"/>
    </row>
    <row r="2205" spans="1:15" x14ac:dyDescent="0.25">
      <c r="A2205">
        <v>4112</v>
      </c>
      <c r="B2205">
        <v>41608.118340000001</v>
      </c>
      <c r="C2205">
        <v>0</v>
      </c>
      <c r="D2205">
        <v>217201.34950000001</v>
      </c>
      <c r="E2205">
        <v>0</v>
      </c>
      <c r="F2205">
        <v>601157.3909</v>
      </c>
      <c r="G2205" s="1">
        <v>-2.1399999999999998E-5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0</v>
      </c>
      <c r="M2205" s="1">
        <f t="shared" si="139"/>
        <v>0</v>
      </c>
      <c r="N2205" s="1">
        <f t="shared" si="140"/>
        <v>-2.3775597408622798E-2</v>
      </c>
      <c r="O2205" s="1"/>
    </row>
    <row r="2206" spans="1:15" x14ac:dyDescent="0.25">
      <c r="A2206">
        <v>4113</v>
      </c>
      <c r="B2206">
        <v>1346.564715</v>
      </c>
      <c r="C2206">
        <v>0</v>
      </c>
      <c r="D2206">
        <v>16070.73675</v>
      </c>
      <c r="E2206">
        <v>0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0</v>
      </c>
      <c r="M2206" s="1">
        <f t="shared" si="139"/>
        <v>0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>
        <v>0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0</v>
      </c>
      <c r="M2207" s="1">
        <f t="shared" si="139"/>
        <v>0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>
        <v>0</v>
      </c>
      <c r="F2208">
        <v>225985.8143</v>
      </c>
      <c r="G2208" s="1">
        <v>-1.49E-5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0</v>
      </c>
      <c r="M2208" s="1">
        <f t="shared" si="139"/>
        <v>0</v>
      </c>
      <c r="N2208" s="1">
        <f t="shared" si="140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>
        <v>0</v>
      </c>
      <c r="D2209">
        <v>40659.057309999997</v>
      </c>
      <c r="E2209">
        <v>0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0</v>
      </c>
      <c r="M2209" s="1">
        <f t="shared" si="139"/>
        <v>0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>
        <v>0</v>
      </c>
      <c r="D2210">
        <v>33725.763339999998</v>
      </c>
      <c r="E2210">
        <v>0</v>
      </c>
      <c r="F2210">
        <v>153073.74179999999</v>
      </c>
      <c r="G2210" s="1">
        <v>1.1600000000000001E-5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0</v>
      </c>
      <c r="M2210" s="1">
        <f t="shared" si="139"/>
        <v>0</v>
      </c>
      <c r="N2210" s="1">
        <f t="shared" si="140"/>
        <v>5.1174576838170248E-2</v>
      </c>
      <c r="O2210" s="1"/>
    </row>
    <row r="2211" spans="1:15" x14ac:dyDescent="0.25">
      <c r="A2211">
        <v>4118</v>
      </c>
      <c r="B2211">
        <v>11682.922130000001</v>
      </c>
      <c r="C2211">
        <v>0</v>
      </c>
      <c r="D2211">
        <v>105329.88099999999</v>
      </c>
      <c r="E2211">
        <v>0</v>
      </c>
      <c r="F2211">
        <v>293192.45449999999</v>
      </c>
      <c r="G2211" s="1">
        <v>6.63E-6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0</v>
      </c>
      <c r="M2211" s="1">
        <f t="shared" si="139"/>
        <v>0</v>
      </c>
      <c r="N2211" s="1">
        <f t="shared" si="140"/>
        <v>4.1719742949543746E-2</v>
      </c>
      <c r="O2211" s="1"/>
    </row>
    <row r="2212" spans="1:15" x14ac:dyDescent="0.25">
      <c r="A2212">
        <v>4119</v>
      </c>
      <c r="B2212">
        <v>11541.986440000001</v>
      </c>
      <c r="C2212">
        <v>0</v>
      </c>
      <c r="D2212">
        <v>57924.393170000003</v>
      </c>
      <c r="E2212">
        <v>0</v>
      </c>
      <c r="F2212">
        <v>222484.09039999999</v>
      </c>
      <c r="G2212" s="1">
        <v>-1.9000000000000001E-5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0</v>
      </c>
      <c r="M2212" s="1">
        <f t="shared" si="139"/>
        <v>0</v>
      </c>
      <c r="N2212" s="1">
        <f t="shared" si="140"/>
        <v>-3.7194377661071108E-2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>
        <v>0</v>
      </c>
      <c r="F2213">
        <v>203885.09520000001</v>
      </c>
      <c r="G2213" s="1">
        <v>1.5400000000000002E-5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0</v>
      </c>
      <c r="M2213" s="1">
        <f t="shared" si="139"/>
        <v>0</v>
      </c>
      <c r="N2213" s="1">
        <f t="shared" si="140"/>
        <v>1.7819819729060583E-2</v>
      </c>
      <c r="O2213" s="1"/>
    </row>
    <row r="2214" spans="1:15" x14ac:dyDescent="0.25">
      <c r="A2214">
        <v>4121</v>
      </c>
      <c r="B2214">
        <v>5882.4095859999998</v>
      </c>
      <c r="C2214">
        <v>0</v>
      </c>
      <c r="D2214">
        <v>34015.436609999997</v>
      </c>
      <c r="E2214">
        <v>0</v>
      </c>
      <c r="F2214">
        <v>187280.3273</v>
      </c>
      <c r="G2214" s="1">
        <v>-1.38E-5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0</v>
      </c>
      <c r="M2214" s="1">
        <f t="shared" si="139"/>
        <v>0</v>
      </c>
      <c r="N2214" s="1">
        <f t="shared" si="140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>
        <v>0</v>
      </c>
      <c r="D2215">
        <v>110783.0537</v>
      </c>
      <c r="E2215">
        <v>0</v>
      </c>
      <c r="F2215">
        <v>317940.49359999999</v>
      </c>
      <c r="G2215" s="1">
        <v>3.7499999999999997E-5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0</v>
      </c>
      <c r="M2215" s="1">
        <f t="shared" si="139"/>
        <v>0</v>
      </c>
      <c r="N2215" s="1">
        <f t="shared" si="140"/>
        <v>0.12710223119657249</v>
      </c>
      <c r="O2215" s="1"/>
    </row>
    <row r="2216" spans="1:15" x14ac:dyDescent="0.25">
      <c r="A2216">
        <v>4123</v>
      </c>
      <c r="B2216">
        <v>11760.593129999999</v>
      </c>
      <c r="C2216">
        <v>0</v>
      </c>
      <c r="D2216">
        <v>31843.07214</v>
      </c>
      <c r="E2216">
        <v>0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0</v>
      </c>
      <c r="M2216" s="1">
        <f t="shared" si="139"/>
        <v>0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>
        <v>0</v>
      </c>
      <c r="D2217">
        <v>25975.26269</v>
      </c>
      <c r="E2217">
        <v>0</v>
      </c>
      <c r="F2217">
        <v>100542.7953</v>
      </c>
      <c r="G2217" s="1">
        <v>4.07E-5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0</v>
      </c>
      <c r="M2217" s="1">
        <f t="shared" si="139"/>
        <v>0</v>
      </c>
      <c r="N2217" s="1">
        <f t="shared" si="140"/>
        <v>0.27447008118349053</v>
      </c>
      <c r="O2217" s="1"/>
    </row>
    <row r="2218" spans="1:15" x14ac:dyDescent="0.25">
      <c r="A2218">
        <v>4125</v>
      </c>
      <c r="B2218">
        <v>13022.2997</v>
      </c>
      <c r="C2218">
        <v>0</v>
      </c>
      <c r="D2218">
        <v>35191.872130000003</v>
      </c>
      <c r="E2218">
        <v>0</v>
      </c>
      <c r="F2218">
        <v>190399.22080000001</v>
      </c>
      <c r="G2218" s="1">
        <v>-4.21E-5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0</v>
      </c>
      <c r="M2218" s="1">
        <f t="shared" si="139"/>
        <v>0</v>
      </c>
      <c r="N2218" s="1">
        <f t="shared" si="140"/>
        <v>-0.18621602880083177</v>
      </c>
      <c r="O2218" s="1"/>
    </row>
    <row r="2219" spans="1:15" x14ac:dyDescent="0.25">
      <c r="A2219">
        <v>4126</v>
      </c>
      <c r="B2219">
        <v>5520.7206180000003</v>
      </c>
      <c r="C2219">
        <v>0</v>
      </c>
      <c r="D2219">
        <v>29994.623449999999</v>
      </c>
      <c r="E2219">
        <v>0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0</v>
      </c>
      <c r="M2219" s="1">
        <f t="shared" si="139"/>
        <v>0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 s="1">
        <v>-2.3300000000000001E-6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0</v>
      </c>
      <c r="M2220" s="1">
        <f t="shared" si="139"/>
        <v>0</v>
      </c>
      <c r="N2220" s="1">
        <f t="shared" si="140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>
        <v>0</v>
      </c>
      <c r="F2221">
        <v>128480.4909</v>
      </c>
      <c r="G2221" s="1">
        <v>-3.6100000000000003E-5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0</v>
      </c>
      <c r="N2221" s="1">
        <f t="shared" si="140"/>
        <v>-0.17473511090352212</v>
      </c>
      <c r="O2221" s="1"/>
    </row>
    <row r="2222" spans="1:15" x14ac:dyDescent="0.25">
      <c r="A2222">
        <v>4129</v>
      </c>
      <c r="B2222">
        <v>12271.61757</v>
      </c>
      <c r="C2222">
        <v>0</v>
      </c>
      <c r="D2222">
        <v>32246.33567</v>
      </c>
      <c r="E2222">
        <v>0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0</v>
      </c>
      <c r="M2222" s="1">
        <f t="shared" si="139"/>
        <v>0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>
        <v>0</v>
      </c>
      <c r="F2223">
        <v>62261.113640000003</v>
      </c>
      <c r="G2223" s="1">
        <v>-2.8999999999999998E-7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0</v>
      </c>
      <c r="N2223" s="1">
        <f t="shared" si="140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>
        <v>0</v>
      </c>
      <c r="D2224">
        <v>22118.374179999999</v>
      </c>
      <c r="E2224">
        <v>0</v>
      </c>
      <c r="F2224">
        <v>95475.821379999994</v>
      </c>
      <c r="G2224" s="1">
        <v>-3.8199999999999998E-6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0</v>
      </c>
      <c r="M2224" s="1">
        <f t="shared" si="139"/>
        <v>0</v>
      </c>
      <c r="N2224" s="1">
        <f t="shared" si="140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>
        <v>0</v>
      </c>
      <c r="F2225">
        <v>260501.69149999999</v>
      </c>
      <c r="G2225" s="1">
        <v>4.2799999999999997E-5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0</v>
      </c>
      <c r="N2225" s="1">
        <f t="shared" si="140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>
        <v>0</v>
      </c>
      <c r="F2226">
        <v>43716.102870000002</v>
      </c>
      <c r="G2226" s="1">
        <v>4.2300000000000002E-6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0</v>
      </c>
      <c r="N2226" s="1">
        <f t="shared" si="140"/>
        <v>1.8738907433357009E-2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>
        <v>0</v>
      </c>
      <c r="F2227">
        <v>202678.1997</v>
      </c>
      <c r="G2227" s="1">
        <v>-2.1100000000000001E-5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0</v>
      </c>
      <c r="M2227" s="1">
        <f t="shared" si="139"/>
        <v>0</v>
      </c>
      <c r="N2227" s="1">
        <f t="shared" si="140"/>
        <v>-0.17932905034674182</v>
      </c>
      <c r="O2227" s="1"/>
    </row>
    <row r="2228" spans="1:15" x14ac:dyDescent="0.25">
      <c r="A2228">
        <v>4137</v>
      </c>
      <c r="B2228">
        <v>1950.387862</v>
      </c>
      <c r="C2228">
        <v>0</v>
      </c>
      <c r="D2228">
        <v>12472.007600000001</v>
      </c>
      <c r="E2228">
        <v>0</v>
      </c>
      <c r="F2228">
        <v>77875.689889999994</v>
      </c>
      <c r="G2228" s="1">
        <v>-3.4800000000000001E-6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0</v>
      </c>
      <c r="M2228" s="1">
        <f t="shared" si="139"/>
        <v>0</v>
      </c>
      <c r="N2228" s="1">
        <f t="shared" si="140"/>
        <v>-1.4520391891282335E-2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>
        <v>0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0</v>
      </c>
      <c r="M2229" s="1">
        <f t="shared" si="139"/>
        <v>0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>
        <v>0</v>
      </c>
      <c r="F2230">
        <v>189507.88709999999</v>
      </c>
      <c r="G2230" s="1">
        <v>1.5699999999999999E-5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0</v>
      </c>
      <c r="M2230" s="1">
        <f t="shared" si="139"/>
        <v>0</v>
      </c>
      <c r="N2230" s="1">
        <f t="shared" si="140"/>
        <v>0.12591094227260011</v>
      </c>
      <c r="O2230" s="1"/>
    </row>
    <row r="2231" spans="1:15" x14ac:dyDescent="0.25">
      <c r="A2231">
        <v>4141</v>
      </c>
      <c r="B2231">
        <v>1828.078692</v>
      </c>
      <c r="C2231">
        <v>0</v>
      </c>
      <c r="D2231">
        <v>66450.907099999997</v>
      </c>
      <c r="E2231">
        <v>0</v>
      </c>
      <c r="F2231">
        <v>188279.79749999999</v>
      </c>
      <c r="G2231" s="1">
        <v>3.9299999999999996E-6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0</v>
      </c>
      <c r="M2231" s="1">
        <f t="shared" si="139"/>
        <v>0</v>
      </c>
      <c r="N2231" s="1">
        <f t="shared" si="140"/>
        <v>2.5823849911459917E-2</v>
      </c>
      <c r="O2231" s="1"/>
    </row>
    <row r="2232" spans="1:15" x14ac:dyDescent="0.25">
      <c r="A2232">
        <v>4142</v>
      </c>
      <c r="B2232">
        <v>2336.6820109999999</v>
      </c>
      <c r="C2232">
        <v>0</v>
      </c>
      <c r="D2232">
        <v>94617.998659999997</v>
      </c>
      <c r="E2232">
        <v>0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0</v>
      </c>
      <c r="M2232" s="1">
        <f t="shared" si="139"/>
        <v>0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>
        <v>0</v>
      </c>
      <c r="D2233">
        <v>51449.88983</v>
      </c>
      <c r="E2233">
        <v>0</v>
      </c>
      <c r="F2233">
        <v>215924.17329999999</v>
      </c>
      <c r="G2233" s="1">
        <v>-3.3800000000000002E-5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</v>
      </c>
      <c r="M2233" s="1">
        <f t="shared" si="139"/>
        <v>0</v>
      </c>
      <c r="N2233" s="1">
        <f t="shared" si="140"/>
        <v>-0.24559526921645825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>
        <v>0</v>
      </c>
      <c r="F2234">
        <v>189363.98569999999</v>
      </c>
      <c r="G2234" s="1">
        <v>3.1999999999999999E-6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0</v>
      </c>
      <c r="M2234" s="1">
        <f t="shared" si="139"/>
        <v>0</v>
      </c>
      <c r="N2234" s="1">
        <f t="shared" si="140"/>
        <v>1.6506017526153601E-2</v>
      </c>
      <c r="O2234" s="1"/>
    </row>
    <row r="2235" spans="1:15" x14ac:dyDescent="0.25">
      <c r="A2235">
        <v>4145</v>
      </c>
      <c r="B2235">
        <v>21964.42513</v>
      </c>
      <c r="C2235">
        <v>0</v>
      </c>
      <c r="D2235">
        <v>143203.87359999999</v>
      </c>
      <c r="E2235">
        <v>0</v>
      </c>
      <c r="F2235">
        <v>394365.09779999999</v>
      </c>
      <c r="G2235" s="1">
        <v>-4.49E-5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0</v>
      </c>
      <c r="M2235" s="1">
        <f t="shared" si="139"/>
        <v>0</v>
      </c>
      <c r="N2235" s="1">
        <f t="shared" si="140"/>
        <v>-0.23070630408021062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>
        <v>0</v>
      </c>
      <c r="F2236">
        <v>444618.1642</v>
      </c>
      <c r="G2236" s="1">
        <v>-3.3500000000000001E-5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0</v>
      </c>
      <c r="M2236" s="1">
        <f t="shared" si="139"/>
        <v>0</v>
      </c>
      <c r="N2236" s="1">
        <f t="shared" si="140"/>
        <v>-0.14084446900507905</v>
      </c>
      <c r="O2236" s="1"/>
    </row>
    <row r="2237" spans="1:15" x14ac:dyDescent="0.25">
      <c r="A2237">
        <v>4147</v>
      </c>
      <c r="B2237">
        <v>10568.341549999999</v>
      </c>
      <c r="C2237">
        <v>0</v>
      </c>
      <c r="D2237">
        <v>43620.656340000001</v>
      </c>
      <c r="E2237">
        <v>0</v>
      </c>
      <c r="F2237">
        <v>199498.25409999999</v>
      </c>
      <c r="G2237" s="1">
        <v>7.5299999999999999E-6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0</v>
      </c>
      <c r="M2237" s="1">
        <f t="shared" si="139"/>
        <v>0</v>
      </c>
      <c r="N2237" s="1">
        <f t="shared" si="140"/>
        <v>2.5880408392873359E-2</v>
      </c>
      <c r="O2237" s="1"/>
    </row>
    <row r="2238" spans="1:15" x14ac:dyDescent="0.25">
      <c r="A2238">
        <v>4148</v>
      </c>
      <c r="B2238">
        <v>28615.093069999999</v>
      </c>
      <c r="C2238">
        <v>0</v>
      </c>
      <c r="D2238">
        <v>175277.54980000001</v>
      </c>
      <c r="E2238">
        <v>0</v>
      </c>
      <c r="F2238">
        <v>621074.14430000004</v>
      </c>
      <c r="G2238" s="1">
        <v>-3.3399999999999999E-5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0</v>
      </c>
      <c r="M2238" s="1">
        <f t="shared" si="139"/>
        <v>0</v>
      </c>
      <c r="N2238" s="1">
        <f t="shared" si="140"/>
        <v>-9.6932245985938068E-2</v>
      </c>
      <c r="O2238" s="1"/>
    </row>
    <row r="2239" spans="1:15" x14ac:dyDescent="0.25">
      <c r="A2239">
        <v>4149</v>
      </c>
      <c r="B2239">
        <v>14352.81688</v>
      </c>
      <c r="C2239">
        <v>0</v>
      </c>
      <c r="D2239">
        <v>62186.29608</v>
      </c>
      <c r="E2239">
        <v>0</v>
      </c>
      <c r="F2239">
        <v>258218.56169999999</v>
      </c>
      <c r="G2239" s="1">
        <v>-4.3800000000000004E-6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0</v>
      </c>
      <c r="M2239" s="1">
        <f t="shared" si="139"/>
        <v>0</v>
      </c>
      <c r="N2239" s="1">
        <f t="shared" si="140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>
        <v>0</v>
      </c>
      <c r="D2240">
        <v>194804.3345</v>
      </c>
      <c r="E2240">
        <v>0</v>
      </c>
      <c r="F2240">
        <v>685919.27910000004</v>
      </c>
      <c r="G2240" s="1">
        <v>-2.4700000000000001E-5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0</v>
      </c>
      <c r="M2240" s="1">
        <f t="shared" si="139"/>
        <v>0</v>
      </c>
      <c r="N2240" s="1">
        <f t="shared" si="140"/>
        <v>-5.5873587405976081E-2</v>
      </c>
      <c r="O2240" s="1"/>
    </row>
    <row r="2241" spans="1:15" x14ac:dyDescent="0.25">
      <c r="A2241">
        <v>4151</v>
      </c>
      <c r="B2241">
        <v>22645.828420000002</v>
      </c>
      <c r="C2241">
        <v>0</v>
      </c>
      <c r="D2241">
        <v>142823.0865</v>
      </c>
      <c r="E2241">
        <v>0</v>
      </c>
      <c r="F2241">
        <v>321929.03649999999</v>
      </c>
      <c r="G2241" s="1">
        <v>4.0299999999999997E-5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0</v>
      </c>
      <c r="M2241" s="1">
        <f t="shared" si="139"/>
        <v>0</v>
      </c>
      <c r="N2241" s="1">
        <f t="shared" si="140"/>
        <v>0.25419935658771808</v>
      </c>
      <c r="O2241" s="1"/>
    </row>
    <row r="2242" spans="1:15" x14ac:dyDescent="0.25">
      <c r="A2242">
        <v>4154</v>
      </c>
      <c r="B2242">
        <v>17125.66646</v>
      </c>
      <c r="C2242">
        <v>0</v>
      </c>
      <c r="D2242">
        <v>84332.624219999998</v>
      </c>
      <c r="E2242">
        <v>0</v>
      </c>
      <c r="F2242">
        <v>344049.98440000002</v>
      </c>
      <c r="G2242" s="1">
        <v>-2.9600000000000001E-5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0</v>
      </c>
      <c r="M2242" s="1">
        <f t="shared" si="139"/>
        <v>0</v>
      </c>
      <c r="N2242" s="1">
        <f t="shared" si="140"/>
        <v>-0.12082233344938058</v>
      </c>
      <c r="O2242" s="1"/>
    </row>
    <row r="2243" spans="1:15" x14ac:dyDescent="0.25">
      <c r="A2243">
        <v>4155</v>
      </c>
      <c r="B2243">
        <v>25539.437959999999</v>
      </c>
      <c r="C2243">
        <v>0</v>
      </c>
      <c r="D2243">
        <v>152141.33180000001</v>
      </c>
      <c r="E2243">
        <v>0</v>
      </c>
      <c r="F2243">
        <v>519848.6741</v>
      </c>
      <c r="G2243" s="1">
        <v>7.7300000000000005E-6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0</v>
      </c>
      <c r="M2243" s="1">
        <f t="shared" ref="M2243:M2306" si="143">$U$3*$K2243*E2243</f>
        <v>0</v>
      </c>
      <c r="N2243" s="1">
        <f t="shared" ref="N2243:N2306" si="144">$U$4*$K2243*G2243</f>
        <v>4.1493469499282405E-2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>
        <v>0</v>
      </c>
      <c r="F2244">
        <v>157289.2273</v>
      </c>
      <c r="G2244" s="1">
        <v>-2.3900000000000002E-5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0</v>
      </c>
      <c r="M2244" s="1">
        <f t="shared" si="143"/>
        <v>0</v>
      </c>
      <c r="N2244" s="1">
        <f t="shared" si="144"/>
        <v>-9.9820024063411394E-2</v>
      </c>
      <c r="O2244" s="1"/>
    </row>
    <row r="2245" spans="1:15" x14ac:dyDescent="0.25">
      <c r="A2245">
        <v>4157</v>
      </c>
      <c r="B2245">
        <v>12725.497009999999</v>
      </c>
      <c r="C2245">
        <v>0</v>
      </c>
      <c r="D2245">
        <v>128030.52009999999</v>
      </c>
      <c r="E2245">
        <v>0</v>
      </c>
      <c r="F2245">
        <v>383846.09769999998</v>
      </c>
      <c r="G2245" s="1">
        <v>4.6399999999999996E-6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0</v>
      </c>
      <c r="M2245" s="1">
        <f t="shared" si="143"/>
        <v>0</v>
      </c>
      <c r="N2245" s="1">
        <f t="shared" si="144"/>
        <v>2.0952086148191999E-2</v>
      </c>
      <c r="O2245" s="1"/>
    </row>
    <row r="2246" spans="1:15" x14ac:dyDescent="0.25">
      <c r="A2246">
        <v>4158</v>
      </c>
      <c r="B2246">
        <v>16186.37883</v>
      </c>
      <c r="C2246">
        <v>0</v>
      </c>
      <c r="D2246">
        <v>50652.798690000003</v>
      </c>
      <c r="E2246">
        <v>0</v>
      </c>
      <c r="F2246">
        <v>213963.4841</v>
      </c>
      <c r="G2246" s="1">
        <v>3.9400000000000004E-6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0</v>
      </c>
      <c r="M2246" s="1">
        <f t="shared" si="143"/>
        <v>0</v>
      </c>
      <c r="N2246" s="1">
        <f t="shared" si="144"/>
        <v>1.6506400817234087E-2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>
        <v>0</v>
      </c>
      <c r="F2247">
        <v>158926.40479999999</v>
      </c>
      <c r="G2247" s="1">
        <v>4.8900000000000003E-5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0</v>
      </c>
      <c r="M2247" s="1">
        <f t="shared" si="143"/>
        <v>0</v>
      </c>
      <c r="N2247" s="1">
        <f t="shared" si="144"/>
        <v>0.18715965543678162</v>
      </c>
      <c r="O2247" s="1"/>
    </row>
    <row r="2248" spans="1:15" x14ac:dyDescent="0.25">
      <c r="A2248">
        <v>4160</v>
      </c>
      <c r="B2248">
        <v>1261.2957879999999</v>
      </c>
      <c r="C2248">
        <v>0</v>
      </c>
      <c r="D2248">
        <v>15547.927519999999</v>
      </c>
      <c r="E2248">
        <v>0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0</v>
      </c>
      <c r="M2248" s="1">
        <f t="shared" si="143"/>
        <v>0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>
        <v>0</v>
      </c>
      <c r="D2249">
        <v>34289.379860000001</v>
      </c>
      <c r="E2249">
        <v>0</v>
      </c>
      <c r="F2249">
        <v>177438.0301</v>
      </c>
      <c r="G2249" s="1">
        <v>-3.4400000000000003E-5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</v>
      </c>
      <c r="M2249" s="1">
        <f t="shared" si="143"/>
        <v>0</v>
      </c>
      <c r="N2249" s="1">
        <f t="shared" si="144"/>
        <v>-0.28045212044813767</v>
      </c>
      <c r="O2249" s="1"/>
    </row>
    <row r="2250" spans="1:15" x14ac:dyDescent="0.25">
      <c r="A2250">
        <v>4162</v>
      </c>
      <c r="B2250">
        <v>5991.5448710000001</v>
      </c>
      <c r="C2250">
        <v>0</v>
      </c>
      <c r="D2250">
        <v>45459.993410000003</v>
      </c>
      <c r="E2250">
        <v>0</v>
      </c>
      <c r="F2250">
        <v>175134.34160000001</v>
      </c>
      <c r="G2250" s="1">
        <v>2.9600000000000001E-5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0</v>
      </c>
      <c r="M2250" s="1">
        <f t="shared" si="143"/>
        <v>0</v>
      </c>
      <c r="N2250" s="1">
        <f t="shared" si="144"/>
        <v>0.13934193834185618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 s="1">
        <v>1.9999999999999999E-7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2.2263831151860002E-3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>
        <v>0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0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>
        <v>0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0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>
        <v>0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0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>
        <v>0</v>
      </c>
      <c r="D2274">
        <v>23510.47264</v>
      </c>
      <c r="E2274">
        <v>0</v>
      </c>
      <c r="F2274">
        <v>175614.83410000001</v>
      </c>
      <c r="G2274" s="1">
        <v>-3.4499999999999998E-5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0</v>
      </c>
      <c r="M2274" s="1">
        <f t="shared" si="143"/>
        <v>0</v>
      </c>
      <c r="N2274" s="1">
        <f t="shared" si="144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>
        <v>0</v>
      </c>
      <c r="F2275">
        <v>10682.9264</v>
      </c>
      <c r="G2275" s="1">
        <v>-2.9399999999999998E-6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0</v>
      </c>
      <c r="N2275" s="1">
        <f t="shared" si="144"/>
        <v>-9.7843251817188365E-2</v>
      </c>
      <c r="O2275" s="1"/>
    </row>
    <row r="2276" spans="1:15" x14ac:dyDescent="0.25">
      <c r="A2276">
        <v>4312</v>
      </c>
      <c r="B2276">
        <v>2552.8662829999998</v>
      </c>
      <c r="C2276">
        <v>0</v>
      </c>
      <c r="D2276">
        <v>16200.206910000001</v>
      </c>
      <c r="E2276">
        <v>0</v>
      </c>
      <c r="F2276">
        <v>156221.2659</v>
      </c>
      <c r="G2276" s="1">
        <v>-4.0300000000000004E-6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0</v>
      </c>
      <c r="M2276" s="1">
        <f t="shared" si="143"/>
        <v>0</v>
      </c>
      <c r="N2276" s="1">
        <f t="shared" si="144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 s="1">
        <v>-1.0200000000000001E-12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0</v>
      </c>
      <c r="N2283" s="1">
        <f t="shared" si="144"/>
        <v>-6.2310358500055213E-8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>
        <v>0</v>
      </c>
      <c r="F2286">
        <v>57324.630010000001</v>
      </c>
      <c r="G2286" s="1">
        <v>-5.4499999999999997E-7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0</v>
      </c>
      <c r="N2286" s="1">
        <f t="shared" si="144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>
        <v>0</v>
      </c>
      <c r="D2287">
        <v>3684.2485350000002</v>
      </c>
      <c r="E2287">
        <v>0</v>
      </c>
      <c r="F2287">
        <v>19392.341789999999</v>
      </c>
      <c r="G2287" s="1">
        <v>-4.3500000000000002E-7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0</v>
      </c>
      <c r="M2287" s="1">
        <f t="shared" si="143"/>
        <v>0</v>
      </c>
      <c r="N2287" s="1">
        <f t="shared" si="144"/>
        <v>-1.1668880875655928E-2</v>
      </c>
      <c r="O2287" s="1"/>
    </row>
    <row r="2288" spans="1:15" x14ac:dyDescent="0.25">
      <c r="A2288">
        <v>4408</v>
      </c>
      <c r="B2288">
        <v>135.84663509999999</v>
      </c>
      <c r="C2288">
        <v>0</v>
      </c>
      <c r="D2288">
        <v>1106.1578219999999</v>
      </c>
      <c r="E2288">
        <v>0</v>
      </c>
      <c r="F2288">
        <v>9927.7451400000009</v>
      </c>
      <c r="G2288" s="1">
        <v>-2.7999999999999999E-8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0</v>
      </c>
      <c r="M2288" s="1">
        <f t="shared" si="143"/>
        <v>0</v>
      </c>
      <c r="N2288" s="1">
        <f t="shared" si="144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>
        <v>0</v>
      </c>
      <c r="D2289">
        <v>579.59216230000004</v>
      </c>
      <c r="E2289">
        <v>0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0</v>
      </c>
      <c r="M2289" s="1">
        <f t="shared" si="143"/>
        <v>0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>
        <v>0</v>
      </c>
      <c r="D2290">
        <v>2183.8313699999999</v>
      </c>
      <c r="E2290">
        <v>0</v>
      </c>
      <c r="F2290">
        <v>20635.39834</v>
      </c>
      <c r="G2290" s="1">
        <v>9.6500000000000008E-7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0</v>
      </c>
      <c r="M2290" s="1">
        <f t="shared" si="143"/>
        <v>0</v>
      </c>
      <c r="N2290" s="1">
        <f t="shared" si="144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0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>
        <v>0</v>
      </c>
      <c r="D2292">
        <v>2183.0153220000002</v>
      </c>
      <c r="E2292">
        <v>0</v>
      </c>
      <c r="F2292">
        <v>7387.5027380000001</v>
      </c>
      <c r="G2292" s="1">
        <v>-2.53E-7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0</v>
      </c>
      <c r="M2292" s="1">
        <f t="shared" si="143"/>
        <v>0</v>
      </c>
      <c r="N2292" s="1">
        <f t="shared" si="144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>
        <v>0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0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>
        <v>0</v>
      </c>
      <c r="D2295">
        <v>4989.3195930000002</v>
      </c>
      <c r="E2295">
        <v>0</v>
      </c>
      <c r="F2295">
        <v>35394.36479</v>
      </c>
      <c r="G2295" s="1">
        <v>-4.16E-6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0</v>
      </c>
      <c r="M2295" s="1">
        <f t="shared" si="143"/>
        <v>0</v>
      </c>
      <c r="N2295" s="1">
        <f t="shared" si="144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 s="1">
        <v>7.3499999999999995E-7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0</v>
      </c>
      <c r="M2296" s="1">
        <f t="shared" si="143"/>
        <v>0</v>
      </c>
      <c r="N2296" s="1">
        <f t="shared" si="144"/>
        <v>6.6307475317056754E-3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>
        <v>0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0</v>
      </c>
      <c r="M2297" s="1">
        <f t="shared" si="143"/>
        <v>0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>
        <v>0</v>
      </c>
      <c r="D2298">
        <v>6995.5944049999998</v>
      </c>
      <c r="E2298">
        <v>0</v>
      </c>
      <c r="F2298">
        <v>61266.534110000001</v>
      </c>
      <c r="G2298" s="1">
        <v>-1.6500000000000001E-6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0</v>
      </c>
      <c r="M2298" s="1">
        <f t="shared" si="143"/>
        <v>0</v>
      </c>
      <c r="N2298" s="1">
        <f t="shared" si="144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>
        <v>0</v>
      </c>
      <c r="D2299">
        <v>41934.026850000002</v>
      </c>
      <c r="E2299">
        <v>0</v>
      </c>
      <c r="F2299">
        <v>115094.80039999999</v>
      </c>
      <c r="G2299" s="1">
        <v>-2.5999999999999998E-5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0</v>
      </c>
      <c r="M2299" s="1">
        <f t="shared" si="143"/>
        <v>0</v>
      </c>
      <c r="N2299" s="1">
        <f t="shared" si="144"/>
        <v>-0.225554143620468</v>
      </c>
      <c r="O2299" s="1"/>
    </row>
    <row r="2300" spans="1:15" x14ac:dyDescent="0.25">
      <c r="A2300">
        <v>4434</v>
      </c>
      <c r="B2300">
        <v>217.98703950000001</v>
      </c>
      <c r="C2300">
        <v>0</v>
      </c>
      <c r="D2300">
        <v>8097.6492420000004</v>
      </c>
      <c r="E2300">
        <v>0</v>
      </c>
      <c r="F2300">
        <v>56936.499620000002</v>
      </c>
      <c r="G2300" s="1">
        <v>9.2299999999999999E-7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0</v>
      </c>
      <c r="M2300" s="1">
        <f t="shared" si="143"/>
        <v>0</v>
      </c>
      <c r="N2300" s="1">
        <f t="shared" si="144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>
        <v>0</v>
      </c>
      <c r="F2301">
        <v>104499.6581</v>
      </c>
      <c r="G2301" s="1">
        <v>-6.8600000000000004E-6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0</v>
      </c>
      <c r="N2301" s="1">
        <f t="shared" si="144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>
        <v>0</v>
      </c>
      <c r="D2302">
        <v>50524.428399999997</v>
      </c>
      <c r="E2302">
        <v>0</v>
      </c>
      <c r="F2302">
        <v>163853.30369999999</v>
      </c>
      <c r="G2302" s="1">
        <v>3.1999999999999999E-5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0</v>
      </c>
      <c r="M2302" s="1">
        <f t="shared" si="143"/>
        <v>0</v>
      </c>
      <c r="N2302" s="1">
        <f t="shared" si="144"/>
        <v>4.7714016408057607E-2</v>
      </c>
      <c r="O2302" s="1"/>
    </row>
    <row r="2303" spans="1:15" x14ac:dyDescent="0.25">
      <c r="A2303">
        <v>4437</v>
      </c>
      <c r="B2303">
        <v>5859.6182129999997</v>
      </c>
      <c r="C2303">
        <v>0</v>
      </c>
      <c r="D2303">
        <v>38543.3537</v>
      </c>
      <c r="E2303">
        <v>0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0</v>
      </c>
      <c r="M2303" s="1">
        <f t="shared" si="143"/>
        <v>0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>
        <v>0</v>
      </c>
      <c r="D2304">
        <v>83145.577520000006</v>
      </c>
      <c r="E2304">
        <v>0</v>
      </c>
      <c r="F2304">
        <v>259821.0097</v>
      </c>
      <c r="G2304" s="1">
        <v>4.8899999999999998E-6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0</v>
      </c>
      <c r="M2304" s="1">
        <f t="shared" si="143"/>
        <v>0</v>
      </c>
      <c r="N2304" s="1">
        <f t="shared" si="144"/>
        <v>1.8100738261073997E-2</v>
      </c>
      <c r="O2304" s="1"/>
    </row>
    <row r="2305" spans="1:15" x14ac:dyDescent="0.25">
      <c r="A2305">
        <v>4439</v>
      </c>
      <c r="B2305">
        <v>1388.0489070000001</v>
      </c>
      <c r="C2305">
        <v>0</v>
      </c>
      <c r="D2305">
        <v>27011.096529999999</v>
      </c>
      <c r="E2305">
        <v>0</v>
      </c>
      <c r="F2305">
        <v>74026.081219999993</v>
      </c>
      <c r="G2305" s="1">
        <v>-3.3000000000000002E-7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0</v>
      </c>
      <c r="M2305" s="1">
        <f t="shared" si="143"/>
        <v>0</v>
      </c>
      <c r="N2305" s="1">
        <f t="shared" si="144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>
        <v>0</v>
      </c>
      <c r="D2306">
        <v>34182.871639999998</v>
      </c>
      <c r="E2306">
        <v>0</v>
      </c>
      <c r="F2306">
        <v>93641.406560000003</v>
      </c>
      <c r="G2306" s="1">
        <v>-6.3E-7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0</v>
      </c>
      <c r="M2306" s="1">
        <f t="shared" si="143"/>
        <v>0</v>
      </c>
      <c r="N2306" s="1">
        <f t="shared" si="144"/>
        <v>-2.4815724786255693E-3</v>
      </c>
      <c r="O2306" s="1"/>
    </row>
    <row r="2307" spans="1:15" x14ac:dyDescent="0.25">
      <c r="A2307">
        <v>4441</v>
      </c>
      <c r="B2307">
        <v>6494.6414009999999</v>
      </c>
      <c r="C2307">
        <v>0</v>
      </c>
      <c r="D2307">
        <v>50913.429530000001</v>
      </c>
      <c r="E2307">
        <v>0</v>
      </c>
      <c r="F2307">
        <v>147049.80910000001</v>
      </c>
      <c r="G2307" s="1">
        <v>-4.2700000000000001E-5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0</v>
      </c>
      <c r="M2307" s="1">
        <f t="shared" ref="M2307:M2370" si="147">$U$3*$K2307*E2307</f>
        <v>0</v>
      </c>
      <c r="N2307" s="1">
        <f t="shared" ref="N2307:N2370" si="148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 s="1">
        <v>4.35E-5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0</v>
      </c>
      <c r="M2308" s="1">
        <f t="shared" si="147"/>
        <v>0</v>
      </c>
      <c r="N2308" s="1">
        <f t="shared" si="148"/>
        <v>0.18728493441794825</v>
      </c>
      <c r="O2308" s="1"/>
    </row>
    <row r="2309" spans="1:15" x14ac:dyDescent="0.25">
      <c r="A2309">
        <v>4443</v>
      </c>
      <c r="B2309">
        <v>217.98703950000001</v>
      </c>
      <c r="C2309">
        <v>0</v>
      </c>
      <c r="D2309">
        <v>5949.7839130000002</v>
      </c>
      <c r="E2309">
        <v>0</v>
      </c>
      <c r="F2309">
        <v>52314.406389999996</v>
      </c>
      <c r="G2309" s="1">
        <v>-1.88E-6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0</v>
      </c>
      <c r="M2309" s="1">
        <f t="shared" si="147"/>
        <v>0</v>
      </c>
      <c r="N2309" s="1">
        <f t="shared" si="148"/>
        <v>-2.0188421040148081E-2</v>
      </c>
      <c r="O2309" s="1"/>
    </row>
    <row r="2310" spans="1:15" x14ac:dyDescent="0.25">
      <c r="A2310">
        <v>4444</v>
      </c>
      <c r="B2310">
        <v>29441.7333</v>
      </c>
      <c r="C2310">
        <v>0</v>
      </c>
      <c r="D2310">
        <v>97767.102790000004</v>
      </c>
      <c r="E2310">
        <v>0</v>
      </c>
      <c r="F2310">
        <v>377418.45110000001</v>
      </c>
      <c r="G2310" s="1">
        <v>-7.5900000000000002E-6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0</v>
      </c>
      <c r="M2310" s="1">
        <f t="shared" si="147"/>
        <v>0</v>
      </c>
      <c r="N2310" s="1">
        <f t="shared" si="148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>
        <v>0</v>
      </c>
      <c r="D2311">
        <v>67721.336639999994</v>
      </c>
      <c r="E2311">
        <v>0</v>
      </c>
      <c r="F2311">
        <v>237167.7</v>
      </c>
      <c r="G2311" s="1">
        <v>7.8099999999999998E-6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0</v>
      </c>
      <c r="M2311" s="1">
        <f t="shared" si="147"/>
        <v>0</v>
      </c>
      <c r="N2311" s="1">
        <f t="shared" si="148"/>
        <v>9.7457458165790909E-3</v>
      </c>
      <c r="O2311" s="1"/>
    </row>
    <row r="2312" spans="1:15" x14ac:dyDescent="0.25">
      <c r="A2312">
        <v>4446</v>
      </c>
      <c r="B2312">
        <v>36473.144289999997</v>
      </c>
      <c r="C2312">
        <v>0</v>
      </c>
      <c r="D2312">
        <v>100133.6112</v>
      </c>
      <c r="E2312">
        <v>0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0</v>
      </c>
      <c r="M2312" s="1">
        <f t="shared" si="147"/>
        <v>0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>
        <v>0</v>
      </c>
      <c r="D2313">
        <v>98709.577560000005</v>
      </c>
      <c r="E2313">
        <v>0</v>
      </c>
      <c r="F2313">
        <v>339372.55349999998</v>
      </c>
      <c r="G2313" s="1">
        <v>3.9900000000000001E-5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0</v>
      </c>
      <c r="M2313" s="1">
        <f t="shared" si="147"/>
        <v>0</v>
      </c>
      <c r="N2313" s="1">
        <f t="shared" si="148"/>
        <v>3.6270567238466611E-2</v>
      </c>
      <c r="O2313" s="1"/>
    </row>
    <row r="2314" spans="1:15" x14ac:dyDescent="0.25">
      <c r="A2314">
        <v>4448</v>
      </c>
      <c r="B2314">
        <v>46756.038330000003</v>
      </c>
      <c r="C2314">
        <v>0</v>
      </c>
      <c r="D2314">
        <v>139141.05910000001</v>
      </c>
      <c r="E2314">
        <v>0</v>
      </c>
      <c r="F2314">
        <v>495290.50079999998</v>
      </c>
      <c r="G2314" s="1">
        <v>2.94E-5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0</v>
      </c>
      <c r="M2314" s="1">
        <f t="shared" si="147"/>
        <v>0</v>
      </c>
      <c r="N2314" s="1">
        <f t="shared" si="148"/>
        <v>8.3373213403936261E-2</v>
      </c>
      <c r="O2314" s="1"/>
    </row>
    <row r="2315" spans="1:15" x14ac:dyDescent="0.25">
      <c r="A2315">
        <v>4449</v>
      </c>
      <c r="B2315">
        <v>1078.7415149999999</v>
      </c>
      <c r="C2315">
        <v>0</v>
      </c>
      <c r="D2315">
        <v>14416.09218</v>
      </c>
      <c r="E2315">
        <v>0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0</v>
      </c>
      <c r="M2315" s="1">
        <f t="shared" si="147"/>
        <v>0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>
        <v>0</v>
      </c>
      <c r="D2316">
        <v>246951.84289999999</v>
      </c>
      <c r="E2316">
        <v>0</v>
      </c>
      <c r="F2316">
        <v>871014.41899999999</v>
      </c>
      <c r="G2316" s="1">
        <v>-1.31E-5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0</v>
      </c>
      <c r="M2316" s="1">
        <f t="shared" si="147"/>
        <v>0</v>
      </c>
      <c r="N2316" s="1">
        <f t="shared" si="148"/>
        <v>-8.1529842392650213E-3</v>
      </c>
      <c r="O2316" s="1"/>
    </row>
    <row r="2317" spans="1:15" x14ac:dyDescent="0.25">
      <c r="A2317">
        <v>4500</v>
      </c>
      <c r="B2317">
        <v>14185.6149</v>
      </c>
      <c r="C2317">
        <v>0</v>
      </c>
      <c r="D2317">
        <v>98973.674400000004</v>
      </c>
      <c r="E2317">
        <v>0</v>
      </c>
      <c r="F2317">
        <v>548496.55090000003</v>
      </c>
      <c r="G2317" s="1">
        <v>4.35E-5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0</v>
      </c>
      <c r="M2317" s="1">
        <f t="shared" si="147"/>
        <v>0</v>
      </c>
      <c r="N2317" s="1">
        <f t="shared" si="148"/>
        <v>0.22140410322976378</v>
      </c>
      <c r="O2317" s="1"/>
    </row>
    <row r="2318" spans="1:15" x14ac:dyDescent="0.25">
      <c r="A2318">
        <v>4501</v>
      </c>
      <c r="B2318">
        <v>3232.23362</v>
      </c>
      <c r="C2318">
        <v>0</v>
      </c>
      <c r="D2318">
        <v>43814.99654</v>
      </c>
      <c r="E2318">
        <v>0</v>
      </c>
      <c r="F2318">
        <v>340323.99290000001</v>
      </c>
      <c r="G2318" s="1">
        <v>-2.7900000000000001E-5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0</v>
      </c>
      <c r="M2318" s="1">
        <f t="shared" si="147"/>
        <v>0</v>
      </c>
      <c r="N2318" s="1">
        <f t="shared" si="148"/>
        <v>-0.10917187168127751</v>
      </c>
      <c r="O2318" s="1"/>
    </row>
    <row r="2319" spans="1:15" x14ac:dyDescent="0.25">
      <c r="A2319">
        <v>4502</v>
      </c>
      <c r="B2319">
        <v>11644.998680000001</v>
      </c>
      <c r="C2319">
        <v>0</v>
      </c>
      <c r="D2319">
        <v>140986.43210000001</v>
      </c>
      <c r="E2319">
        <v>0</v>
      </c>
      <c r="F2319">
        <v>761416.55550000002</v>
      </c>
      <c r="G2319" s="1">
        <v>-2.4499999999999999E-5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0</v>
      </c>
      <c r="M2319" s="1">
        <f t="shared" si="147"/>
        <v>0</v>
      </c>
      <c r="N2319" s="1">
        <f t="shared" si="148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>
        <v>0</v>
      </c>
      <c r="D2320">
        <v>64153.604050000002</v>
      </c>
      <c r="E2320">
        <v>0</v>
      </c>
      <c r="F2320">
        <v>389830.13959999999</v>
      </c>
      <c r="G2320" s="1">
        <v>3.01E-5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0</v>
      </c>
      <c r="M2320" s="1">
        <f t="shared" si="147"/>
        <v>0</v>
      </c>
      <c r="N2320" s="1">
        <f t="shared" si="148"/>
        <v>0.1550087003704281</v>
      </c>
      <c r="O2320" s="1"/>
    </row>
    <row r="2321" spans="1:15" x14ac:dyDescent="0.25">
      <c r="A2321">
        <v>4504</v>
      </c>
      <c r="B2321">
        <v>11850.466920000001</v>
      </c>
      <c r="C2321">
        <v>0</v>
      </c>
      <c r="D2321">
        <v>57559.39428</v>
      </c>
      <c r="E2321">
        <v>0</v>
      </c>
      <c r="F2321">
        <v>252421.3314</v>
      </c>
      <c r="G2321" s="1">
        <v>-2.4600000000000002E-5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0</v>
      </c>
      <c r="M2321" s="1">
        <f t="shared" si="147"/>
        <v>0</v>
      </c>
      <c r="N2321" s="1">
        <f t="shared" si="148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>
        <v>0</v>
      </c>
      <c r="D2322">
        <v>211492.3107</v>
      </c>
      <c r="E2322">
        <v>0</v>
      </c>
      <c r="F2322">
        <v>841541.48869999999</v>
      </c>
      <c r="G2322" s="1">
        <v>4.4799999999999998E-5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0</v>
      </c>
      <c r="M2322" s="1">
        <f t="shared" si="147"/>
        <v>0</v>
      </c>
      <c r="N2322" s="1">
        <f t="shared" si="148"/>
        <v>3.8497596622356481E-2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>
        <v>0</v>
      </c>
      <c r="F2323">
        <v>477022.07630000002</v>
      </c>
      <c r="G2323" s="1">
        <v>2.0400000000000001E-5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0</v>
      </c>
      <c r="N2323" s="1">
        <f t="shared" si="148"/>
        <v>0.14555507146601762</v>
      </c>
      <c r="O2323" s="1"/>
    </row>
    <row r="2324" spans="1:15" x14ac:dyDescent="0.25">
      <c r="A2324">
        <v>4507</v>
      </c>
      <c r="B2324">
        <v>10661.122300000001</v>
      </c>
      <c r="C2324">
        <v>0</v>
      </c>
      <c r="D2324">
        <v>48172.554029999999</v>
      </c>
      <c r="E2324">
        <v>0</v>
      </c>
      <c r="F2324">
        <v>281137.31780000002</v>
      </c>
      <c r="G2324" s="1">
        <v>-3.8300000000000003E-5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0</v>
      </c>
      <c r="M2324" s="1">
        <f t="shared" si="147"/>
        <v>0</v>
      </c>
      <c r="N2324" s="1">
        <f t="shared" si="148"/>
        <v>-0.17772500777894193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>
        <v>0</v>
      </c>
      <c r="F2325">
        <v>409454.11339999997</v>
      </c>
      <c r="G2325" s="1">
        <v>-2.7500000000000001E-5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0</v>
      </c>
      <c r="M2325" s="1">
        <f t="shared" si="147"/>
        <v>0</v>
      </c>
      <c r="N2325" s="1">
        <f t="shared" si="148"/>
        <v>-0.14950310627678254</v>
      </c>
      <c r="O2325" s="1"/>
    </row>
    <row r="2326" spans="1:15" x14ac:dyDescent="0.25">
      <c r="A2326">
        <v>4509</v>
      </c>
      <c r="B2326">
        <v>11274.447389999999</v>
      </c>
      <c r="C2326">
        <v>0</v>
      </c>
      <c r="D2326">
        <v>70579.824009999997</v>
      </c>
      <c r="E2326">
        <v>0</v>
      </c>
      <c r="F2326">
        <v>361102.18</v>
      </c>
      <c r="G2326" s="1">
        <v>2.55E-5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0</v>
      </c>
      <c r="M2326" s="1">
        <f t="shared" si="147"/>
        <v>0</v>
      </c>
      <c r="N2326" s="1">
        <f t="shared" si="148"/>
        <v>0.13020152098839749</v>
      </c>
      <c r="O2326" s="1"/>
    </row>
    <row r="2327" spans="1:15" x14ac:dyDescent="0.25">
      <c r="A2327">
        <v>4511</v>
      </c>
      <c r="B2327">
        <v>22760.313300000002</v>
      </c>
      <c r="C2327">
        <v>0</v>
      </c>
      <c r="D2327">
        <v>99689.742499999993</v>
      </c>
      <c r="E2327">
        <v>0</v>
      </c>
      <c r="F2327">
        <v>343236.61330000003</v>
      </c>
      <c r="G2327" s="1">
        <v>1.98E-5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0</v>
      </c>
      <c r="M2327" s="1">
        <f t="shared" si="147"/>
        <v>0</v>
      </c>
      <c r="N2327" s="1">
        <f t="shared" si="148"/>
        <v>5.0745652175669224E-2</v>
      </c>
      <c r="O2327" s="1"/>
    </row>
    <row r="2328" spans="1:15" x14ac:dyDescent="0.25">
      <c r="A2328">
        <v>4512</v>
      </c>
      <c r="B2328">
        <v>10702.75361</v>
      </c>
      <c r="C2328">
        <v>0</v>
      </c>
      <c r="D2328">
        <v>45071.892500000002</v>
      </c>
      <c r="E2328">
        <v>0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</v>
      </c>
      <c r="M2328" s="1">
        <f t="shared" si="147"/>
        <v>0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>
        <v>0</v>
      </c>
      <c r="F2329">
        <v>201644.10079999999</v>
      </c>
      <c r="G2329" s="1">
        <v>-3.5899999999999998E-5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0</v>
      </c>
      <c r="M2329" s="1">
        <f t="shared" si="147"/>
        <v>0</v>
      </c>
      <c r="N2329" s="1">
        <f t="shared" si="148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>
        <v>0</v>
      </c>
      <c r="D2330">
        <v>205755.09400000001</v>
      </c>
      <c r="E2330">
        <v>0</v>
      </c>
      <c r="F2330">
        <v>678562.89229999995</v>
      </c>
      <c r="G2330" s="1">
        <v>-3.4900000000000001E-5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0</v>
      </c>
      <c r="M2330" s="1">
        <f t="shared" si="147"/>
        <v>0</v>
      </c>
      <c r="N2330" s="1">
        <f t="shared" si="148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>
        <v>0</v>
      </c>
      <c r="D2331">
        <v>164289.61290000001</v>
      </c>
      <c r="E2331">
        <v>0</v>
      </c>
      <c r="F2331">
        <v>574889.54700000002</v>
      </c>
      <c r="G2331" s="1">
        <v>4.9100000000000001E-5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0</v>
      </c>
      <c r="M2331" s="1">
        <f t="shared" si="147"/>
        <v>0</v>
      </c>
      <c r="N2331" s="1">
        <f t="shared" si="148"/>
        <v>9.6954333589170549E-2</v>
      </c>
      <c r="O2331" s="1"/>
    </row>
    <row r="2332" spans="1:15" x14ac:dyDescent="0.25">
      <c r="A2332">
        <v>4516</v>
      </c>
      <c r="B2332">
        <v>39225.024299999997</v>
      </c>
      <c r="C2332">
        <v>0</v>
      </c>
      <c r="D2332">
        <v>149977.30110000001</v>
      </c>
      <c r="E2332">
        <v>0</v>
      </c>
      <c r="F2332">
        <v>495843.9865</v>
      </c>
      <c r="G2332" s="1">
        <v>-1.42E-5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0</v>
      </c>
      <c r="M2332" s="1">
        <f t="shared" si="147"/>
        <v>0</v>
      </c>
      <c r="N2332" s="1">
        <f t="shared" si="148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 s="1">
        <v>-4.7500000000000003E-5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0</v>
      </c>
      <c r="M2333" s="1">
        <f t="shared" si="147"/>
        <v>0</v>
      </c>
      <c r="N2333" s="1">
        <f t="shared" si="148"/>
        <v>-3.8894661879854256E-2</v>
      </c>
      <c r="O2333" s="1"/>
    </row>
    <row r="2334" spans="1:15" x14ac:dyDescent="0.25">
      <c r="A2334">
        <v>4518</v>
      </c>
      <c r="B2334">
        <v>12234.49417</v>
      </c>
      <c r="C2334">
        <v>0</v>
      </c>
      <c r="D2334">
        <v>76910.80601</v>
      </c>
      <c r="E2334">
        <v>0</v>
      </c>
      <c r="F2334">
        <v>262480.10700000002</v>
      </c>
      <c r="G2334" s="1">
        <v>2.4600000000000002E-5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0</v>
      </c>
      <c r="M2334" s="1">
        <f t="shared" si="147"/>
        <v>0</v>
      </c>
      <c r="N2334" s="1">
        <f t="shared" si="148"/>
        <v>0.11075965098583845</v>
      </c>
      <c r="O2334" s="1"/>
    </row>
    <row r="2335" spans="1:15" x14ac:dyDescent="0.25">
      <c r="A2335">
        <v>4519</v>
      </c>
      <c r="B2335">
        <v>13038.735979999999</v>
      </c>
      <c r="C2335">
        <v>0</v>
      </c>
      <c r="D2335">
        <v>62158.423170000002</v>
      </c>
      <c r="E2335">
        <v>0</v>
      </c>
      <c r="F2335">
        <v>226169.87700000001</v>
      </c>
      <c r="G2335" s="1">
        <v>-1.31E-5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0</v>
      </c>
      <c r="M2335" s="1">
        <f t="shared" si="147"/>
        <v>0</v>
      </c>
      <c r="N2335" s="1">
        <f t="shared" si="148"/>
        <v>-6.477363406067059E-2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>
        <v>0</v>
      </c>
      <c r="F2336">
        <v>341987.46659999999</v>
      </c>
      <c r="G2336" s="1">
        <v>-1.22E-5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0</v>
      </c>
      <c r="M2336" s="1">
        <f t="shared" si="147"/>
        <v>0</v>
      </c>
      <c r="N2336" s="1">
        <f t="shared" si="148"/>
        <v>-2.4880941033732725E-2</v>
      </c>
      <c r="O2336" s="1"/>
    </row>
    <row r="2337" spans="1:15" x14ac:dyDescent="0.25">
      <c r="A2337">
        <v>4521</v>
      </c>
      <c r="B2337">
        <v>26324.55257</v>
      </c>
      <c r="C2337">
        <v>0</v>
      </c>
      <c r="D2337">
        <v>66255.726139999999</v>
      </c>
      <c r="E2337">
        <v>0</v>
      </c>
      <c r="F2337">
        <v>217921.77420000001</v>
      </c>
      <c r="G2337" s="1">
        <v>-1.5800000000000001E-5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0</v>
      </c>
      <c r="M2337" s="1">
        <f t="shared" si="147"/>
        <v>0</v>
      </c>
      <c r="N2337" s="1">
        <f t="shared" si="148"/>
        <v>-6.231328267494067E-2</v>
      </c>
      <c r="O2337" s="1"/>
    </row>
    <row r="2338" spans="1:15" x14ac:dyDescent="0.25">
      <c r="A2338">
        <v>4522</v>
      </c>
      <c r="B2338">
        <v>9795.8042089999999</v>
      </c>
      <c r="C2338">
        <v>0</v>
      </c>
      <c r="D2338">
        <v>69137.930970000001</v>
      </c>
      <c r="E2338">
        <v>0</v>
      </c>
      <c r="F2338">
        <v>261862.42300000001</v>
      </c>
      <c r="G2338" s="1">
        <v>-4.1199999999999999E-5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0</v>
      </c>
      <c r="M2338" s="1">
        <f t="shared" si="147"/>
        <v>0</v>
      </c>
      <c r="N2338" s="1">
        <f t="shared" si="148"/>
        <v>-0.21979581586739283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>
        <v>0</v>
      </c>
      <c r="F2339">
        <v>255528.22990000001</v>
      </c>
      <c r="G2339" s="1">
        <v>-4.3900000000000003E-5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0</v>
      </c>
      <c r="M2339" s="1">
        <f t="shared" si="147"/>
        <v>0</v>
      </c>
      <c r="N2339" s="1">
        <f t="shared" si="148"/>
        <v>-0.32056132740209553</v>
      </c>
      <c r="O2339" s="1"/>
    </row>
    <row r="2340" spans="1:15" x14ac:dyDescent="0.25">
      <c r="A2340">
        <v>4524</v>
      </c>
      <c r="B2340">
        <v>1410.3430639999999</v>
      </c>
      <c r="C2340">
        <v>0</v>
      </c>
      <c r="D2340">
        <v>45053.881350000003</v>
      </c>
      <c r="E2340">
        <v>0</v>
      </c>
      <c r="F2340">
        <v>202581.71429999999</v>
      </c>
      <c r="G2340" s="1">
        <v>-1.0900000000000001E-5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0</v>
      </c>
      <c r="M2340" s="1">
        <f t="shared" si="147"/>
        <v>0</v>
      </c>
      <c r="N2340" s="1">
        <f t="shared" si="148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>
        <v>0</v>
      </c>
      <c r="F2341">
        <v>278938.54019999999</v>
      </c>
      <c r="G2341" s="1">
        <v>5.4299999999999997E-6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0</v>
      </c>
      <c r="M2341" s="1">
        <f t="shared" si="147"/>
        <v>0</v>
      </c>
      <c r="N2341" s="1">
        <f t="shared" si="148"/>
        <v>2.6403898931980509E-2</v>
      </c>
      <c r="O2341" s="1"/>
    </row>
    <row r="2342" spans="1:15" x14ac:dyDescent="0.25">
      <c r="A2342">
        <v>4526</v>
      </c>
      <c r="B2342">
        <v>27228.245080000001</v>
      </c>
      <c r="C2342">
        <v>0</v>
      </c>
      <c r="D2342">
        <v>180857.4731</v>
      </c>
      <c r="E2342">
        <v>0</v>
      </c>
      <c r="F2342">
        <v>611537.76009999996</v>
      </c>
      <c r="G2342" s="1">
        <v>1.63E-5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0</v>
      </c>
      <c r="M2342" s="1">
        <f t="shared" si="147"/>
        <v>0</v>
      </c>
      <c r="N2342" s="1">
        <f t="shared" si="148"/>
        <v>1.2274458446097839E-2</v>
      </c>
      <c r="O2342" s="1"/>
    </row>
    <row r="2343" spans="1:15" x14ac:dyDescent="0.25">
      <c r="A2343">
        <v>4527</v>
      </c>
      <c r="B2343">
        <v>25865.234479999999</v>
      </c>
      <c r="C2343">
        <v>0</v>
      </c>
      <c r="D2343">
        <v>123889.6863</v>
      </c>
      <c r="E2343">
        <v>0</v>
      </c>
      <c r="F2343">
        <v>561801.61699999997</v>
      </c>
      <c r="G2343" s="1">
        <v>3.4199999999999998E-5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0</v>
      </c>
      <c r="M2343" s="1">
        <f t="shared" si="147"/>
        <v>0</v>
      </c>
      <c r="N2343" s="1">
        <f t="shared" si="148"/>
        <v>2.2200811534024919E-2</v>
      </c>
      <c r="O2343" s="1"/>
    </row>
    <row r="2344" spans="1:15" x14ac:dyDescent="0.25">
      <c r="A2344">
        <v>4528</v>
      </c>
      <c r="B2344">
        <v>1553.0884000000001</v>
      </c>
      <c r="C2344">
        <v>0</v>
      </c>
      <c r="D2344">
        <v>28049.006410000002</v>
      </c>
      <c r="E2344">
        <v>0</v>
      </c>
      <c r="F2344">
        <v>84806.469379999995</v>
      </c>
      <c r="G2344" s="1">
        <v>-4.16E-6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0</v>
      </c>
      <c r="M2344" s="1">
        <f t="shared" si="147"/>
        <v>0</v>
      </c>
      <c r="N2344" s="1">
        <f t="shared" si="148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>
        <v>0</v>
      </c>
      <c r="D2345">
        <v>34856.206380000003</v>
      </c>
      <c r="E2345">
        <v>0</v>
      </c>
      <c r="F2345">
        <v>109919.6004</v>
      </c>
      <c r="G2345" s="1">
        <v>1.5E-5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0</v>
      </c>
      <c r="M2345" s="1">
        <f t="shared" si="147"/>
        <v>0</v>
      </c>
      <c r="N2345" s="1">
        <f t="shared" si="148"/>
        <v>0.12680097906924001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 s="1">
        <v>-3.8699999999999999E-5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</v>
      </c>
      <c r="M2346" s="1">
        <f t="shared" si="147"/>
        <v>0</v>
      </c>
      <c r="N2346" s="1">
        <f t="shared" si="148"/>
        <v>-0.41743545438455104</v>
      </c>
      <c r="O2346" s="1"/>
    </row>
    <row r="2347" spans="1:15" x14ac:dyDescent="0.25">
      <c r="A2347">
        <v>4531</v>
      </c>
      <c r="B2347">
        <v>11714.363240000001</v>
      </c>
      <c r="C2347">
        <v>0</v>
      </c>
      <c r="D2347">
        <v>75291.321060000002</v>
      </c>
      <c r="E2347">
        <v>0</v>
      </c>
      <c r="F2347">
        <v>322649.3296</v>
      </c>
      <c r="G2347" s="1">
        <v>-2.3200000000000001E-5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0</v>
      </c>
      <c r="M2347" s="1">
        <f t="shared" si="147"/>
        <v>0</v>
      </c>
      <c r="N2347" s="1">
        <f t="shared" si="148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>
        <v>0</v>
      </c>
      <c r="D2348">
        <v>163397.57449999999</v>
      </c>
      <c r="E2348">
        <v>0</v>
      </c>
      <c r="F2348">
        <v>567653.8824</v>
      </c>
      <c r="G2348" s="1">
        <v>1.9700000000000001E-5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0</v>
      </c>
      <c r="M2348" s="1">
        <f t="shared" si="147"/>
        <v>0</v>
      </c>
      <c r="N2348" s="1">
        <f t="shared" si="148"/>
        <v>7.0037341798141778E-2</v>
      </c>
      <c r="O2348" s="1"/>
    </row>
    <row r="2349" spans="1:15" x14ac:dyDescent="0.25">
      <c r="A2349">
        <v>4533</v>
      </c>
      <c r="B2349">
        <v>51025.22178</v>
      </c>
      <c r="C2349">
        <v>0</v>
      </c>
      <c r="D2349">
        <v>278756.02899999998</v>
      </c>
      <c r="E2349">
        <v>0</v>
      </c>
      <c r="F2349">
        <v>963045.36600000004</v>
      </c>
      <c r="G2349" s="1">
        <v>5.8000000000000004E-6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0</v>
      </c>
      <c r="M2349" s="1">
        <f t="shared" si="147"/>
        <v>0</v>
      </c>
      <c r="N2349" s="1">
        <f t="shared" si="148"/>
        <v>3.699505334007661E-3</v>
      </c>
      <c r="O2349" s="1"/>
    </row>
    <row r="2350" spans="1:15" x14ac:dyDescent="0.25">
      <c r="A2350">
        <v>4534</v>
      </c>
      <c r="B2350">
        <v>20771.74381</v>
      </c>
      <c r="C2350">
        <v>0</v>
      </c>
      <c r="D2350">
        <v>65155.920489999997</v>
      </c>
      <c r="E2350">
        <v>0</v>
      </c>
      <c r="F2350">
        <v>256362.42170000001</v>
      </c>
      <c r="G2350" s="1">
        <v>4.8900000000000003E-5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0</v>
      </c>
      <c r="M2350" s="1">
        <f t="shared" si="147"/>
        <v>0</v>
      </c>
      <c r="N2350" s="1">
        <f t="shared" si="148"/>
        <v>0.17417726092343189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>
        <v>0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0</v>
      </c>
      <c r="M2351" s="1">
        <f t="shared" si="147"/>
        <v>0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>
        <v>0</v>
      </c>
      <c r="D2352">
        <v>205269.38159999999</v>
      </c>
      <c r="E2352">
        <v>0</v>
      </c>
      <c r="F2352">
        <v>754472.41859999998</v>
      </c>
      <c r="G2352" s="1">
        <v>-4.0899999999999998E-6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0</v>
      </c>
      <c r="M2352" s="1">
        <f t="shared" si="147"/>
        <v>0</v>
      </c>
      <c r="N2352" s="1">
        <f t="shared" si="148"/>
        <v>-4.6086234130312976E-3</v>
      </c>
      <c r="O2352" s="1"/>
    </row>
    <row r="2353" spans="1:15" x14ac:dyDescent="0.25">
      <c r="A2353">
        <v>4537</v>
      </c>
      <c r="B2353">
        <v>12498.28837</v>
      </c>
      <c r="C2353">
        <v>0</v>
      </c>
      <c r="D2353">
        <v>102055.10340000001</v>
      </c>
      <c r="E2353">
        <v>0</v>
      </c>
      <c r="F2353">
        <v>404433.05810000002</v>
      </c>
      <c r="G2353" s="1">
        <v>-1.0900000000000001E-5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0</v>
      </c>
      <c r="M2353" s="1">
        <f t="shared" si="147"/>
        <v>0</v>
      </c>
      <c r="N2353" s="1">
        <f t="shared" si="148"/>
        <v>-4.7066886922368725E-2</v>
      </c>
      <c r="O2353" s="1"/>
    </row>
    <row r="2354" spans="1:15" x14ac:dyDescent="0.25">
      <c r="A2354">
        <v>4538</v>
      </c>
      <c r="B2354">
        <v>12303.95666</v>
      </c>
      <c r="C2354">
        <v>0</v>
      </c>
      <c r="D2354">
        <v>103080.5626</v>
      </c>
      <c r="E2354">
        <v>0</v>
      </c>
      <c r="F2354">
        <v>456701.31099999999</v>
      </c>
      <c r="G2354" s="1">
        <v>9.5799999999999998E-6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0</v>
      </c>
      <c r="M2354" s="1">
        <f t="shared" si="147"/>
        <v>0</v>
      </c>
      <c r="N2354" s="1">
        <f t="shared" si="148"/>
        <v>1.9482110633925253E-2</v>
      </c>
      <c r="O2354" s="1"/>
    </row>
    <row r="2355" spans="1:15" x14ac:dyDescent="0.25">
      <c r="A2355">
        <v>4539</v>
      </c>
      <c r="B2355">
        <v>12623.65105</v>
      </c>
      <c r="C2355">
        <v>0</v>
      </c>
      <c r="D2355">
        <v>60790.40681</v>
      </c>
      <c r="E2355">
        <v>0</v>
      </c>
      <c r="F2355">
        <v>292520.56949999998</v>
      </c>
      <c r="G2355" s="1">
        <v>4.2799999999999997E-5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</v>
      </c>
      <c r="M2355" s="1">
        <f t="shared" si="147"/>
        <v>0</v>
      </c>
      <c r="N2355" s="1">
        <f t="shared" si="148"/>
        <v>0.3265013718112536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>
        <v>0</v>
      </c>
      <c r="F2356">
        <v>453534.56559999997</v>
      </c>
      <c r="G2356" s="1">
        <v>4.1499999999999999E-5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0</v>
      </c>
      <c r="M2356" s="1">
        <f t="shared" si="147"/>
        <v>0</v>
      </c>
      <c r="N2356" s="1">
        <f t="shared" si="148"/>
        <v>0.15315015357749656</v>
      </c>
      <c r="O2356" s="1"/>
    </row>
    <row r="2357" spans="1:15" x14ac:dyDescent="0.25">
      <c r="A2357">
        <v>4541</v>
      </c>
      <c r="B2357">
        <v>5419.3356329999997</v>
      </c>
      <c r="C2357">
        <v>0</v>
      </c>
      <c r="D2357">
        <v>30114.018919999999</v>
      </c>
      <c r="E2357">
        <v>0</v>
      </c>
      <c r="F2357">
        <v>155689.25889999999</v>
      </c>
      <c r="G2357" s="1">
        <v>3.9799999999999998E-5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0</v>
      </c>
      <c r="M2357" s="1">
        <f t="shared" si="147"/>
        <v>0</v>
      </c>
      <c r="N2357" s="1">
        <f t="shared" si="148"/>
        <v>0.19895722313137484</v>
      </c>
      <c r="O2357" s="1"/>
    </row>
    <row r="2358" spans="1:15" x14ac:dyDescent="0.25">
      <c r="A2358">
        <v>4542</v>
      </c>
      <c r="B2358">
        <v>8735.7975449999994</v>
      </c>
      <c r="C2358">
        <v>0</v>
      </c>
      <c r="D2358">
        <v>37635.500079999998</v>
      </c>
      <c r="E2358">
        <v>0</v>
      </c>
      <c r="F2358">
        <v>293300.69520000002</v>
      </c>
      <c r="G2358" s="1">
        <v>4.5000000000000003E-5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0</v>
      </c>
      <c r="M2358" s="1">
        <f t="shared" si="147"/>
        <v>0</v>
      </c>
      <c r="N2358" s="1">
        <f t="shared" si="148"/>
        <v>0.21817878402050103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>
        <v>0</v>
      </c>
      <c r="F2359">
        <v>881600.13970000006</v>
      </c>
      <c r="G2359" s="1">
        <v>-2.1500000000000001E-5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0</v>
      </c>
      <c r="M2359" s="1">
        <f t="shared" si="147"/>
        <v>0</v>
      </c>
      <c r="N2359" s="1">
        <f t="shared" si="148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>
        <v>0</v>
      </c>
      <c r="D2360">
        <v>162081.1795</v>
      </c>
      <c r="E2360">
        <v>0</v>
      </c>
      <c r="F2360">
        <v>555593.36380000005</v>
      </c>
      <c r="G2360" s="1">
        <v>-1.0300000000000001E-6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0</v>
      </c>
      <c r="M2360" s="1">
        <f t="shared" si="147"/>
        <v>0</v>
      </c>
      <c r="N2360" s="1">
        <f t="shared" si="148"/>
        <v>-1.0162908042406352E-3</v>
      </c>
      <c r="O2360" s="1"/>
    </row>
    <row r="2361" spans="1:15" x14ac:dyDescent="0.25">
      <c r="A2361">
        <v>4545</v>
      </c>
      <c r="B2361">
        <v>3405.052052</v>
      </c>
      <c r="C2361">
        <v>0</v>
      </c>
      <c r="D2361">
        <v>42388.127269999997</v>
      </c>
      <c r="E2361">
        <v>0</v>
      </c>
      <c r="F2361">
        <v>259903.8707</v>
      </c>
      <c r="G2361" s="1">
        <v>2.19E-5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0</v>
      </c>
      <c r="M2361" s="1">
        <f t="shared" si="147"/>
        <v>0</v>
      </c>
      <c r="N2361" s="1">
        <f t="shared" si="148"/>
        <v>0.30425181894608938</v>
      </c>
      <c r="O2361" s="1"/>
    </row>
    <row r="2362" spans="1:15" x14ac:dyDescent="0.25">
      <c r="A2362">
        <v>4546</v>
      </c>
      <c r="B2362">
        <v>4188.8048570000001</v>
      </c>
      <c r="C2362">
        <v>0</v>
      </c>
      <c r="D2362">
        <v>90334.283309999999</v>
      </c>
      <c r="E2362">
        <v>0</v>
      </c>
      <c r="F2362">
        <v>339965.32410000003</v>
      </c>
      <c r="G2362" s="1">
        <v>-4.2500000000000003E-5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0</v>
      </c>
      <c r="M2362" s="1">
        <f t="shared" si="147"/>
        <v>0</v>
      </c>
      <c r="N2362" s="1">
        <f t="shared" si="148"/>
        <v>-0.17259692563598028</v>
      </c>
      <c r="O2362" s="1"/>
    </row>
    <row r="2363" spans="1:15" x14ac:dyDescent="0.25">
      <c r="A2363">
        <v>4547</v>
      </c>
      <c r="B2363">
        <v>5178.9698500000004</v>
      </c>
      <c r="C2363">
        <v>0</v>
      </c>
      <c r="D2363">
        <v>92782.31263</v>
      </c>
      <c r="E2363">
        <v>0</v>
      </c>
      <c r="F2363">
        <v>369113.77340000001</v>
      </c>
      <c r="G2363" s="1">
        <v>4.3099999999999997E-5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0</v>
      </c>
      <c r="M2363" s="1">
        <f t="shared" si="147"/>
        <v>0</v>
      </c>
      <c r="N2363" s="1">
        <f t="shared" si="148"/>
        <v>0.2295087062010393</v>
      </c>
      <c r="O2363" s="1"/>
    </row>
    <row r="2364" spans="1:15" x14ac:dyDescent="0.25">
      <c r="A2364">
        <v>4548</v>
      </c>
      <c r="B2364">
        <v>9782.8340219999991</v>
      </c>
      <c r="C2364">
        <v>0</v>
      </c>
      <c r="D2364">
        <v>108681.34480000001</v>
      </c>
      <c r="E2364">
        <v>0</v>
      </c>
      <c r="F2364">
        <v>419703.06310000003</v>
      </c>
      <c r="G2364" s="1">
        <v>1.5500000000000001E-5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0</v>
      </c>
      <c r="M2364" s="1">
        <f t="shared" si="147"/>
        <v>0</v>
      </c>
      <c r="N2364" s="1">
        <f t="shared" si="148"/>
        <v>6.2843168666013749E-2</v>
      </c>
      <c r="O2364" s="1"/>
    </row>
    <row r="2365" spans="1:15" x14ac:dyDescent="0.25">
      <c r="A2365">
        <v>4549</v>
      </c>
      <c r="B2365">
        <v>9981.3161849999997</v>
      </c>
      <c r="C2365">
        <v>0</v>
      </c>
      <c r="D2365">
        <v>52462.183190000003</v>
      </c>
      <c r="E2365">
        <v>0</v>
      </c>
      <c r="F2365">
        <v>278568.65299999999</v>
      </c>
      <c r="G2365" s="1">
        <v>1.52E-5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0</v>
      </c>
      <c r="M2365" s="1">
        <f t="shared" si="147"/>
        <v>0</v>
      </c>
      <c r="N2365" s="1">
        <f t="shared" si="148"/>
        <v>0.12049929136491359</v>
      </c>
      <c r="O2365" s="1"/>
    </row>
    <row r="2366" spans="1:15" x14ac:dyDescent="0.25">
      <c r="A2366">
        <v>4550</v>
      </c>
      <c r="B2366">
        <v>15078.507540000001</v>
      </c>
      <c r="C2366">
        <v>0</v>
      </c>
      <c r="D2366">
        <v>143911.60389999999</v>
      </c>
      <c r="E2366">
        <v>0</v>
      </c>
      <c r="F2366">
        <v>547994.06310000003</v>
      </c>
      <c r="G2366" s="1">
        <v>-4.2899999999999999E-5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0</v>
      </c>
      <c r="M2366" s="1">
        <f t="shared" si="147"/>
        <v>0</v>
      </c>
      <c r="N2366" s="1">
        <f t="shared" si="148"/>
        <v>-0.1828366756136435</v>
      </c>
      <c r="O2366" s="1"/>
    </row>
    <row r="2367" spans="1:15" x14ac:dyDescent="0.25">
      <c r="A2367">
        <v>4551</v>
      </c>
      <c r="B2367">
        <v>17443.756819999999</v>
      </c>
      <c r="C2367">
        <v>0</v>
      </c>
      <c r="D2367">
        <v>118883.31230000001</v>
      </c>
      <c r="E2367">
        <v>0</v>
      </c>
      <c r="F2367">
        <v>487674.6936</v>
      </c>
      <c r="G2367" s="1">
        <v>4.6900000000000002E-5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0</v>
      </c>
      <c r="M2367" s="1">
        <f t="shared" si="147"/>
        <v>0</v>
      </c>
      <c r="N2367" s="1">
        <f t="shared" si="148"/>
        <v>0.11404159008134006</v>
      </c>
      <c r="O2367" s="1"/>
    </row>
    <row r="2368" spans="1:15" x14ac:dyDescent="0.25">
      <c r="A2368">
        <v>4552</v>
      </c>
      <c r="B2368">
        <v>7612.8579120000004</v>
      </c>
      <c r="C2368">
        <v>0</v>
      </c>
      <c r="D2368">
        <v>43876.173710000003</v>
      </c>
      <c r="E2368">
        <v>0</v>
      </c>
      <c r="F2368">
        <v>242553.94560000001</v>
      </c>
      <c r="G2368" s="1">
        <v>-1.8E-5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0</v>
      </c>
      <c r="M2368" s="1">
        <f t="shared" si="147"/>
        <v>0</v>
      </c>
      <c r="N2368" s="1">
        <f t="shared" si="148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>
        <v>0</v>
      </c>
      <c r="D2369">
        <v>179244.41089999999</v>
      </c>
      <c r="E2369">
        <v>0</v>
      </c>
      <c r="F2369">
        <v>739862.11380000005</v>
      </c>
      <c r="G2369" s="1">
        <v>-8.7700000000000007E-6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0</v>
      </c>
      <c r="M2369" s="1">
        <f t="shared" si="147"/>
        <v>0</v>
      </c>
      <c r="N2369" s="1">
        <f t="shared" si="148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>
        <v>0</v>
      </c>
      <c r="D2370">
        <v>75087.130900000004</v>
      </c>
      <c r="E2370">
        <v>0</v>
      </c>
      <c r="F2370">
        <v>364183.55810000002</v>
      </c>
      <c r="G2370" s="1">
        <v>-1.0900000000000001E-5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0</v>
      </c>
      <c r="M2370" s="1">
        <f t="shared" si="147"/>
        <v>0</v>
      </c>
      <c r="N2370" s="1">
        <f t="shared" si="148"/>
        <v>-1.7529585194512143E-2</v>
      </c>
      <c r="O2370" s="1"/>
    </row>
    <row r="2371" spans="1:15" x14ac:dyDescent="0.25">
      <c r="A2371">
        <v>4555</v>
      </c>
      <c r="B2371">
        <v>17327.19169</v>
      </c>
      <c r="C2371">
        <v>0</v>
      </c>
      <c r="D2371">
        <v>143715.2237</v>
      </c>
      <c r="E2371">
        <v>0</v>
      </c>
      <c r="F2371">
        <v>534184.29350000003</v>
      </c>
      <c r="G2371" s="1">
        <v>2.27E-5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0</v>
      </c>
      <c r="M2371" s="1">
        <f t="shared" ref="M2371:M2434" si="151">$U$3*$K2371*E2371</f>
        <v>0</v>
      </c>
      <c r="N2371" s="1">
        <f t="shared" ref="N2371:N2434" si="152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>
        <v>0</v>
      </c>
      <c r="F2372">
        <v>55156.599139999998</v>
      </c>
      <c r="G2372" s="1">
        <v>-2.9000000000000002E-6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0</v>
      </c>
      <c r="N2372" s="1">
        <f t="shared" si="152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-1.8554977252890001E-2</v>
      </c>
      <c r="O2373" s="1"/>
    </row>
    <row r="2374" spans="1:15" x14ac:dyDescent="0.25">
      <c r="A2374">
        <v>4558</v>
      </c>
      <c r="B2374">
        <v>1380.445502</v>
      </c>
      <c r="C2374">
        <v>0</v>
      </c>
      <c r="D2374">
        <v>15811.338599999999</v>
      </c>
      <c r="E2374">
        <v>0</v>
      </c>
      <c r="F2374">
        <v>65433.838830000001</v>
      </c>
      <c r="G2374" s="1">
        <v>-4.7899999999999999E-6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0</v>
      </c>
      <c r="M2374" s="1">
        <f t="shared" si="151"/>
        <v>0</v>
      </c>
      <c r="N2374" s="1">
        <f t="shared" si="152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>
        <v>0</v>
      </c>
      <c r="D2375">
        <v>165417.7084</v>
      </c>
      <c r="E2375">
        <v>0</v>
      </c>
      <c r="F2375">
        <v>503142.50319999998</v>
      </c>
      <c r="G2375" s="1">
        <v>2.7500000000000001E-5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0</v>
      </c>
      <c r="M2375" s="1">
        <f t="shared" si="151"/>
        <v>0</v>
      </c>
      <c r="N2375" s="1">
        <f t="shared" si="152"/>
        <v>2.7379765085697751E-2</v>
      </c>
      <c r="O2375" s="1"/>
    </row>
    <row r="2376" spans="1:15" x14ac:dyDescent="0.25">
      <c r="A2376">
        <v>4560</v>
      </c>
      <c r="B2376">
        <v>30549.53946</v>
      </c>
      <c r="C2376">
        <v>0</v>
      </c>
      <c r="D2376">
        <v>113794.5248</v>
      </c>
      <c r="E2376">
        <v>0</v>
      </c>
      <c r="F2376">
        <v>407121.33140000002</v>
      </c>
      <c r="G2376" s="1">
        <v>1.98E-5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0</v>
      </c>
      <c r="M2376" s="1">
        <f t="shared" si="151"/>
        <v>0</v>
      </c>
      <c r="N2376" s="1">
        <f t="shared" si="152"/>
        <v>2.7580599243145085E-2</v>
      </c>
      <c r="O2376" s="1"/>
    </row>
    <row r="2377" spans="1:15" x14ac:dyDescent="0.25">
      <c r="A2377">
        <v>4561</v>
      </c>
      <c r="B2377">
        <v>7042.4637720000001</v>
      </c>
      <c r="C2377">
        <v>0</v>
      </c>
      <c r="D2377">
        <v>34259.740460000001</v>
      </c>
      <c r="E2377">
        <v>0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0</v>
      </c>
      <c r="M2377" s="1">
        <f t="shared" si="151"/>
        <v>0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>
        <v>0</v>
      </c>
      <c r="D2378">
        <v>34975.446120000001</v>
      </c>
      <c r="E2378">
        <v>0</v>
      </c>
      <c r="F2378">
        <v>94191.477310000002</v>
      </c>
      <c r="G2378" s="1">
        <v>4.1899999999999997E-6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0</v>
      </c>
      <c r="M2378" s="1">
        <f t="shared" si="151"/>
        <v>0</v>
      </c>
      <c r="N2378" s="1">
        <f t="shared" si="152"/>
        <v>3.7298553736663471E-2</v>
      </c>
      <c r="O2378" s="1"/>
    </row>
    <row r="2379" spans="1:15" x14ac:dyDescent="0.25">
      <c r="A2379">
        <v>4563</v>
      </c>
      <c r="B2379">
        <v>3482.2269670000001</v>
      </c>
      <c r="C2379">
        <v>0</v>
      </c>
      <c r="D2379">
        <v>46524.228230000001</v>
      </c>
      <c r="E2379">
        <v>0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0</v>
      </c>
      <c r="M2379" s="1">
        <f t="shared" si="151"/>
        <v>0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>
        <v>0</v>
      </c>
      <c r="F2380">
        <v>145183.49789999999</v>
      </c>
      <c r="G2380" s="1">
        <v>4.3000000000000002E-5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0</v>
      </c>
      <c r="M2380" s="1">
        <f t="shared" si="151"/>
        <v>0</v>
      </c>
      <c r="N2380" s="1">
        <f t="shared" si="152"/>
        <v>0.1868015009868948</v>
      </c>
      <c r="O2380" s="1"/>
    </row>
    <row r="2381" spans="1:15" x14ac:dyDescent="0.25">
      <c r="A2381">
        <v>4565</v>
      </c>
      <c r="B2381">
        <v>16072.769490000001</v>
      </c>
      <c r="C2381">
        <v>0</v>
      </c>
      <c r="D2381">
        <v>90188.178270000004</v>
      </c>
      <c r="E2381">
        <v>0</v>
      </c>
      <c r="F2381">
        <v>324252.28249999997</v>
      </c>
      <c r="G2381" s="1">
        <v>4.6799999999999999E-5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0</v>
      </c>
      <c r="M2381" s="1">
        <f t="shared" si="151"/>
        <v>0</v>
      </c>
      <c r="N2381" s="1">
        <f t="shared" si="152"/>
        <v>0.12459248833463173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>
        <v>0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0</v>
      </c>
      <c r="M2382" s="1">
        <f t="shared" si="151"/>
        <v>0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>
        <v>0</v>
      </c>
      <c r="D2383">
        <v>54396.907209999998</v>
      </c>
      <c r="E2383">
        <v>0</v>
      </c>
      <c r="F2383">
        <v>169778.4166</v>
      </c>
      <c r="G2383" s="1">
        <v>-3.9700000000000003E-5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0</v>
      </c>
      <c r="M2383" s="1">
        <f t="shared" si="151"/>
        <v>0</v>
      </c>
      <c r="N2383" s="1">
        <f t="shared" si="152"/>
        <v>-0.18611011390200977</v>
      </c>
      <c r="O2383" s="1"/>
    </row>
    <row r="2384" spans="1:15" x14ac:dyDescent="0.25">
      <c r="A2384">
        <v>4568</v>
      </c>
      <c r="B2384">
        <v>1738.544682</v>
      </c>
      <c r="C2384">
        <v>0</v>
      </c>
      <c r="D2384">
        <v>45046.766589999999</v>
      </c>
      <c r="E2384">
        <v>0</v>
      </c>
      <c r="F2384">
        <v>152899.0938</v>
      </c>
      <c r="G2384" s="1">
        <v>-7.1099999999999997E-6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0</v>
      </c>
      <c r="M2384" s="1">
        <f t="shared" si="151"/>
        <v>0</v>
      </c>
      <c r="N2384" s="1">
        <f t="shared" si="152"/>
        <v>-2.4825149505699202E-2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>
        <v>0</v>
      </c>
      <c r="F2385">
        <v>142646.2922</v>
      </c>
      <c r="G2385" s="1">
        <v>-4.4100000000000001E-5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0</v>
      </c>
      <c r="M2385" s="1">
        <f t="shared" si="151"/>
        <v>0</v>
      </c>
      <c r="N2385" s="1">
        <f t="shared" si="152"/>
        <v>-0.17783833107252683</v>
      </c>
      <c r="O2385" s="1"/>
    </row>
    <row r="2386" spans="1:15" x14ac:dyDescent="0.25">
      <c r="A2386">
        <v>4570</v>
      </c>
      <c r="B2386">
        <v>13067.955889999999</v>
      </c>
      <c r="C2386">
        <v>0</v>
      </c>
      <c r="D2386">
        <v>59914.245130000003</v>
      </c>
      <c r="E2386">
        <v>0</v>
      </c>
      <c r="F2386">
        <v>171639.00959999999</v>
      </c>
      <c r="G2386" s="1">
        <v>-2.2500000000000001E-5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0</v>
      </c>
      <c r="M2386" s="1">
        <f t="shared" si="151"/>
        <v>0</v>
      </c>
      <c r="N2386" s="1">
        <f t="shared" si="152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>
        <v>0</v>
      </c>
      <c r="F2387">
        <v>534296.42350000003</v>
      </c>
      <c r="G2387" s="1">
        <v>2.2200000000000001E-5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0</v>
      </c>
      <c r="M2387" s="1">
        <f t="shared" si="151"/>
        <v>0</v>
      </c>
      <c r="N2387" s="1">
        <f t="shared" si="152"/>
        <v>2.0035278665913425E-2</v>
      </c>
      <c r="O2387" s="1"/>
    </row>
    <row r="2388" spans="1:15" x14ac:dyDescent="0.25">
      <c r="A2388">
        <v>4572</v>
      </c>
      <c r="B2388">
        <v>1075.908025</v>
      </c>
      <c r="C2388">
        <v>0</v>
      </c>
      <c r="D2388">
        <v>30889.304800000002</v>
      </c>
      <c r="E2388">
        <v>0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0</v>
      </c>
      <c r="M2388" s="1">
        <f t="shared" si="151"/>
        <v>0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>
        <v>0</v>
      </c>
      <c r="D2389">
        <v>218289.3603</v>
      </c>
      <c r="E2389">
        <v>0</v>
      </c>
      <c r="F2389">
        <v>796632.86580000003</v>
      </c>
      <c r="G2389" s="1">
        <v>1.7E-5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0</v>
      </c>
      <c r="M2389" s="1">
        <f t="shared" si="151"/>
        <v>0</v>
      </c>
      <c r="N2389" s="1">
        <f t="shared" si="152"/>
        <v>1.9452827249376903E-2</v>
      </c>
      <c r="O2389" s="1"/>
    </row>
    <row r="2390" spans="1:15" x14ac:dyDescent="0.25">
      <c r="A2390">
        <v>4574</v>
      </c>
      <c r="B2390">
        <v>36542.601340000001</v>
      </c>
      <c r="C2390">
        <v>0</v>
      </c>
      <c r="D2390">
        <v>241282.90040000001</v>
      </c>
      <c r="E2390">
        <v>0</v>
      </c>
      <c r="F2390">
        <v>889799.70299999998</v>
      </c>
      <c r="G2390" s="1">
        <v>4.9200000000000003E-5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0</v>
      </c>
      <c r="M2390" s="1">
        <f t="shared" si="151"/>
        <v>0</v>
      </c>
      <c r="N2390" s="1">
        <f t="shared" si="152"/>
        <v>7.0551008344824487E-2</v>
      </c>
      <c r="O2390" s="1"/>
    </row>
    <row r="2391" spans="1:15" x14ac:dyDescent="0.25">
      <c r="A2391">
        <v>4575</v>
      </c>
      <c r="B2391">
        <v>27890.06177</v>
      </c>
      <c r="C2391">
        <v>0</v>
      </c>
      <c r="D2391">
        <v>210855.55110000001</v>
      </c>
      <c r="E2391">
        <v>0</v>
      </c>
      <c r="F2391">
        <v>709779.7254</v>
      </c>
      <c r="G2391" s="1">
        <v>1.17E-5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0</v>
      </c>
      <c r="M2391" s="1">
        <f t="shared" si="151"/>
        <v>0</v>
      </c>
      <c r="N2391" s="1">
        <f t="shared" si="152"/>
        <v>4.491466045378182E-2</v>
      </c>
      <c r="O2391" s="1"/>
    </row>
    <row r="2392" spans="1:15" x14ac:dyDescent="0.25">
      <c r="A2392">
        <v>4576</v>
      </c>
      <c r="B2392">
        <v>3300.5372969999999</v>
      </c>
      <c r="C2392">
        <v>0</v>
      </c>
      <c r="D2392">
        <v>18489.30198</v>
      </c>
      <c r="E2392">
        <v>0</v>
      </c>
      <c r="F2392">
        <v>176349.01879999999</v>
      </c>
      <c r="G2392" s="1">
        <v>4.6100000000000002E-5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0</v>
      </c>
      <c r="M2392" s="1">
        <f t="shared" si="151"/>
        <v>0</v>
      </c>
      <c r="N2392" s="1">
        <f t="shared" si="152"/>
        <v>0.39381979275089585</v>
      </c>
      <c r="O2392" s="1"/>
    </row>
    <row r="2393" spans="1:15" x14ac:dyDescent="0.25">
      <c r="A2393">
        <v>4577</v>
      </c>
      <c r="B2393">
        <v>3496.0328749999999</v>
      </c>
      <c r="C2393">
        <v>0</v>
      </c>
      <c r="D2393">
        <v>28428.672490000001</v>
      </c>
      <c r="E2393">
        <v>0</v>
      </c>
      <c r="F2393">
        <v>304858.83649999998</v>
      </c>
      <c r="G2393" s="1">
        <v>-5.0100000000000003E-6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0</v>
      </c>
      <c r="M2393" s="1">
        <f t="shared" si="151"/>
        <v>0</v>
      </c>
      <c r="N2393" s="1">
        <f t="shared" si="152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>
        <v>0</v>
      </c>
      <c r="D2394">
        <v>44570.359949999998</v>
      </c>
      <c r="E2394">
        <v>0</v>
      </c>
      <c r="F2394">
        <v>302729.82799999998</v>
      </c>
      <c r="G2394" s="1">
        <v>2.23E-5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0</v>
      </c>
      <c r="M2394" s="1">
        <f t="shared" si="151"/>
        <v>0</v>
      </c>
      <c r="N2394" s="1">
        <f t="shared" si="152"/>
        <v>0.18361445965895459</v>
      </c>
      <c r="O2394" s="1"/>
    </row>
    <row r="2395" spans="1:15" x14ac:dyDescent="0.25">
      <c r="A2395">
        <v>4579</v>
      </c>
      <c r="B2395">
        <v>3726.2697210000001</v>
      </c>
      <c r="C2395">
        <v>0</v>
      </c>
      <c r="D2395">
        <v>43250.689960000003</v>
      </c>
      <c r="E2395">
        <v>0</v>
      </c>
      <c r="F2395">
        <v>724669.44010000001</v>
      </c>
      <c r="G2395" s="1">
        <v>4.7700000000000001E-5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0</v>
      </c>
      <c r="M2395" s="1">
        <f t="shared" si="151"/>
        <v>0</v>
      </c>
      <c r="N2395" s="1">
        <f t="shared" si="152"/>
        <v>0.3562554831510375</v>
      </c>
      <c r="O2395" s="1"/>
    </row>
    <row r="2396" spans="1:15" x14ac:dyDescent="0.25">
      <c r="A2396">
        <v>4580</v>
      </c>
      <c r="B2396">
        <v>1826.8390629999999</v>
      </c>
      <c r="C2396">
        <v>0</v>
      </c>
      <c r="D2396">
        <v>60142.514909999998</v>
      </c>
      <c r="E2396">
        <v>0</v>
      </c>
      <c r="F2396">
        <v>207484.3731</v>
      </c>
      <c r="G2396" s="1">
        <v>3.01E-5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0</v>
      </c>
      <c r="M2396" s="1">
        <f t="shared" si="151"/>
        <v>0</v>
      </c>
      <c r="N2396" s="1">
        <f t="shared" si="152"/>
        <v>5.8730972269172919E-2</v>
      </c>
      <c r="O2396" s="1"/>
    </row>
    <row r="2397" spans="1:15" x14ac:dyDescent="0.25">
      <c r="A2397">
        <v>4581</v>
      </c>
      <c r="B2397">
        <v>37948.127959999998</v>
      </c>
      <c r="C2397">
        <v>0</v>
      </c>
      <c r="D2397">
        <v>160333.7972</v>
      </c>
      <c r="E2397">
        <v>0</v>
      </c>
      <c r="F2397">
        <v>383858.59409999999</v>
      </c>
      <c r="G2397" s="1">
        <v>4.7899999999999999E-5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0</v>
      </c>
      <c r="M2397" s="1">
        <f t="shared" si="151"/>
        <v>0</v>
      </c>
      <c r="N2397" s="1">
        <f t="shared" si="152"/>
        <v>4.9529728145336134E-2</v>
      </c>
      <c r="O2397" s="1"/>
    </row>
    <row r="2398" spans="1:15" x14ac:dyDescent="0.25">
      <c r="A2398">
        <v>4582</v>
      </c>
      <c r="B2398">
        <v>18139.249769999999</v>
      </c>
      <c r="C2398">
        <v>0</v>
      </c>
      <c r="D2398">
        <v>169753.32459999999</v>
      </c>
      <c r="E2398">
        <v>0</v>
      </c>
      <c r="F2398">
        <v>582138.83440000005</v>
      </c>
      <c r="G2398" s="1">
        <v>1.81E-6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0</v>
      </c>
      <c r="M2398" s="1">
        <f t="shared" si="151"/>
        <v>0</v>
      </c>
      <c r="N2398" s="1">
        <f t="shared" si="152"/>
        <v>1.3620759677586871E-3</v>
      </c>
      <c r="O2398" s="1"/>
    </row>
    <row r="2399" spans="1:15" x14ac:dyDescent="0.25">
      <c r="A2399">
        <v>4583</v>
      </c>
      <c r="B2399">
        <v>9496.2286960000001</v>
      </c>
      <c r="C2399">
        <v>0</v>
      </c>
      <c r="D2399">
        <v>63730.087879999999</v>
      </c>
      <c r="E2399">
        <v>0</v>
      </c>
      <c r="F2399">
        <v>241067.6361</v>
      </c>
      <c r="G2399" s="1">
        <v>-4.3900000000000003E-5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0</v>
      </c>
      <c r="M2399" s="1">
        <f t="shared" si="151"/>
        <v>0</v>
      </c>
      <c r="N2399" s="1">
        <f t="shared" si="152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>
        <v>0</v>
      </c>
      <c r="D2400">
        <v>170535.81580000001</v>
      </c>
      <c r="E2400">
        <v>0</v>
      </c>
      <c r="F2400">
        <v>596192.08700000006</v>
      </c>
      <c r="G2400" s="1">
        <v>-3.49E-6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0</v>
      </c>
      <c r="M2400" s="1">
        <f t="shared" si="151"/>
        <v>0</v>
      </c>
      <c r="N2400" s="1">
        <f t="shared" si="152"/>
        <v>-1.9851264227129252E-3</v>
      </c>
      <c r="O2400" s="1"/>
    </row>
    <row r="2401" spans="1:15" x14ac:dyDescent="0.25">
      <c r="A2401">
        <v>4585</v>
      </c>
      <c r="B2401">
        <v>10855.02061</v>
      </c>
      <c r="C2401">
        <v>0</v>
      </c>
      <c r="D2401">
        <v>52188.20678</v>
      </c>
      <c r="E2401">
        <v>0</v>
      </c>
      <c r="F2401">
        <v>167894.88529999999</v>
      </c>
      <c r="G2401" s="1">
        <v>-1.1E-5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0</v>
      </c>
      <c r="M2401" s="1">
        <f t="shared" si="151"/>
        <v>0</v>
      </c>
      <c r="N2401" s="1">
        <f t="shared" si="152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0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>
        <v>0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0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>
        <v>0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0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>
        <v>0</v>
      </c>
      <c r="D2411">
        <v>1480.5246930000001</v>
      </c>
      <c r="E2411">
        <v>0</v>
      </c>
      <c r="F2411">
        <v>4675.8849959999998</v>
      </c>
      <c r="G2411" s="1">
        <v>1E-8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0</v>
      </c>
      <c r="M2411" s="1">
        <f t="shared" si="151"/>
        <v>0</v>
      </c>
      <c r="N2411" s="1">
        <f t="shared" si="152"/>
        <v>1.9738191946143001E-4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>
        <v>0</v>
      </c>
      <c r="F2412">
        <v>69558.725829999996</v>
      </c>
      <c r="G2412" s="1">
        <v>2.3300000000000001E-6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0</v>
      </c>
      <c r="M2412" s="1">
        <f t="shared" si="151"/>
        <v>0</v>
      </c>
      <c r="N2412" s="1">
        <f t="shared" si="152"/>
        <v>3.662179956503623E-2</v>
      </c>
      <c r="O2412" s="1"/>
    </row>
    <row r="2413" spans="1:15" x14ac:dyDescent="0.25">
      <c r="A2413">
        <v>4613</v>
      </c>
      <c r="B2413">
        <v>754.18639189999999</v>
      </c>
      <c r="C2413">
        <v>0</v>
      </c>
      <c r="D2413">
        <v>2160.9936069999999</v>
      </c>
      <c r="E2413">
        <v>0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0</v>
      </c>
      <c r="M2413" s="1">
        <f t="shared" si="151"/>
        <v>0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 s="1">
        <v>-4.2000000000000004E-9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0</v>
      </c>
      <c r="M2415" s="1">
        <f t="shared" si="151"/>
        <v>0</v>
      </c>
      <c r="N2415" s="1">
        <f t="shared" si="152"/>
        <v>-1.440380308726296E-4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>
        <v>0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0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>
        <v>0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0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>
        <v>0</v>
      </c>
      <c r="D2419">
        <v>7228.2011679999996</v>
      </c>
      <c r="E2419">
        <v>0</v>
      </c>
      <c r="F2419">
        <v>7520.0428220000003</v>
      </c>
      <c r="G2419" s="1">
        <v>3.9999999999999998E-7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0</v>
      </c>
      <c r="M2419" s="1">
        <f t="shared" si="151"/>
        <v>0</v>
      </c>
      <c r="N2419" s="1">
        <f t="shared" si="152"/>
        <v>3.2035827938387998E-3</v>
      </c>
      <c r="O2419" s="1"/>
    </row>
    <row r="2420" spans="1:15" x14ac:dyDescent="0.25">
      <c r="A2420">
        <v>4625</v>
      </c>
      <c r="B2420">
        <v>3392.7574140000002</v>
      </c>
      <c r="C2420">
        <v>0</v>
      </c>
      <c r="D2420">
        <v>5052.6185999999998</v>
      </c>
      <c r="E2420">
        <v>0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0</v>
      </c>
      <c r="M2420" s="1">
        <f t="shared" si="151"/>
        <v>0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>
        <v>0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0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>
        <v>0</v>
      </c>
      <c r="F2424">
        <v>7707.4362440000004</v>
      </c>
      <c r="G2424" s="1">
        <v>-4.4999999999999998E-7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0</v>
      </c>
      <c r="N2424" s="1">
        <f t="shared" si="152"/>
        <v>-1.7219054421957598E-2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 s="1">
        <v>-2.9999999999999999E-7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-1.3550010339928501E-2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>
        <v>0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0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>
        <v>0</v>
      </c>
      <c r="F2435">
        <v>3600.7949440000002</v>
      </c>
      <c r="G2435" s="1">
        <v>3.9999999999999998E-7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0</v>
      </c>
      <c r="N2435" s="1">
        <f t="shared" ref="N2435:N2498" si="156">$U$4*$K2435*G2435</f>
        <v>8.523649653768001E-3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>
        <v>0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0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>
        <v>0</v>
      </c>
      <c r="D2445">
        <v>2882.7200549999998</v>
      </c>
      <c r="E2445">
        <v>0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0</v>
      </c>
      <c r="M2445" s="1">
        <f t="shared" si="155"/>
        <v>0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>
        <v>0</v>
      </c>
      <c r="F2447">
        <v>20209.7029</v>
      </c>
      <c r="G2447" s="1">
        <v>2.6299999999999998E-6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0</v>
      </c>
      <c r="N2447" s="1">
        <f t="shared" si="156"/>
        <v>3.7748788017761763E-2</v>
      </c>
      <c r="O2447" s="1"/>
    </row>
    <row r="2448" spans="1:15" x14ac:dyDescent="0.25">
      <c r="A2448">
        <v>4710</v>
      </c>
      <c r="B2448">
        <v>6399.3832549999997</v>
      </c>
      <c r="C2448">
        <v>0</v>
      </c>
      <c r="D2448">
        <v>10478.552100000001</v>
      </c>
      <c r="E2448">
        <v>0</v>
      </c>
      <c r="F2448">
        <v>24559.946540000001</v>
      </c>
      <c r="G2448" s="1">
        <v>3.32E-6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0</v>
      </c>
      <c r="M2448" s="1">
        <f t="shared" si="155"/>
        <v>0</v>
      </c>
      <c r="N2448" s="1">
        <f t="shared" si="156"/>
        <v>2.3532829098142201E-2</v>
      </c>
      <c r="O2448" s="1"/>
    </row>
    <row r="2449" spans="1:15" x14ac:dyDescent="0.25">
      <c r="A2449">
        <v>4711</v>
      </c>
      <c r="B2449">
        <v>3238.8050269999999</v>
      </c>
      <c r="C2449">
        <v>0</v>
      </c>
      <c r="D2449">
        <v>6707.6533460000001</v>
      </c>
      <c r="E2449">
        <v>0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0</v>
      </c>
      <c r="M2449" s="1">
        <f t="shared" si="155"/>
        <v>0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>
        <v>0</v>
      </c>
      <c r="D2450">
        <v>7819.8302130000002</v>
      </c>
      <c r="E2450">
        <v>0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0</v>
      </c>
      <c r="M2450" s="1">
        <f t="shared" si="155"/>
        <v>0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>
        <v>0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0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>
        <v>0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0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>
        <v>0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0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>
        <v>0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0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>
        <v>0</v>
      </c>
      <c r="D2460">
        <v>23186.751240000001</v>
      </c>
      <c r="E2460">
        <v>0</v>
      </c>
      <c r="F2460">
        <v>41145.447189999999</v>
      </c>
      <c r="G2460" s="1">
        <v>-3.9000000000000002E-7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0</v>
      </c>
      <c r="M2460" s="1">
        <f t="shared" si="155"/>
        <v>0</v>
      </c>
      <c r="N2460" s="1">
        <f t="shared" si="156"/>
        <v>-1.5342955928753313E-3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>
        <v>0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0</v>
      </c>
      <c r="M2461" s="1">
        <f t="shared" si="155"/>
        <v>0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>
        <v>0</v>
      </c>
      <c r="D2462">
        <v>13543.63342</v>
      </c>
      <c r="E2462">
        <v>0</v>
      </c>
      <c r="F2462">
        <v>66872.824850000005</v>
      </c>
      <c r="G2462" s="1">
        <v>-3.9000000000000002E-7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0</v>
      </c>
      <c r="M2462" s="1">
        <f t="shared" si="155"/>
        <v>0</v>
      </c>
      <c r="N2462" s="1">
        <f t="shared" si="156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>
        <v>0</v>
      </c>
      <c r="D2463">
        <v>34126.543100000003</v>
      </c>
      <c r="E2463">
        <v>0</v>
      </c>
      <c r="F2463">
        <v>84044.407089999993</v>
      </c>
      <c r="G2463" s="1">
        <v>-4.1799999999999998E-6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0</v>
      </c>
      <c r="M2463" s="1">
        <f t="shared" si="155"/>
        <v>0</v>
      </c>
      <c r="N2463" s="1">
        <f t="shared" si="156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>
        <v>0</v>
      </c>
      <c r="D2464">
        <v>31156.641640000002</v>
      </c>
      <c r="E2464">
        <v>0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0</v>
      </c>
      <c r="M2464" s="1">
        <f t="shared" si="155"/>
        <v>0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>
        <v>0</v>
      </c>
      <c r="D2465">
        <v>33684.837019999999</v>
      </c>
      <c r="E2465">
        <v>0</v>
      </c>
      <c r="F2465">
        <v>95978.190419999999</v>
      </c>
      <c r="G2465" s="1">
        <v>-1.5200000000000001E-6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0</v>
      </c>
      <c r="M2465" s="1">
        <f t="shared" si="155"/>
        <v>0</v>
      </c>
      <c r="N2465" s="1">
        <f t="shared" si="156"/>
        <v>-7.6447831606597447E-3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0</v>
      </c>
      <c r="M2466" s="1">
        <f t="shared" si="155"/>
        <v>0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>
        <v>0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0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>
        <v>0</v>
      </c>
      <c r="F2473">
        <v>25780.798999999999</v>
      </c>
      <c r="G2473" s="1">
        <v>5.9999999999999997E-7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0</v>
      </c>
      <c r="N2473" s="1">
        <f t="shared" si="156"/>
        <v>3.3488916754661996E-3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>
        <v>0</v>
      </c>
      <c r="F2474">
        <v>30952.842219999999</v>
      </c>
      <c r="G2474" s="1">
        <v>3.9000000000000002E-7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0</v>
      </c>
      <c r="M2474" s="1">
        <f t="shared" si="155"/>
        <v>0</v>
      </c>
      <c r="N2474" s="1">
        <f t="shared" si="156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>
        <v>0</v>
      </c>
      <c r="F2475">
        <v>42455.347170000001</v>
      </c>
      <c r="G2475" s="1">
        <v>-8.8999999999999995E-7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0</v>
      </c>
      <c r="N2475" s="1">
        <f t="shared" si="156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>
        <v>0</v>
      </c>
      <c r="D2477">
        <v>16250.939850000001</v>
      </c>
      <c r="E2477">
        <v>0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0</v>
      </c>
      <c r="M2477" s="1">
        <f t="shared" si="155"/>
        <v>0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 s="1">
        <v>-1E-8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0</v>
      </c>
      <c r="N2478" s="1">
        <f t="shared" si="156"/>
        <v>-2.2239020754429004E-4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>
        <v>0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0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>
        <v>0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0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>
        <v>0</v>
      </c>
      <c r="D2481">
        <v>21013.515019999999</v>
      </c>
      <c r="E2481">
        <v>0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0</v>
      </c>
      <c r="M2481" s="1">
        <f t="shared" si="155"/>
        <v>0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>
        <v>0</v>
      </c>
      <c r="D2482">
        <v>27203.575219999999</v>
      </c>
      <c r="E2482">
        <v>0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0</v>
      </c>
      <c r="M2482" s="1">
        <f t="shared" si="155"/>
        <v>0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>
        <v>0</v>
      </c>
      <c r="D2483">
        <v>21916.055260000001</v>
      </c>
      <c r="E2483">
        <v>0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0</v>
      </c>
      <c r="M2483" s="1">
        <f t="shared" si="155"/>
        <v>0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>
        <v>0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0</v>
      </c>
      <c r="M2484" s="1">
        <f t="shared" si="155"/>
        <v>0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>
        <v>0</v>
      </c>
      <c r="D2485">
        <v>2172.4537639999999</v>
      </c>
      <c r="E2485">
        <v>0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0</v>
      </c>
      <c r="M2485" s="1">
        <f t="shared" si="155"/>
        <v>0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>
        <v>0</v>
      </c>
      <c r="F2486">
        <v>34249.659979999997</v>
      </c>
      <c r="G2486" s="1">
        <v>9.9999999999999995E-8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0</v>
      </c>
      <c r="N2486" s="1">
        <f t="shared" si="156"/>
        <v>5.8218835604160004E-4</v>
      </c>
      <c r="O2486" s="1"/>
    </row>
    <row r="2487" spans="1:15" x14ac:dyDescent="0.25">
      <c r="A2487">
        <v>4931</v>
      </c>
      <c r="B2487">
        <v>1248.2415800000001</v>
      </c>
      <c r="C2487">
        <v>0</v>
      </c>
      <c r="D2487">
        <v>17278.306560000001</v>
      </c>
      <c r="E2487">
        <v>0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0</v>
      </c>
      <c r="M2487" s="1">
        <f t="shared" si="155"/>
        <v>0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>
        <v>0</v>
      </c>
      <c r="D2488">
        <v>11998.240229999999</v>
      </c>
      <c r="E2488">
        <v>0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0</v>
      </c>
      <c r="M2488" s="1">
        <f t="shared" si="155"/>
        <v>0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>
        <v>0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0</v>
      </c>
      <c r="M2489" s="1">
        <f t="shared" si="155"/>
        <v>0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>
        <v>0</v>
      </c>
      <c r="D2490">
        <v>7190.0955089999998</v>
      </c>
      <c r="E2490">
        <v>0</v>
      </c>
      <c r="F2490">
        <v>26035.35039</v>
      </c>
      <c r="G2490" s="1">
        <v>6.9999999999999997E-7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0</v>
      </c>
      <c r="M2490" s="1">
        <f t="shared" si="155"/>
        <v>0</v>
      </c>
      <c r="N2490" s="1">
        <f t="shared" si="156"/>
        <v>5.4539129478455997E-3</v>
      </c>
      <c r="O2490" s="1"/>
    </row>
    <row r="2491" spans="1:15" x14ac:dyDescent="0.25">
      <c r="A2491">
        <v>4935</v>
      </c>
      <c r="B2491">
        <v>1970.96749</v>
      </c>
      <c r="C2491">
        <v>0</v>
      </c>
      <c r="D2491">
        <v>6383.8636569999999</v>
      </c>
      <c r="E2491">
        <v>0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0</v>
      </c>
      <c r="M2491" s="1">
        <f t="shared" si="155"/>
        <v>0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>
        <v>0</v>
      </c>
      <c r="D2492">
        <v>17787.195220000001</v>
      </c>
      <c r="E2492">
        <v>0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0</v>
      </c>
      <c r="M2492" s="1">
        <f t="shared" si="155"/>
        <v>0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>
        <v>0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0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>
        <v>0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>
        <v>0</v>
      </c>
      <c r="D2495">
        <v>27942.050060000001</v>
      </c>
      <c r="E2495">
        <v>0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0</v>
      </c>
      <c r="M2495" s="1">
        <f t="shared" si="155"/>
        <v>0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>
        <v>0</v>
      </c>
      <c r="D2496">
        <v>24833.76455</v>
      </c>
      <c r="E2496">
        <v>0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0</v>
      </c>
      <c r="M2496" s="1">
        <f t="shared" si="155"/>
        <v>0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>
        <v>0</v>
      </c>
      <c r="D2497">
        <v>25084.243630000001</v>
      </c>
      <c r="E2497">
        <v>0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0</v>
      </c>
      <c r="M2497" s="1">
        <f t="shared" si="155"/>
        <v>0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>
        <v>0</v>
      </c>
      <c r="D2498">
        <v>22858.293689999999</v>
      </c>
      <c r="E2498">
        <v>0</v>
      </c>
      <c r="F2498">
        <v>35789.932739999997</v>
      </c>
      <c r="G2498" s="1">
        <v>-3.8999999999999999E-6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0</v>
      </c>
      <c r="M2498" s="1">
        <f t="shared" si="155"/>
        <v>0</v>
      </c>
      <c r="N2498" s="1">
        <f t="shared" si="156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>
        <v>0</v>
      </c>
      <c r="D2499">
        <v>27489.882539999999</v>
      </c>
      <c r="E2499">
        <v>0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0</v>
      </c>
      <c r="M2499" s="1">
        <f t="shared" ref="M2499:M2563" si="159">$U$3*$K2499*E2499</f>
        <v>0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>
        <v>0</v>
      </c>
      <c r="D2500">
        <v>55527.066989999999</v>
      </c>
      <c r="E2500">
        <v>0</v>
      </c>
      <c r="F2500">
        <v>175010.13020000001</v>
      </c>
      <c r="G2500" s="1">
        <v>-7.9400000000000002E-6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0</v>
      </c>
      <c r="M2500" s="1">
        <f t="shared" si="159"/>
        <v>0</v>
      </c>
      <c r="N2500" s="1">
        <f t="shared" si="16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>
        <v>0</v>
      </c>
      <c r="D2501">
        <v>59883.465459999999</v>
      </c>
      <c r="E2501">
        <v>0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</v>
      </c>
      <c r="M2501" s="1">
        <f t="shared" si="159"/>
        <v>0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>
        <v>0</v>
      </c>
      <c r="D2502">
        <v>31199.650290000001</v>
      </c>
      <c r="E2502">
        <v>0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0</v>
      </c>
      <c r="M2502" s="1">
        <f t="shared" si="159"/>
        <v>0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>
        <v>0</v>
      </c>
      <c r="D2503">
        <v>41201.419990000002</v>
      </c>
      <c r="E2503">
        <v>0</v>
      </c>
      <c r="F2503">
        <v>123592.7432</v>
      </c>
      <c r="G2503" s="1">
        <v>-2.1299999999999999E-6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0</v>
      </c>
      <c r="M2503" s="1">
        <f t="shared" si="159"/>
        <v>0</v>
      </c>
      <c r="N2503" s="1">
        <f t="shared" si="160"/>
        <v>-4.4075981360308502E-3</v>
      </c>
      <c r="O2503" s="1"/>
    </row>
    <row r="2504" spans="1:15" x14ac:dyDescent="0.25">
      <c r="A2504">
        <v>4952</v>
      </c>
      <c r="B2504">
        <v>9298.428183</v>
      </c>
      <c r="C2504">
        <v>0</v>
      </c>
      <c r="D2504">
        <v>30702.642820000001</v>
      </c>
      <c r="E2504">
        <v>0</v>
      </c>
      <c r="F2504">
        <v>85449.587939999998</v>
      </c>
      <c r="G2504" s="1">
        <v>-3.7799999999999998E-6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0</v>
      </c>
      <c r="M2504" s="1">
        <f t="shared" si="159"/>
        <v>0</v>
      </c>
      <c r="N2504" s="1">
        <f t="shared" si="16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>
        <v>0</v>
      </c>
      <c r="D2505">
        <v>38947.46486</v>
      </c>
      <c r="E2505">
        <v>0</v>
      </c>
      <c r="F2505">
        <v>109069.6749</v>
      </c>
      <c r="G2505" s="1">
        <v>-3.6399999999999997E-5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0</v>
      </c>
      <c r="M2505" s="1">
        <f t="shared" si="159"/>
        <v>0</v>
      </c>
      <c r="N2505" s="1">
        <f t="shared" si="160"/>
        <v>-0.40635723601527607</v>
      </c>
      <c r="O2505" s="1"/>
    </row>
    <row r="2506" spans="1:15" x14ac:dyDescent="0.25">
      <c r="A2506">
        <v>4954</v>
      </c>
      <c r="B2506">
        <v>17524.36695</v>
      </c>
      <c r="C2506">
        <v>0</v>
      </c>
      <c r="D2506">
        <v>35938.473749999997</v>
      </c>
      <c r="E2506">
        <v>0</v>
      </c>
      <c r="F2506">
        <v>75585.868239999996</v>
      </c>
      <c r="G2506" s="1">
        <v>2.1E-7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</v>
      </c>
      <c r="M2506" s="1">
        <f t="shared" si="159"/>
        <v>0</v>
      </c>
      <c r="N2506" s="1">
        <f t="shared" si="16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>
        <v>0</v>
      </c>
      <c r="F2507">
        <v>53740.71632</v>
      </c>
      <c r="G2507" s="1">
        <v>1.1999999999999999E-7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</v>
      </c>
      <c r="N2507" s="1">
        <f t="shared" si="16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>
        <v>0</v>
      </c>
      <c r="D2508">
        <v>23267.811679999999</v>
      </c>
      <c r="E2508">
        <v>0</v>
      </c>
      <c r="F2508">
        <v>66772.815149999995</v>
      </c>
      <c r="G2508" s="1">
        <v>3.8199999999999998E-6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0</v>
      </c>
      <c r="M2508" s="1">
        <f t="shared" si="159"/>
        <v>0</v>
      </c>
      <c r="N2508" s="1">
        <f t="shared" si="160"/>
        <v>1.3118100811592093E-2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>
        <v>0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0</v>
      </c>
      <c r="M2509" s="1">
        <f t="shared" si="159"/>
        <v>0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>
        <v>0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0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>
        <v>0</v>
      </c>
      <c r="D2511">
        <v>32827.584390000004</v>
      </c>
      <c r="E2511">
        <v>0</v>
      </c>
      <c r="F2511">
        <v>87982.104500000001</v>
      </c>
      <c r="G2511" s="1">
        <v>1.11E-6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0</v>
      </c>
      <c r="M2511" s="1">
        <f t="shared" si="159"/>
        <v>0</v>
      </c>
      <c r="N2511" s="1">
        <f t="shared" si="16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>
        <v>0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0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>
        <v>0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0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>
        <v>0</v>
      </c>
      <c r="F2526">
        <v>41330.674249999996</v>
      </c>
      <c r="G2526" s="1">
        <v>-5.0999999999999999E-7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0</v>
      </c>
      <c r="N2526" s="1">
        <f t="shared" si="16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0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>
        <v>0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0</v>
      </c>
      <c r="M2528" s="1">
        <f t="shared" si="159"/>
        <v>0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>
        <v>0</v>
      </c>
      <c r="D2529">
        <v>65706.764710000003</v>
      </c>
      <c r="E2529">
        <v>0</v>
      </c>
      <c r="F2529">
        <v>179766.6164</v>
      </c>
      <c r="G2529" s="1">
        <v>2.4000000000000001E-5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0</v>
      </c>
      <c r="M2529" s="1">
        <f t="shared" si="159"/>
        <v>0</v>
      </c>
      <c r="N2529" s="1">
        <f t="shared" si="160"/>
        <v>9.1094163926183996E-2</v>
      </c>
      <c r="O2529" s="1"/>
    </row>
    <row r="2530" spans="1:15" x14ac:dyDescent="0.25">
      <c r="A2530">
        <v>4978</v>
      </c>
      <c r="B2530">
        <v>12950.86124</v>
      </c>
      <c r="C2530">
        <v>0</v>
      </c>
      <c r="D2530">
        <v>26930.94644</v>
      </c>
      <c r="E2530">
        <v>0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0</v>
      </c>
      <c r="M2530" s="1">
        <f t="shared" si="159"/>
        <v>0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>
        <v>0</v>
      </c>
      <c r="D2531">
        <v>57432.273589999997</v>
      </c>
      <c r="E2531">
        <v>0</v>
      </c>
      <c r="F2531">
        <v>149564.33069999999</v>
      </c>
      <c r="G2531" s="1">
        <v>3.0300000000000001E-5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0</v>
      </c>
      <c r="M2531" s="1">
        <f t="shared" si="159"/>
        <v>0</v>
      </c>
      <c r="N2531" s="1">
        <f t="shared" si="16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>
        <v>0</v>
      </c>
      <c r="D2533">
        <v>41263.352140000003</v>
      </c>
      <c r="E2533">
        <v>0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</v>
      </c>
      <c r="M2533" s="1">
        <f t="shared" si="159"/>
        <v>0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>
        <v>0</v>
      </c>
      <c r="D2534">
        <v>37913.206480000001</v>
      </c>
      <c r="E2534">
        <v>0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0</v>
      </c>
      <c r="M2534" s="1">
        <f t="shared" si="159"/>
        <v>0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>
        <v>0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0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>
        <v>0</v>
      </c>
      <c r="D2538">
        <v>38570.850599999998</v>
      </c>
      <c r="E2538">
        <v>0</v>
      </c>
      <c r="F2538">
        <v>88130.35497</v>
      </c>
      <c r="G2538" s="1">
        <v>-4.1799999999999998E-6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0</v>
      </c>
      <c r="M2538" s="1">
        <f t="shared" si="159"/>
        <v>0</v>
      </c>
      <c r="N2538" s="1">
        <f t="shared" si="16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>
        <v>0</v>
      </c>
      <c r="D2539">
        <v>64095.1829</v>
      </c>
      <c r="E2539">
        <v>0</v>
      </c>
      <c r="F2539">
        <v>152458.09160000001</v>
      </c>
      <c r="G2539" s="1">
        <v>-1.2999999999999999E-5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0</v>
      </c>
      <c r="M2539" s="1">
        <f t="shared" si="159"/>
        <v>0</v>
      </c>
      <c r="N2539" s="1">
        <f t="shared" si="160"/>
        <v>-1.64829416216478E-2</v>
      </c>
      <c r="O2539" s="1"/>
    </row>
    <row r="2540" spans="1:15" x14ac:dyDescent="0.25">
      <c r="A2540">
        <v>5000</v>
      </c>
      <c r="B2540">
        <v>1007.514751</v>
      </c>
      <c r="C2540">
        <v>0</v>
      </c>
      <c r="D2540">
        <v>12994.69356</v>
      </c>
      <c r="E2540">
        <v>0</v>
      </c>
      <c r="F2540">
        <v>37312.149100000002</v>
      </c>
      <c r="G2540" s="1">
        <v>7.6000000000000003E-7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0</v>
      </c>
      <c r="M2540" s="1">
        <f t="shared" si="159"/>
        <v>0</v>
      </c>
      <c r="N2540" s="1">
        <f t="shared" si="16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>
        <v>0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0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>
        <v>0</v>
      </c>
      <c r="D2543">
        <v>24566.920249999999</v>
      </c>
      <c r="E2543">
        <v>0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0</v>
      </c>
      <c r="M2543" s="1">
        <f t="shared" si="159"/>
        <v>0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>
        <v>0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0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>
        <v>0</v>
      </c>
      <c r="D2545">
        <v>22063.22005</v>
      </c>
      <c r="E2545">
        <v>0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0</v>
      </c>
      <c r="M2545" s="1">
        <f t="shared" si="159"/>
        <v>0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>
        <v>0</v>
      </c>
      <c r="D2546">
        <v>24566.920249999999</v>
      </c>
      <c r="E2546">
        <v>0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0</v>
      </c>
      <c r="M2546" s="1">
        <f t="shared" si="159"/>
        <v>0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0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>
        <v>0</v>
      </c>
      <c r="D2548">
        <v>24566.920249999999</v>
      </c>
      <c r="E2548">
        <v>0</v>
      </c>
      <c r="F2548">
        <v>48785.135219999996</v>
      </c>
      <c r="G2548" s="1">
        <v>-3.9999999999999998E-7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0</v>
      </c>
      <c r="M2548" s="1">
        <f t="shared" si="159"/>
        <v>0</v>
      </c>
      <c r="N2548" s="1">
        <f t="shared" si="160"/>
        <v>-1.8249346341807603E-3</v>
      </c>
      <c r="O2548" s="1"/>
    </row>
    <row r="2549" spans="1:15" x14ac:dyDescent="0.25">
      <c r="A2549">
        <v>5011</v>
      </c>
      <c r="B2549">
        <v>6678.764255</v>
      </c>
      <c r="C2549">
        <v>0</v>
      </c>
      <c r="D2549">
        <v>58297.573329999999</v>
      </c>
      <c r="E2549">
        <v>0</v>
      </c>
      <c r="F2549">
        <v>161385.18669999999</v>
      </c>
      <c r="G2549" s="1">
        <v>7.8999999999999995E-7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0</v>
      </c>
      <c r="M2549" s="1">
        <f t="shared" si="159"/>
        <v>0</v>
      </c>
      <c r="N2549" s="1">
        <f t="shared" si="160"/>
        <v>2.078789210001783E-3</v>
      </c>
      <c r="O2549" s="1"/>
    </row>
    <row r="2550" spans="1:15" x14ac:dyDescent="0.25">
      <c r="A2550">
        <v>5012</v>
      </c>
      <c r="B2550">
        <v>4675.4146129999999</v>
      </c>
      <c r="C2550">
        <v>0</v>
      </c>
      <c r="D2550">
        <v>35365.109680000001</v>
      </c>
      <c r="E2550">
        <v>0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0</v>
      </c>
      <c r="M2550" s="1">
        <f t="shared" si="159"/>
        <v>0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0</v>
      </c>
      <c r="M2551" s="1">
        <f t="shared" si="159"/>
        <v>0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>
        <v>0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0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>
        <v>0</v>
      </c>
      <c r="D2553">
        <v>13043.8475</v>
      </c>
      <c r="E2553">
        <v>0</v>
      </c>
      <c r="F2553">
        <v>69213.065170000002</v>
      </c>
      <c r="G2553" s="1">
        <v>-1.5099999999999999E-6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0</v>
      </c>
      <c r="M2553" s="1">
        <f t="shared" si="159"/>
        <v>0</v>
      </c>
      <c r="N2553" s="1">
        <f t="shared" si="16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>
        <v>0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0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>
        <v>0</v>
      </c>
      <c r="D2555">
        <v>15572.52111</v>
      </c>
      <c r="E2555">
        <v>0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0</v>
      </c>
      <c r="M2555" s="1">
        <f t="shared" si="159"/>
        <v>0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>
        <v>0</v>
      </c>
      <c r="D2556">
        <v>61046.778120000003</v>
      </c>
      <c r="E2556">
        <v>0</v>
      </c>
      <c r="F2556">
        <v>168572.85560000001</v>
      </c>
      <c r="G2556" s="1">
        <v>3.6600000000000001E-6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0</v>
      </c>
      <c r="M2556" s="1">
        <f t="shared" si="159"/>
        <v>0</v>
      </c>
      <c r="N2556" s="1">
        <f t="shared" si="16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>
        <v>0</v>
      </c>
      <c r="D2557">
        <v>20675.162830000001</v>
      </c>
      <c r="E2557">
        <v>0</v>
      </c>
      <c r="F2557">
        <v>82482.206090000007</v>
      </c>
      <c r="G2557" s="1">
        <v>-1.8199999999999999E-6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0</v>
      </c>
      <c r="M2557" s="1">
        <f t="shared" si="159"/>
        <v>0</v>
      </c>
      <c r="N2557" s="1">
        <f t="shared" si="16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>
        <v>0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0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>
        <v>0</v>
      </c>
      <c r="D2559">
        <v>16679.07631</v>
      </c>
      <c r="E2559">
        <v>0</v>
      </c>
      <c r="F2559">
        <v>71944.781480000005</v>
      </c>
      <c r="G2559" s="1">
        <v>1.1200000000000001E-6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0</v>
      </c>
      <c r="M2559" s="1">
        <f t="shared" si="159"/>
        <v>0</v>
      </c>
      <c r="N2559" s="1">
        <f t="shared" si="16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>
        <v>0</v>
      </c>
      <c r="D2560">
        <v>17869.465639999999</v>
      </c>
      <c r="E2560">
        <v>0</v>
      </c>
      <c r="F2560">
        <v>73579.286869999996</v>
      </c>
      <c r="G2560" s="1">
        <v>4.3800000000000004E-6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0</v>
      </c>
      <c r="M2560" s="1">
        <f t="shared" si="159"/>
        <v>0</v>
      </c>
      <c r="N2560" s="1">
        <f t="shared" si="160"/>
        <v>1.849832419598741E-2</v>
      </c>
      <c r="O2560" s="1"/>
    </row>
    <row r="2561" spans="1:15" x14ac:dyDescent="0.25">
      <c r="A2561">
        <v>5023</v>
      </c>
      <c r="B2561">
        <v>3443.2597810000002</v>
      </c>
      <c r="C2561">
        <v>0</v>
      </c>
      <c r="D2561">
        <v>31674.992579999998</v>
      </c>
      <c r="E2561">
        <v>0</v>
      </c>
      <c r="F2561">
        <v>88819.176189999998</v>
      </c>
      <c r="G2561" s="1">
        <v>-6.1999999999999999E-7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0</v>
      </c>
      <c r="M2561" s="1">
        <f t="shared" si="159"/>
        <v>0</v>
      </c>
      <c r="N2561" s="1">
        <f t="shared" si="16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>
        <v>0</v>
      </c>
      <c r="F2562">
        <v>55575.001810000002</v>
      </c>
      <c r="G2562" s="1">
        <v>-9.4E-7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0</v>
      </c>
      <c r="N2562" s="1">
        <f t="shared" si="16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>
        <v>0</v>
      </c>
      <c r="D2563">
        <v>24338.753519999998</v>
      </c>
      <c r="E2563">
        <v>0</v>
      </c>
      <c r="F2563">
        <v>69400.023069999996</v>
      </c>
      <c r="G2563" s="1">
        <v>1.3599999999999999E-6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0</v>
      </c>
      <c r="M2563" s="1">
        <f t="shared" si="159"/>
        <v>0</v>
      </c>
      <c r="N2563" s="1">
        <f t="shared" ref="N2563" si="163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2024-10-24T12:19:03Z</dcterms:modified>
</cp:coreProperties>
</file>